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PC_Analysis\R1-2360\QIP\D\"/>
    </mc:Choice>
  </mc:AlternateContent>
  <xr:revisionPtr revIDLastSave="0" documentId="13_ncr:1_{9BD7A3EE-252F-4A62-8CD0-DAD4CA0CA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0328D" sheetId="62" r:id="rId1"/>
    <sheet name="250328D-1" sheetId="63" r:id="rId2"/>
    <sheet name="250330E" sheetId="64" r:id="rId3"/>
    <sheet name="250330E-1" sheetId="65" r:id="rId4"/>
    <sheet name="250331D" sheetId="66" r:id="rId5"/>
    <sheet name="250331D-1" sheetId="67" r:id="rId6"/>
    <sheet name="250331E" sheetId="68" r:id="rId7"/>
    <sheet name="250331E-1" sheetId="69" r:id="rId8"/>
    <sheet name="250401D" sheetId="70" r:id="rId9"/>
    <sheet name="250401D-1" sheetId="71" r:id="rId10"/>
    <sheet name="250401E" sheetId="72" r:id="rId11"/>
    <sheet name="250401E-1" sheetId="73" r:id="rId12"/>
    <sheet name="250402D" sheetId="74" r:id="rId13"/>
    <sheet name="250402D-1" sheetId="75" r:id="rId14"/>
    <sheet name="250406E" sheetId="76" r:id="rId15"/>
    <sheet name="250406E-1" sheetId="77" r:id="rId16"/>
  </sheets>
  <definedNames>
    <definedName name="_xlnm.Print_Area" localSheetId="0">'250328D'!$A$1:$X$78</definedName>
    <definedName name="_xlnm.Print_Area" localSheetId="1">'250328D-1'!$A$1:$X$78</definedName>
    <definedName name="_xlnm.Print_Area" localSheetId="2">'250330E'!$A$1:$X$78</definedName>
    <definedName name="_xlnm.Print_Area" localSheetId="3">'250330E-1'!$A$1:$X$78</definedName>
    <definedName name="_xlnm.Print_Area" localSheetId="4">'250331D'!$A$1:$X$78</definedName>
    <definedName name="_xlnm.Print_Area" localSheetId="5">'250331D-1'!$A$1:$X$78</definedName>
    <definedName name="_xlnm.Print_Area" localSheetId="6">'250331E'!$A$1:$X$78</definedName>
    <definedName name="_xlnm.Print_Area" localSheetId="7">'250331E-1'!$A$1:$X$78</definedName>
    <definedName name="_xlnm.Print_Area" localSheetId="8">'250401D'!$A$1:$X$78</definedName>
    <definedName name="_xlnm.Print_Area" localSheetId="9">'250401D-1'!$A$1:$X$78</definedName>
    <definedName name="_xlnm.Print_Area" localSheetId="10">'250401E'!$A$1:$X$78</definedName>
    <definedName name="_xlnm.Print_Area" localSheetId="11">'250401E-1'!$A$1:$X$78</definedName>
    <definedName name="_xlnm.Print_Area" localSheetId="12">'250402D'!$A$1:$X$78</definedName>
    <definedName name="_xlnm.Print_Area" localSheetId="13">'250402D-1'!$A$1:$X$78</definedName>
    <definedName name="_xlnm.Print_Area" localSheetId="14">'250406E'!$A$1:$X$78</definedName>
    <definedName name="_xlnm.Print_Area" localSheetId="15">'250406E-1'!$A$1:$X$78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</calcChain>
</file>

<file path=xl/sharedStrings.xml><?xml version="1.0" encoding="utf-8"?>
<sst xmlns="http://schemas.openxmlformats.org/spreadsheetml/2006/main" count="3072" uniqueCount="206">
  <si>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</si>
  <si>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</si>
  <si>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</si>
  <si>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</si>
  <si>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</si>
  <si>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</si>
  <si>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</si>
  <si>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</si>
  <si>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</si>
  <si>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</si>
  <si>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</si>
  <si>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</si>
  <si>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</si>
  <si>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</si>
  <si>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</si>
  <si>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</si>
  <si>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</si>
  <si>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</si>
  <si>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</si>
  <si>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</si>
  <si>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</si>
  <si>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</si>
  <si>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</si>
  <si>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</si>
  <si>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</si>
  <si>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</si>
  <si>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</si>
  <si>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</si>
  <si>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</si>
  <si>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t>-</t>
    <phoneticPr fontId="10" type="noConversion"/>
  </si>
  <si>
    <t>F</t>
    <phoneticPr fontId="10" type="noConversion"/>
  </si>
  <si>
    <t>品檢編號：</t>
    <phoneticPr fontId="10" type="noConversion"/>
  </si>
  <si>
    <t>R01-048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</si>
  <si>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</si>
  <si>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</si>
  <si>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</si>
  <si>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</si>
  <si>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</si>
  <si>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</si>
  <si>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</si>
  <si>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</si>
  <si>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</si>
  <si>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</si>
  <si>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</si>
  <si>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</si>
  <si>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</si>
  <si>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檢驗項目</t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</si>
  <si>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</si>
  <si>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</si>
  <si>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</si>
  <si>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</si>
  <si>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</si>
  <si>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</si>
  <si>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</si>
  <si>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</si>
  <si>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</si>
  <si>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</si>
  <si>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</si>
  <si>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</si>
  <si>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</si>
  <si>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</si>
  <si>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</si>
  <si>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</si>
  <si>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</si>
  <si>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</si>
  <si>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</si>
  <si>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</si>
  <si>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</si>
  <si>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</si>
  <si>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</si>
  <si>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</si>
  <si>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</si>
  <si>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</si>
  <si>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</si>
  <si>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</si>
  <si>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</si>
  <si>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</si>
  <si>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</si>
  <si>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</si>
  <si>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</si>
  <si>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</si>
  <si>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</si>
  <si>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</si>
  <si>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</si>
  <si>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</si>
  <si>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</si>
  <si>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</si>
  <si>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</si>
  <si>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</si>
  <si>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</si>
  <si>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</si>
  <si>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</si>
  <si>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</si>
  <si>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</si>
  <si>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</si>
  <si>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</si>
  <si>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P16</t>
    <phoneticPr fontId="10" type="noConversion"/>
  </si>
  <si>
    <t>OK</t>
  </si>
  <si>
    <t>GO</t>
  </si>
  <si>
    <t>NO GO</t>
  </si>
  <si>
    <t>NO GO</t>
    <phoneticPr fontId="10" type="noConversion"/>
  </si>
  <si>
    <t>■</t>
  </si>
  <si>
    <t>(A) (C): M12002， (B):M08006， (D): M15013</t>
    <phoneticPr fontId="10" type="noConversion"/>
  </si>
  <si>
    <t>簡俐文</t>
    <phoneticPr fontId="10" type="noConversion"/>
  </si>
  <si>
    <t>250328D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</si>
  <si>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</si>
  <si>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</si>
  <si>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</si>
  <si>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</si>
  <si>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mm</t>
    <phoneticPr fontId="10" type="noConversion"/>
  </si>
  <si>
    <t>GO</t>
    <phoneticPr fontId="10" type="noConversion"/>
  </si>
  <si>
    <t>NO GO</t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</si>
  <si>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</si>
  <si>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</si>
  <si>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</si>
  <si>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(E)</t>
    <phoneticPr fontId="10" type="noConversion"/>
  </si>
  <si>
    <t>C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</si>
  <si>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</si>
  <si>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</si>
  <si>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T1405002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</si>
  <si>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</si>
  <si>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</si>
  <si>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</si>
  <si>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</si>
  <si>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</si>
  <si>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</si>
  <si>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</si>
  <si>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K</t>
    <phoneticPr fontId="10" type="noConversion"/>
  </si>
  <si>
    <t>Separation force test</t>
    <phoneticPr fontId="10" type="noConversion"/>
  </si>
  <si>
    <t>L</t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</si>
  <si>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</si>
  <si>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</si>
  <si>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</si>
  <si>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</si>
  <si>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</si>
  <si>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E</t>
    <phoneticPr fontId="10" type="noConversion"/>
  </si>
  <si>
    <t>2025-03-28</t>
    <phoneticPr fontId="10" type="noConversion"/>
  </si>
  <si>
    <t xml:space="preserve">   Please refer to Defection Code (M10001-R01) for detailed defect categories.</t>
    <phoneticPr fontId="10" type="noConversion"/>
  </si>
  <si>
    <t>檢驗員：</t>
    <phoneticPr fontId="10" type="noConversion"/>
  </si>
  <si>
    <t>250328D</t>
    <phoneticPr fontId="10" type="noConversion"/>
  </si>
  <si>
    <t>簡俐文</t>
    <phoneticPr fontId="10" type="noConversion"/>
  </si>
  <si>
    <t>(A) (C): M12002， (B):M08006， (D): M15013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</si>
  <si>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</si>
  <si>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</si>
  <si>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</si>
  <si>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</si>
  <si>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</si>
  <si>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</si>
  <si>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</si>
  <si>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</si>
  <si>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</si>
  <si>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</si>
  <si>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</si>
  <si>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</si>
  <si>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</si>
  <si>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</si>
  <si>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</si>
  <si>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</si>
  <si>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</si>
  <si>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t>-</t>
    <phoneticPr fontId="10" type="noConversion"/>
  </si>
  <si>
    <t>GO</t>
    <phoneticPr fontId="10" type="noConversion"/>
  </si>
  <si>
    <t>MEASURING TOOLS</t>
    <phoneticPr fontId="10" type="noConversion"/>
  </si>
  <si>
    <t>Ø</t>
    <phoneticPr fontId="10" type="noConversion"/>
  </si>
  <si>
    <t>A</t>
    <phoneticPr fontId="10" type="noConversion"/>
  </si>
  <si>
    <t>-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</si>
  <si>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</si>
  <si>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</si>
  <si>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</si>
  <si>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/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</si>
  <si>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</si>
  <si>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</si>
  <si>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</si>
  <si>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A</t>
    <phoneticPr fontId="10" type="noConversion"/>
  </si>
  <si>
    <t>(D)</t>
    <phoneticPr fontId="10" type="noConversion"/>
  </si>
  <si>
    <t>C</t>
    <phoneticPr fontId="10" type="noConversion"/>
  </si>
  <si>
    <t>(F)</t>
    <phoneticPr fontId="10" type="noConversion"/>
  </si>
  <si>
    <t>Go/No-go Gauge test</t>
    <phoneticPr fontId="10" type="noConversion"/>
  </si>
  <si>
    <t>(G)</t>
    <phoneticPr fontId="10" type="noConversion"/>
  </si>
  <si>
    <t>T1405002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</si>
  <si>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</si>
  <si>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</si>
  <si>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</si>
  <si>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</si>
  <si>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</si>
  <si>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</si>
  <si>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</si>
  <si>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</si>
  <si>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</si>
  <si>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(M)</t>
    <phoneticPr fontId="10" type="noConversion"/>
  </si>
  <si>
    <t>F</t>
    <phoneticPr fontId="10" type="noConversion"/>
  </si>
  <si>
    <t>2.各項不良之缺點, 請參考缺點代碼表(M10001-R01)。</t>
    <phoneticPr fontId="10" type="noConversion"/>
  </si>
  <si>
    <t>2025-01-23</t>
    <phoneticPr fontId="10" type="noConversion"/>
  </si>
  <si>
    <t>2019-03-22</t>
    <phoneticPr fontId="10" type="noConversion"/>
  </si>
  <si>
    <t xml:space="preserve">  INSPECTOR</t>
    <phoneticPr fontId="10" type="noConversion"/>
  </si>
  <si>
    <t>250330E</t>
    <phoneticPr fontId="10" type="noConversion"/>
  </si>
  <si>
    <t>250330E</t>
    <phoneticPr fontId="10" type="noConversion"/>
  </si>
  <si>
    <t>250331D</t>
    <phoneticPr fontId="10" type="noConversion"/>
  </si>
  <si>
    <t>250331D</t>
    <phoneticPr fontId="10" type="noConversion"/>
  </si>
  <si>
    <t>250331E</t>
    <phoneticPr fontId="10" type="noConversion"/>
  </si>
  <si>
    <t>250401D</t>
    <phoneticPr fontId="10" type="noConversion"/>
  </si>
  <si>
    <t>250401D</t>
    <phoneticPr fontId="10" type="noConversion"/>
  </si>
  <si>
    <t>250401E</t>
    <phoneticPr fontId="10" type="noConversion"/>
  </si>
  <si>
    <t>250401E</t>
    <phoneticPr fontId="10" type="noConversion"/>
  </si>
  <si>
    <t>250402D</t>
    <phoneticPr fontId="10" type="noConversion"/>
  </si>
  <si>
    <t>250406E</t>
    <phoneticPr fontId="10" type="noConversion"/>
  </si>
  <si>
    <t>250406E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</si>
</sst>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9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192"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3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3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3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3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3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3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4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4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4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4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4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4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4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4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4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4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4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4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4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4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4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4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4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4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4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4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>
          <a:extLst>
            <a:ext uri="{FF2B5EF4-FFF2-40B4-BE49-F238E27FC236}">
              <a16:creationId xmlns:a16="http://schemas.microsoft.com/office/drawing/2014/main" id="{00000000-0008-0000-4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>
          <a:extLst>
            <a:ext uri="{FF2B5EF4-FFF2-40B4-BE49-F238E27FC236}">
              <a16:creationId xmlns:a16="http://schemas.microsoft.com/office/drawing/2014/main" id="{00000000-0008-0000-4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4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4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4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4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4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B78"/>
  <sheetViews>
    <sheetView showGridLines="0" tabSelected="1" topLeftCell="A34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142</v>
      </c>
      <c r="B2" s="165"/>
      <c r="C2" s="166" t="s">
        <v>143</v>
      </c>
      <c r="D2" s="60" t="s">
        <v>2</v>
      </c>
      <c r="E2" s="34"/>
      <c r="F2" s="144" t="s">
        <v>42</v>
      </c>
      <c r="G2" s="144"/>
      <c r="H2" s="144"/>
      <c r="I2" s="144"/>
      <c r="J2" s="144"/>
      <c r="K2" s="168"/>
      <c r="L2" s="60" t="s">
        <v>4</v>
      </c>
      <c r="M2" s="144">
        <v>10</v>
      </c>
      <c r="N2" s="145"/>
      <c r="O2" s="60" t="s">
        <v>6</v>
      </c>
      <c r="P2" s="171" t="s">
        <v>144</v>
      </c>
      <c r="Q2" s="172"/>
      <c r="R2" s="172"/>
      <c r="S2" s="172"/>
      <c r="T2" s="172"/>
      <c r="U2" s="172"/>
      <c r="V2" s="173"/>
      <c r="W2" s="60" t="s">
        <v>25</v>
      </c>
      <c r="X2" s="25">
        <v>1</v>
      </c>
      <c r="Z2" s="27" t="s">
        <v>145</v>
      </c>
    </row>
    <row r="3" spans="1:26" ht="9.9499999999999993" customHeight="1" x14ac:dyDescent="0.25">
      <c r="A3" s="176" t="s">
        <v>1</v>
      </c>
      <c r="B3" s="177"/>
      <c r="C3" s="167"/>
      <c r="D3" s="62" t="s">
        <v>3</v>
      </c>
      <c r="E3" s="35"/>
      <c r="F3" s="169"/>
      <c r="G3" s="169"/>
      <c r="H3" s="169"/>
      <c r="I3" s="169"/>
      <c r="J3" s="169"/>
      <c r="K3" s="170"/>
      <c r="L3" s="62" t="s">
        <v>5</v>
      </c>
      <c r="M3" s="146"/>
      <c r="N3" s="147"/>
      <c r="O3" s="62" t="s">
        <v>7</v>
      </c>
      <c r="P3" s="174"/>
      <c r="Q3" s="174"/>
      <c r="R3" s="174"/>
      <c r="S3" s="174"/>
      <c r="T3" s="174"/>
      <c r="U3" s="174"/>
      <c r="V3" s="175"/>
      <c r="W3" s="62" t="s">
        <v>8</v>
      </c>
      <c r="X3" s="61">
        <v>2</v>
      </c>
      <c r="Z3" s="28"/>
    </row>
    <row r="4" spans="1:26" ht="14.25" customHeight="1" x14ac:dyDescent="0.25">
      <c r="A4" s="2" t="s">
        <v>146</v>
      </c>
      <c r="B4" s="3"/>
      <c r="C4" s="3"/>
      <c r="D4" s="39"/>
      <c r="E4" s="22" t="s">
        <v>147</v>
      </c>
      <c r="F4" s="4" t="s">
        <v>148</v>
      </c>
      <c r="H4" s="4"/>
      <c r="I4" s="3"/>
      <c r="J4" s="3"/>
      <c r="K4" s="22" t="s">
        <v>101</v>
      </c>
      <c r="L4" s="4" t="s">
        <v>149</v>
      </c>
      <c r="M4" s="3"/>
      <c r="N4" s="3"/>
      <c r="O4" s="60" t="s">
        <v>9</v>
      </c>
      <c r="P4" s="5"/>
      <c r="Q4" s="139" t="s">
        <v>104</v>
      </c>
      <c r="R4" s="140"/>
      <c r="S4" s="140"/>
      <c r="T4" s="141"/>
      <c r="U4" s="60" t="s">
        <v>11</v>
      </c>
      <c r="V4" s="6"/>
      <c r="W4" s="144" t="s">
        <v>96</v>
      </c>
      <c r="X4" s="145"/>
      <c r="Z4" s="27" t="s">
        <v>150</v>
      </c>
    </row>
    <row r="5" spans="1:26" ht="9.9499999999999993" customHeight="1" x14ac:dyDescent="0.2">
      <c r="A5" s="20" t="s">
        <v>151</v>
      </c>
      <c r="B5" s="7"/>
      <c r="C5" s="7"/>
      <c r="D5" s="7"/>
      <c r="E5" s="7"/>
      <c r="F5" s="21" t="s">
        <v>152</v>
      </c>
      <c r="H5" s="21"/>
      <c r="I5" s="7"/>
      <c r="J5" s="7"/>
      <c r="K5" s="7"/>
      <c r="L5" s="21" t="s">
        <v>153</v>
      </c>
      <c r="M5" s="7"/>
      <c r="N5" s="8"/>
      <c r="O5" s="20" t="s">
        <v>10</v>
      </c>
      <c r="P5" s="9"/>
      <c r="Q5" s="142"/>
      <c r="R5" s="142"/>
      <c r="S5" s="142"/>
      <c r="T5" s="143"/>
      <c r="U5" s="62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154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155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156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157</v>
      </c>
      <c r="X22" s="192"/>
      <c r="Z22" s="42" t="s">
        <v>158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159</v>
      </c>
    </row>
    <row r="24" spans="1:28" ht="14.25" customHeight="1" x14ac:dyDescent="0.25">
      <c r="A24" s="148" t="s">
        <v>105</v>
      </c>
      <c r="B24" s="214"/>
      <c r="C24" s="26" t="s">
        <v>16</v>
      </c>
      <c r="D24" s="215" t="s">
        <v>106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160</v>
      </c>
    </row>
    <row r="25" spans="1:28" x14ac:dyDescent="0.25">
      <c r="A25" s="209" t="s">
        <v>15</v>
      </c>
      <c r="B25" s="210"/>
      <c r="C25" s="74" t="s">
        <v>161</v>
      </c>
      <c r="D25" s="211" t="s">
        <v>107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162</v>
      </c>
      <c r="AA25" s="37" t="s">
        <v>111</v>
      </c>
    </row>
    <row r="26" spans="1:28" s="18" customFormat="1" ht="9.9499999999999993" customHeight="1" x14ac:dyDescent="0.25">
      <c r="A26" s="199" t="s">
        <v>108</v>
      </c>
      <c r="B26" s="199"/>
      <c r="C26" s="201" t="s">
        <v>163</v>
      </c>
      <c r="D26" s="197" t="s">
        <v>114</v>
      </c>
      <c r="E26" s="203">
        <v>8.2000000000000003E-2</v>
      </c>
      <c r="F26" s="204"/>
      <c r="G26" s="42" t="s">
        <v>112</v>
      </c>
      <c r="H26" s="48">
        <v>2E-3</v>
      </c>
      <c r="I26" s="206">
        <v>8.2500000000000004E-2</v>
      </c>
      <c r="J26" s="206"/>
      <c r="K26" s="206">
        <v>8.2699999999999996E-2</v>
      </c>
      <c r="L26" s="206"/>
      <c r="M26" s="206">
        <v>8.2400000000000001E-2</v>
      </c>
      <c r="N26" s="206"/>
      <c r="O26" s="206">
        <v>8.2500000000000004E-2</v>
      </c>
      <c r="P26" s="206"/>
      <c r="Q26" s="206">
        <v>8.2799999999999999E-2</v>
      </c>
      <c r="R26" s="206"/>
      <c r="S26" s="206">
        <v>8.2299999999999998E-2</v>
      </c>
      <c r="T26" s="206"/>
      <c r="U26" s="206">
        <v>8.2400000000000001E-2</v>
      </c>
      <c r="V26" s="206"/>
      <c r="W26" s="206">
        <v>8.2699999999999996E-2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164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165</v>
      </c>
      <c r="B28" s="219"/>
      <c r="C28" s="64" t="s">
        <v>166</v>
      </c>
      <c r="D28" s="63" t="s">
        <v>167</v>
      </c>
      <c r="E28" s="50">
        <v>1.92</v>
      </c>
      <c r="F28" s="51" t="s">
        <v>109</v>
      </c>
      <c r="G28" s="52" t="s">
        <v>168</v>
      </c>
      <c r="H28" s="53" t="s">
        <v>110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64" t="s">
        <v>166</v>
      </c>
      <c r="D29" s="63" t="s">
        <v>50</v>
      </c>
      <c r="E29" s="50">
        <v>2.0099999999999998</v>
      </c>
      <c r="F29" s="51" t="s">
        <v>169</v>
      </c>
      <c r="G29" s="52" t="s">
        <v>170</v>
      </c>
      <c r="H29" s="53" t="s">
        <v>111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171</v>
      </c>
      <c r="B30" s="199"/>
      <c r="C30" s="201" t="s">
        <v>172</v>
      </c>
      <c r="D30" s="197" t="s">
        <v>114</v>
      </c>
      <c r="E30" s="203">
        <v>8.2000000000000003E-2</v>
      </c>
      <c r="F30" s="204"/>
      <c r="G30" s="42" t="s">
        <v>158</v>
      </c>
      <c r="H30" s="48">
        <v>2E-3</v>
      </c>
      <c r="I30" s="223">
        <v>8.2600000000000007E-2</v>
      </c>
      <c r="J30" s="223"/>
      <c r="K30" s="223">
        <v>8.2299999999999998E-2</v>
      </c>
      <c r="L30" s="223"/>
      <c r="M30" s="223">
        <v>8.2500000000000004E-2</v>
      </c>
      <c r="N30" s="223"/>
      <c r="O30" s="223">
        <v>8.2699999999999996E-2</v>
      </c>
      <c r="P30" s="223"/>
      <c r="Q30" s="223">
        <v>8.2600000000000007E-2</v>
      </c>
      <c r="R30" s="223"/>
      <c r="S30" s="223">
        <v>8.2500000000000004E-2</v>
      </c>
      <c r="T30" s="223"/>
      <c r="U30" s="223">
        <v>8.2500000000000004E-2</v>
      </c>
      <c r="V30" s="223"/>
      <c r="W30" s="223">
        <v>8.2400000000000001E-2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113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173</v>
      </c>
      <c r="B32" s="199"/>
      <c r="C32" s="201" t="s">
        <v>116</v>
      </c>
      <c r="D32" s="197" t="s">
        <v>162</v>
      </c>
      <c r="E32" s="203">
        <v>0.43</v>
      </c>
      <c r="F32" s="204"/>
      <c r="G32" s="42" t="s">
        <v>158</v>
      </c>
      <c r="H32" s="48">
        <v>5.0000000000000001E-3</v>
      </c>
      <c r="I32" s="223">
        <v>0.4335</v>
      </c>
      <c r="J32" s="223"/>
      <c r="K32" s="223">
        <v>0.433</v>
      </c>
      <c r="L32" s="223"/>
      <c r="M32" s="223">
        <v>0.433</v>
      </c>
      <c r="N32" s="223"/>
      <c r="O32" s="223">
        <v>0.4335</v>
      </c>
      <c r="P32" s="223"/>
      <c r="Q32" s="223">
        <v>0.434</v>
      </c>
      <c r="R32" s="223"/>
      <c r="S32" s="223">
        <v>0.433</v>
      </c>
      <c r="T32" s="223"/>
      <c r="U32" s="223">
        <v>0.4335</v>
      </c>
      <c r="V32" s="223"/>
      <c r="W32" s="223">
        <v>0.4335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164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115</v>
      </c>
      <c r="B34" s="199"/>
      <c r="C34" s="201" t="s">
        <v>174</v>
      </c>
      <c r="D34" s="197" t="s">
        <v>114</v>
      </c>
      <c r="E34" s="203">
        <v>0.39500000000000002</v>
      </c>
      <c r="F34" s="204"/>
      <c r="G34" s="42" t="s">
        <v>158</v>
      </c>
      <c r="H34" s="48">
        <v>5.0000000000000001E-3</v>
      </c>
      <c r="I34" s="206">
        <v>0.39350000000000002</v>
      </c>
      <c r="J34" s="206"/>
      <c r="K34" s="206">
        <v>0.39400000000000002</v>
      </c>
      <c r="L34" s="206"/>
      <c r="M34" s="206">
        <v>0.39350000000000002</v>
      </c>
      <c r="N34" s="206"/>
      <c r="O34" s="206">
        <v>0.39450000000000002</v>
      </c>
      <c r="P34" s="206"/>
      <c r="Q34" s="206">
        <v>0.39400000000000002</v>
      </c>
      <c r="R34" s="206"/>
      <c r="S34" s="206">
        <v>0.39400000000000002</v>
      </c>
      <c r="T34" s="206"/>
      <c r="U34" s="206">
        <v>0.39400000000000002</v>
      </c>
      <c r="V34" s="206"/>
      <c r="W34" s="206">
        <v>0.39350000000000002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113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175</v>
      </c>
      <c r="B36" s="199"/>
      <c r="C36" s="225" t="s">
        <v>117</v>
      </c>
      <c r="D36" s="68" t="s">
        <v>118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65" t="s">
        <v>176</v>
      </c>
      <c r="E37" s="66"/>
      <c r="F37" s="66"/>
      <c r="G37" s="66"/>
      <c r="H37" s="67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177</v>
      </c>
      <c r="B38" s="199"/>
      <c r="C38" s="24" t="s">
        <v>66</v>
      </c>
      <c r="D38" s="47" t="s">
        <v>120</v>
      </c>
      <c r="E38" s="69"/>
      <c r="F38" s="69"/>
      <c r="G38" s="69"/>
      <c r="H38" s="70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65" t="s">
        <v>122</v>
      </c>
      <c r="E39" s="66"/>
      <c r="F39" s="66"/>
      <c r="G39" s="66"/>
      <c r="H39" s="67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179</v>
      </c>
      <c r="D40" s="68" t="s">
        <v>180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65" t="s">
        <v>181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182</v>
      </c>
      <c r="B42" s="199"/>
      <c r="C42" s="24" t="s">
        <v>119</v>
      </c>
      <c r="D42" s="68" t="s">
        <v>124</v>
      </c>
      <c r="E42" s="71"/>
      <c r="F42" s="72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183</v>
      </c>
      <c r="D43" s="65" t="s">
        <v>125</v>
      </c>
      <c r="E43" s="73"/>
      <c r="F43" s="73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184</v>
      </c>
      <c r="B44" s="199"/>
      <c r="C44" s="225" t="s">
        <v>178</v>
      </c>
      <c r="D44" s="68" t="s">
        <v>126</v>
      </c>
      <c r="E44" s="71"/>
      <c r="F44" s="72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65" t="s">
        <v>185</v>
      </c>
      <c r="E45" s="73"/>
      <c r="F45" s="73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127</v>
      </c>
      <c r="B46" s="199"/>
      <c r="C46" s="225" t="s">
        <v>119</v>
      </c>
      <c r="D46" s="68" t="s">
        <v>186</v>
      </c>
      <c r="E46" s="69"/>
      <c r="F46" s="69"/>
      <c r="G46" s="69"/>
      <c r="H46" s="70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65" t="s">
        <v>128</v>
      </c>
      <c r="E47" s="66"/>
      <c r="F47" s="66"/>
      <c r="G47" s="66"/>
      <c r="H47" s="67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119</v>
      </c>
      <c r="D48" s="68" t="s">
        <v>187</v>
      </c>
      <c r="E48" s="69"/>
      <c r="F48" s="69"/>
      <c r="G48" s="69"/>
      <c r="H48" s="70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65" t="s">
        <v>130</v>
      </c>
      <c r="E49" s="66"/>
      <c r="F49" s="66"/>
      <c r="G49" s="66"/>
      <c r="H49" s="67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189</v>
      </c>
      <c r="D50" s="68" t="s">
        <v>131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65" t="s">
        <v>132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133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134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190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137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191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192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138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193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91" priority="7" operator="greaterThan">
      <formula>$AA$26</formula>
    </cfRule>
    <cfRule type="cellIs" dxfId="190" priority="8" operator="lessThan">
      <formula>$AA$27</formula>
    </cfRule>
  </conditionalFormatting>
  <conditionalFormatting sqref="I28:X28">
    <cfRule type="cellIs" dxfId="189" priority="5" operator="equal">
      <formula>$AA$24</formula>
    </cfRule>
    <cfRule type="cellIs" dxfId="188" priority="6" operator="notEqual">
      <formula>$AB$24</formula>
    </cfRule>
  </conditionalFormatting>
  <conditionalFormatting sqref="I29:X29">
    <cfRule type="cellIs" dxfId="187" priority="3" operator="equal">
      <formula>$AA$25</formula>
    </cfRule>
    <cfRule type="cellIs" dxfId="186" priority="4" operator="notEqual">
      <formula>$AB$25</formula>
    </cfRule>
  </conditionalFormatting>
  <conditionalFormatting sqref="I30:X31">
    <cfRule type="cellIs" dxfId="185" priority="9" operator="greaterThan">
      <formula>$AA$30</formula>
    </cfRule>
    <cfRule type="cellIs" dxfId="184" priority="10" operator="lessThan">
      <formula>$AA$31</formula>
    </cfRule>
  </conditionalFormatting>
  <conditionalFormatting sqref="I32:X33">
    <cfRule type="cellIs" dxfId="183" priority="11" operator="greaterThan">
      <formula>$AA$32</formula>
    </cfRule>
    <cfRule type="cellIs" dxfId="182" priority="12" operator="lessThan">
      <formula>$AA$33</formula>
    </cfRule>
  </conditionalFormatting>
  <conditionalFormatting sqref="I34:X35">
    <cfRule type="cellIs" dxfId="181" priority="1" operator="greaterThan">
      <formula>$AA$34</formula>
    </cfRule>
    <cfRule type="cellIs" dxfId="18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142</v>
      </c>
      <c r="B2" s="165"/>
      <c r="C2" s="166" t="s">
        <v>143</v>
      </c>
      <c r="D2" s="60" t="s">
        <v>2</v>
      </c>
      <c r="E2" s="34"/>
      <c r="F2" s="144" t="s">
        <v>42</v>
      </c>
      <c r="G2" s="144"/>
      <c r="H2" s="144"/>
      <c r="I2" s="144"/>
      <c r="J2" s="144"/>
      <c r="K2" s="168"/>
      <c r="L2" s="60" t="s">
        <v>4</v>
      </c>
      <c r="M2" s="144">
        <v>10</v>
      </c>
      <c r="N2" s="145"/>
      <c r="O2" s="60" t="s">
        <v>6</v>
      </c>
      <c r="P2" s="171" t="s">
        <v>144</v>
      </c>
      <c r="Q2" s="172"/>
      <c r="R2" s="172"/>
      <c r="S2" s="172"/>
      <c r="T2" s="172"/>
      <c r="U2" s="172"/>
      <c r="V2" s="173"/>
      <c r="W2" s="60" t="s">
        <v>25</v>
      </c>
      <c r="X2" s="25">
        <v>2</v>
      </c>
      <c r="Z2" s="27" t="s">
        <v>145</v>
      </c>
    </row>
    <row r="3" spans="1:26" ht="9.9499999999999993" customHeight="1" x14ac:dyDescent="0.25">
      <c r="A3" s="176" t="s">
        <v>1</v>
      </c>
      <c r="B3" s="177"/>
      <c r="C3" s="167"/>
      <c r="D3" s="62" t="s">
        <v>3</v>
      </c>
      <c r="E3" s="35"/>
      <c r="F3" s="169"/>
      <c r="G3" s="169"/>
      <c r="H3" s="169"/>
      <c r="I3" s="169"/>
      <c r="J3" s="169"/>
      <c r="K3" s="170"/>
      <c r="L3" s="62" t="s">
        <v>5</v>
      </c>
      <c r="M3" s="146"/>
      <c r="N3" s="147"/>
      <c r="O3" s="62" t="s">
        <v>7</v>
      </c>
      <c r="P3" s="174"/>
      <c r="Q3" s="174"/>
      <c r="R3" s="174"/>
      <c r="S3" s="174"/>
      <c r="T3" s="174"/>
      <c r="U3" s="174"/>
      <c r="V3" s="175"/>
      <c r="W3" s="62" t="s">
        <v>8</v>
      </c>
      <c r="X3" s="61">
        <v>2</v>
      </c>
      <c r="Z3" s="28"/>
    </row>
    <row r="4" spans="1:26" ht="14.25" customHeight="1" x14ac:dyDescent="0.25">
      <c r="A4" s="2" t="s">
        <v>146</v>
      </c>
      <c r="B4" s="3"/>
      <c r="C4" s="3"/>
      <c r="D4" s="39"/>
      <c r="E4" s="22" t="s">
        <v>147</v>
      </c>
      <c r="F4" s="4" t="s">
        <v>148</v>
      </c>
      <c r="H4" s="4"/>
      <c r="I4" s="3"/>
      <c r="J4" s="3"/>
      <c r="K4" s="22" t="s">
        <v>101</v>
      </c>
      <c r="L4" s="4" t="s">
        <v>149</v>
      </c>
      <c r="M4" s="3"/>
      <c r="N4" s="3"/>
      <c r="O4" s="60" t="s">
        <v>9</v>
      </c>
      <c r="P4" s="5"/>
      <c r="Q4" s="139" t="s">
        <v>139</v>
      </c>
      <c r="R4" s="140"/>
      <c r="S4" s="140"/>
      <c r="T4" s="141"/>
      <c r="U4" s="60" t="s">
        <v>11</v>
      </c>
      <c r="V4" s="6"/>
      <c r="W4" s="144" t="s">
        <v>96</v>
      </c>
      <c r="X4" s="145"/>
      <c r="Z4" s="27" t="s">
        <v>150</v>
      </c>
    </row>
    <row r="5" spans="1:26" ht="9.9499999999999993" customHeight="1" x14ac:dyDescent="0.2">
      <c r="A5" s="20" t="s">
        <v>151</v>
      </c>
      <c r="B5" s="7"/>
      <c r="C5" s="7"/>
      <c r="D5" s="7"/>
      <c r="E5" s="7"/>
      <c r="F5" s="21" t="s">
        <v>152</v>
      </c>
      <c r="H5" s="21"/>
      <c r="I5" s="7"/>
      <c r="J5" s="7"/>
      <c r="K5" s="7"/>
      <c r="L5" s="21" t="s">
        <v>153</v>
      </c>
      <c r="M5" s="7"/>
      <c r="N5" s="8"/>
      <c r="O5" s="20" t="s">
        <v>10</v>
      </c>
      <c r="P5" s="9"/>
      <c r="Q5" s="142"/>
      <c r="R5" s="142"/>
      <c r="S5" s="142"/>
      <c r="T5" s="143"/>
      <c r="U5" s="62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154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155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156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157</v>
      </c>
      <c r="X22" s="192"/>
      <c r="Z22" s="42" t="s">
        <v>158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159</v>
      </c>
    </row>
    <row r="24" spans="1:28" ht="14.25" customHeight="1" x14ac:dyDescent="0.25">
      <c r="A24" s="148" t="s">
        <v>105</v>
      </c>
      <c r="B24" s="214"/>
      <c r="C24" s="26" t="s">
        <v>16</v>
      </c>
      <c r="D24" s="215" t="s">
        <v>106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160</v>
      </c>
    </row>
    <row r="25" spans="1:28" x14ac:dyDescent="0.25">
      <c r="A25" s="209" t="s">
        <v>15</v>
      </c>
      <c r="B25" s="210"/>
      <c r="C25" s="74" t="s">
        <v>161</v>
      </c>
      <c r="D25" s="211" t="s">
        <v>107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162</v>
      </c>
      <c r="AA25" s="37" t="s">
        <v>111</v>
      </c>
    </row>
    <row r="26" spans="1:28" s="18" customFormat="1" ht="9.9499999999999993" customHeight="1" x14ac:dyDescent="0.25">
      <c r="A26" s="199" t="s">
        <v>108</v>
      </c>
      <c r="B26" s="199"/>
      <c r="C26" s="201" t="s">
        <v>163</v>
      </c>
      <c r="D26" s="197" t="s">
        <v>114</v>
      </c>
      <c r="E26" s="203">
        <v>8.2000000000000003E-2</v>
      </c>
      <c r="F26" s="204"/>
      <c r="G26" s="42" t="s">
        <v>112</v>
      </c>
      <c r="H26" s="48">
        <v>2E-3</v>
      </c>
      <c r="I26" s="206">
        <v>8.2699999999999996E-2</v>
      </c>
      <c r="J26" s="206"/>
      <c r="K26" s="206">
        <v>8.2500000000000004E-2</v>
      </c>
      <c r="L26" s="206"/>
      <c r="M26" s="206">
        <v>8.2100000000000006E-2</v>
      </c>
      <c r="N26" s="206"/>
      <c r="O26" s="206">
        <v>8.2199999999999995E-2</v>
      </c>
      <c r="P26" s="206"/>
      <c r="Q26" s="206">
        <v>8.2000000000000003E-2</v>
      </c>
      <c r="R26" s="206"/>
      <c r="S26" s="206">
        <v>8.2199999999999995E-2</v>
      </c>
      <c r="T26" s="206"/>
      <c r="U26" s="206">
        <v>8.2699999999999996E-2</v>
      </c>
      <c r="V26" s="206"/>
      <c r="W26" s="206">
        <v>8.2799999999999999E-2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164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165</v>
      </c>
      <c r="B28" s="219"/>
      <c r="C28" s="64" t="s">
        <v>166</v>
      </c>
      <c r="D28" s="63" t="s">
        <v>167</v>
      </c>
      <c r="E28" s="50">
        <v>1.92</v>
      </c>
      <c r="F28" s="51" t="s">
        <v>109</v>
      </c>
      <c r="G28" s="52" t="s">
        <v>168</v>
      </c>
      <c r="H28" s="53" t="s">
        <v>110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64" t="s">
        <v>166</v>
      </c>
      <c r="D29" s="63" t="s">
        <v>50</v>
      </c>
      <c r="E29" s="50">
        <v>2.0099999999999998</v>
      </c>
      <c r="F29" s="51" t="s">
        <v>169</v>
      </c>
      <c r="G29" s="52" t="s">
        <v>170</v>
      </c>
      <c r="H29" s="53" t="s">
        <v>111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171</v>
      </c>
      <c r="B30" s="199"/>
      <c r="C30" s="201" t="s">
        <v>172</v>
      </c>
      <c r="D30" s="197" t="s">
        <v>114</v>
      </c>
      <c r="E30" s="203">
        <v>8.2000000000000003E-2</v>
      </c>
      <c r="F30" s="204"/>
      <c r="G30" s="42" t="s">
        <v>158</v>
      </c>
      <c r="H30" s="48">
        <v>2E-3</v>
      </c>
      <c r="I30" s="223">
        <v>8.2500000000000004E-2</v>
      </c>
      <c r="J30" s="223"/>
      <c r="K30" s="223">
        <v>8.2600000000000007E-2</v>
      </c>
      <c r="L30" s="223"/>
      <c r="M30" s="223">
        <v>8.2299999999999998E-2</v>
      </c>
      <c r="N30" s="223"/>
      <c r="O30" s="223">
        <v>8.2900000000000001E-2</v>
      </c>
      <c r="P30" s="223"/>
      <c r="Q30" s="223">
        <v>8.2500000000000004E-2</v>
      </c>
      <c r="R30" s="223"/>
      <c r="S30" s="223">
        <v>8.2400000000000001E-2</v>
      </c>
      <c r="T30" s="223"/>
      <c r="U30" s="223">
        <v>8.2500000000000004E-2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113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173</v>
      </c>
      <c r="B32" s="199"/>
      <c r="C32" s="201" t="s">
        <v>116</v>
      </c>
      <c r="D32" s="197" t="s">
        <v>162</v>
      </c>
      <c r="E32" s="203">
        <v>0.43</v>
      </c>
      <c r="F32" s="204"/>
      <c r="G32" s="42" t="s">
        <v>158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</v>
      </c>
      <c r="N32" s="223"/>
      <c r="O32" s="223">
        <v>0.4335</v>
      </c>
      <c r="P32" s="223"/>
      <c r="Q32" s="223">
        <v>0.434</v>
      </c>
      <c r="R32" s="223"/>
      <c r="S32" s="223">
        <v>0.433</v>
      </c>
      <c r="T32" s="223"/>
      <c r="U32" s="223">
        <v>0.4335</v>
      </c>
      <c r="V32" s="223"/>
      <c r="W32" s="223">
        <v>0.4335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164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115</v>
      </c>
      <c r="B34" s="199"/>
      <c r="C34" s="201" t="s">
        <v>174</v>
      </c>
      <c r="D34" s="197" t="s">
        <v>114</v>
      </c>
      <c r="E34" s="203">
        <v>0.39500000000000002</v>
      </c>
      <c r="F34" s="204"/>
      <c r="G34" s="42" t="s">
        <v>158</v>
      </c>
      <c r="H34" s="48">
        <v>5.0000000000000001E-3</v>
      </c>
      <c r="I34" s="206">
        <v>0.39350000000000002</v>
      </c>
      <c r="J34" s="206"/>
      <c r="K34" s="206">
        <v>0.39300000000000002</v>
      </c>
      <c r="L34" s="206"/>
      <c r="M34" s="206">
        <v>0.39350000000000002</v>
      </c>
      <c r="N34" s="206"/>
      <c r="O34" s="206">
        <v>0.39400000000000002</v>
      </c>
      <c r="P34" s="206"/>
      <c r="Q34" s="206">
        <v>0.39300000000000002</v>
      </c>
      <c r="R34" s="206"/>
      <c r="S34" s="206">
        <v>0.39300000000000002</v>
      </c>
      <c r="T34" s="206"/>
      <c r="U34" s="206">
        <v>0.39400000000000002</v>
      </c>
      <c r="V34" s="206"/>
      <c r="W34" s="206">
        <v>0.39300000000000002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113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175</v>
      </c>
      <c r="B36" s="199"/>
      <c r="C36" s="225" t="s">
        <v>117</v>
      </c>
      <c r="D36" s="68" t="s">
        <v>118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65" t="s">
        <v>176</v>
      </c>
      <c r="E37" s="66"/>
      <c r="F37" s="66"/>
      <c r="G37" s="66"/>
      <c r="H37" s="67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177</v>
      </c>
      <c r="B38" s="199"/>
      <c r="C38" s="24" t="s">
        <v>66</v>
      </c>
      <c r="D38" s="47" t="s">
        <v>120</v>
      </c>
      <c r="E38" s="69"/>
      <c r="F38" s="69"/>
      <c r="G38" s="69"/>
      <c r="H38" s="70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65" t="s">
        <v>122</v>
      </c>
      <c r="E39" s="66"/>
      <c r="F39" s="66"/>
      <c r="G39" s="66"/>
      <c r="H39" s="67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179</v>
      </c>
      <c r="D40" s="68" t="s">
        <v>180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65" t="s">
        <v>181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182</v>
      </c>
      <c r="B42" s="199"/>
      <c r="C42" s="24" t="s">
        <v>119</v>
      </c>
      <c r="D42" s="68" t="s">
        <v>124</v>
      </c>
      <c r="E42" s="71"/>
      <c r="F42" s="72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183</v>
      </c>
      <c r="D43" s="65" t="s">
        <v>125</v>
      </c>
      <c r="E43" s="73"/>
      <c r="F43" s="73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184</v>
      </c>
      <c r="B44" s="199"/>
      <c r="C44" s="225" t="s">
        <v>178</v>
      </c>
      <c r="D44" s="68" t="s">
        <v>126</v>
      </c>
      <c r="E44" s="71"/>
      <c r="F44" s="72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65" t="s">
        <v>185</v>
      </c>
      <c r="E45" s="73"/>
      <c r="F45" s="73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127</v>
      </c>
      <c r="B46" s="199"/>
      <c r="C46" s="225" t="s">
        <v>119</v>
      </c>
      <c r="D46" s="68" t="s">
        <v>186</v>
      </c>
      <c r="E46" s="69"/>
      <c r="F46" s="69"/>
      <c r="G46" s="69"/>
      <c r="H46" s="70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65" t="s">
        <v>128</v>
      </c>
      <c r="E47" s="66"/>
      <c r="F47" s="66"/>
      <c r="G47" s="66"/>
      <c r="H47" s="67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119</v>
      </c>
      <c r="D48" s="68" t="s">
        <v>187</v>
      </c>
      <c r="E48" s="69"/>
      <c r="F48" s="69"/>
      <c r="G48" s="69"/>
      <c r="H48" s="70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65" t="s">
        <v>130</v>
      </c>
      <c r="E49" s="66"/>
      <c r="F49" s="66"/>
      <c r="G49" s="66"/>
      <c r="H49" s="67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189</v>
      </c>
      <c r="D50" s="68" t="s">
        <v>131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65" t="s">
        <v>132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133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134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190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137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191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192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141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138</v>
      </c>
      <c r="K76" s="287"/>
      <c r="L76" s="288" t="s">
        <v>140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193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79" priority="7" operator="greaterThan">
      <formula>$AA$26</formula>
    </cfRule>
    <cfRule type="cellIs" dxfId="178" priority="8" operator="lessThan">
      <formula>$AA$27</formula>
    </cfRule>
  </conditionalFormatting>
  <conditionalFormatting sqref="I28:X28">
    <cfRule type="cellIs" dxfId="177" priority="5" operator="equal">
      <formula>$AA$24</formula>
    </cfRule>
    <cfRule type="cellIs" dxfId="176" priority="6" operator="notEqual">
      <formula>$AB$24</formula>
    </cfRule>
  </conditionalFormatting>
  <conditionalFormatting sqref="I29:X29">
    <cfRule type="cellIs" dxfId="175" priority="3" operator="equal">
      <formula>$AA$25</formula>
    </cfRule>
    <cfRule type="cellIs" dxfId="174" priority="4" operator="notEqual">
      <formula>$AB$25</formula>
    </cfRule>
  </conditionalFormatting>
  <conditionalFormatting sqref="I30:X31">
    <cfRule type="cellIs" dxfId="173" priority="9" operator="greaterThan">
      <formula>$AA$30</formula>
    </cfRule>
    <cfRule type="cellIs" dxfId="172" priority="10" operator="lessThan">
      <formula>$AA$31</formula>
    </cfRule>
  </conditionalFormatting>
  <conditionalFormatting sqref="I32:X33">
    <cfRule type="cellIs" dxfId="171" priority="11" operator="greaterThan">
      <formula>$AA$32</formula>
    </cfRule>
    <cfRule type="cellIs" dxfId="170" priority="12" operator="lessThan">
      <formula>$AA$33</formula>
    </cfRule>
  </conditionalFormatting>
  <conditionalFormatting sqref="I34:X35">
    <cfRule type="cellIs" dxfId="169" priority="1" operator="greaterThan">
      <formula>$AA$34</formula>
    </cfRule>
    <cfRule type="cellIs" dxfId="1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87" t="s">
        <v>2</v>
      </c>
      <c r="E2" s="34"/>
      <c r="F2" s="144" t="s">
        <v>42</v>
      </c>
      <c r="G2" s="144"/>
      <c r="H2" s="144"/>
      <c r="I2" s="144"/>
      <c r="J2" s="144"/>
      <c r="K2" s="168"/>
      <c r="L2" s="87" t="s">
        <v>4</v>
      </c>
      <c r="M2" s="144">
        <v>10</v>
      </c>
      <c r="N2" s="145"/>
      <c r="O2" s="87" t="s">
        <v>6</v>
      </c>
      <c r="P2" s="171" t="s">
        <v>144</v>
      </c>
      <c r="Q2" s="172"/>
      <c r="R2" s="172"/>
      <c r="S2" s="172"/>
      <c r="T2" s="172"/>
      <c r="U2" s="172"/>
      <c r="V2" s="173"/>
      <c r="W2" s="87" t="s">
        <v>25</v>
      </c>
      <c r="X2" s="25">
        <v>1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89" t="s">
        <v>3</v>
      </c>
      <c r="E3" s="35"/>
      <c r="F3" s="169"/>
      <c r="G3" s="169"/>
      <c r="H3" s="169"/>
      <c r="I3" s="169"/>
      <c r="J3" s="169"/>
      <c r="K3" s="170"/>
      <c r="L3" s="89" t="s">
        <v>5</v>
      </c>
      <c r="M3" s="146"/>
      <c r="N3" s="147"/>
      <c r="O3" s="89" t="s">
        <v>7</v>
      </c>
      <c r="P3" s="174"/>
      <c r="Q3" s="174"/>
      <c r="R3" s="174"/>
      <c r="S3" s="174"/>
      <c r="T3" s="174"/>
      <c r="U3" s="174"/>
      <c r="V3" s="175"/>
      <c r="W3" s="89" t="s">
        <v>8</v>
      </c>
      <c r="X3" s="88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87" t="s">
        <v>9</v>
      </c>
      <c r="P4" s="5"/>
      <c r="Q4" s="139" t="s">
        <v>194</v>
      </c>
      <c r="R4" s="140"/>
      <c r="S4" s="140"/>
      <c r="T4" s="141"/>
      <c r="U4" s="87" t="s">
        <v>11</v>
      </c>
      <c r="V4" s="6"/>
      <c r="W4" s="144" t="s">
        <v>96</v>
      </c>
      <c r="X4" s="145"/>
      <c r="Z4" s="27" t="s">
        <v>150</v>
      </c>
    </row>
    <row r="5" spans="1:26" ht="9.9499999999999993" customHeight="1" x14ac:dyDescent="0.2">
      <c r="A5" s="20" t="s">
        <v>151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89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155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112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113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75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100</v>
      </c>
    </row>
    <row r="26" spans="1:28" s="18" customFormat="1" ht="9.9499999999999993" customHeight="1" x14ac:dyDescent="0.25">
      <c r="A26" s="199" t="s">
        <v>52</v>
      </c>
      <c r="B26" s="199"/>
      <c r="C26" s="201" t="s">
        <v>163</v>
      </c>
      <c r="D26" s="197" t="s">
        <v>50</v>
      </c>
      <c r="E26" s="203">
        <v>8.2000000000000003E-2</v>
      </c>
      <c r="F26" s="204"/>
      <c r="G26" s="42" t="s">
        <v>112</v>
      </c>
      <c r="H26" s="48">
        <v>2E-3</v>
      </c>
      <c r="I26" s="206">
        <v>8.2699999999999996E-2</v>
      </c>
      <c r="J26" s="206"/>
      <c r="K26" s="206">
        <v>8.2699999999999996E-2</v>
      </c>
      <c r="L26" s="206"/>
      <c r="M26" s="206">
        <v>8.2400000000000001E-2</v>
      </c>
      <c r="N26" s="206"/>
      <c r="O26" s="206">
        <v>8.2699999999999996E-2</v>
      </c>
      <c r="P26" s="206"/>
      <c r="Q26" s="206">
        <v>8.3000000000000004E-2</v>
      </c>
      <c r="R26" s="206"/>
      <c r="S26" s="206">
        <v>8.2400000000000001E-2</v>
      </c>
      <c r="T26" s="206"/>
      <c r="U26" s="206">
        <v>8.2500000000000004E-2</v>
      </c>
      <c r="V26" s="206"/>
      <c r="W26" s="206">
        <v>8.2699999999999996E-2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113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77" t="s">
        <v>55</v>
      </c>
      <c r="D28" s="84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77" t="s">
        <v>55</v>
      </c>
      <c r="D29" s="84" t="s">
        <v>50</v>
      </c>
      <c r="E29" s="50">
        <v>2.0099999999999998</v>
      </c>
      <c r="F29" s="51" t="s">
        <v>109</v>
      </c>
      <c r="G29" s="52" t="s">
        <v>170</v>
      </c>
      <c r="H29" s="53" t="s">
        <v>100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112</v>
      </c>
      <c r="H30" s="48">
        <v>2E-3</v>
      </c>
      <c r="I30" s="223">
        <v>8.2500000000000004E-2</v>
      </c>
      <c r="J30" s="223"/>
      <c r="K30" s="223">
        <v>8.2600000000000007E-2</v>
      </c>
      <c r="L30" s="223"/>
      <c r="M30" s="223">
        <v>8.2600000000000007E-2</v>
      </c>
      <c r="N30" s="223"/>
      <c r="O30" s="223">
        <v>8.2600000000000007E-2</v>
      </c>
      <c r="P30" s="223"/>
      <c r="Q30" s="223">
        <v>8.2600000000000007E-2</v>
      </c>
      <c r="R30" s="223"/>
      <c r="S30" s="223">
        <v>8.2500000000000004E-2</v>
      </c>
      <c r="T30" s="223"/>
      <c r="U30" s="223">
        <v>8.2600000000000007E-2</v>
      </c>
      <c r="V30" s="223"/>
      <c r="W30" s="223">
        <v>8.2400000000000001E-2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113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173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112</v>
      </c>
      <c r="H32" s="48">
        <v>5.0000000000000001E-3</v>
      </c>
      <c r="I32" s="223">
        <v>0.434</v>
      </c>
      <c r="J32" s="223"/>
      <c r="K32" s="223">
        <v>0.4335</v>
      </c>
      <c r="L32" s="223"/>
      <c r="M32" s="223">
        <v>0.433</v>
      </c>
      <c r="N32" s="223"/>
      <c r="O32" s="223">
        <v>0.434</v>
      </c>
      <c r="P32" s="223"/>
      <c r="Q32" s="223">
        <v>0.4335</v>
      </c>
      <c r="R32" s="223"/>
      <c r="S32" s="223">
        <v>0.4335</v>
      </c>
      <c r="T32" s="223"/>
      <c r="U32" s="223">
        <v>0.4335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113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112</v>
      </c>
      <c r="H34" s="48">
        <v>5.0000000000000001E-3</v>
      </c>
      <c r="I34" s="206">
        <v>0.39350000000000002</v>
      </c>
      <c r="J34" s="206"/>
      <c r="K34" s="206">
        <v>0.39400000000000002</v>
      </c>
      <c r="L34" s="206"/>
      <c r="M34" s="206">
        <v>0.39450000000000002</v>
      </c>
      <c r="N34" s="206"/>
      <c r="O34" s="206">
        <v>0.39400000000000002</v>
      </c>
      <c r="P34" s="206"/>
      <c r="Q34" s="206">
        <v>0.39400000000000002</v>
      </c>
      <c r="R34" s="206"/>
      <c r="S34" s="206">
        <v>0.39450000000000002</v>
      </c>
      <c r="T34" s="206"/>
      <c r="U34" s="206">
        <v>0.39350000000000002</v>
      </c>
      <c r="V34" s="206"/>
      <c r="W34" s="206">
        <v>0.39350000000000002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113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81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78" t="s">
        <v>64</v>
      </c>
      <c r="E37" s="79"/>
      <c r="F37" s="79"/>
      <c r="G37" s="79"/>
      <c r="H37" s="8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82"/>
      <c r="F38" s="82"/>
      <c r="G38" s="82"/>
      <c r="H38" s="83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78" t="s">
        <v>69</v>
      </c>
      <c r="E39" s="79"/>
      <c r="F39" s="79"/>
      <c r="G39" s="79"/>
      <c r="H39" s="8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81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78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81" t="s">
        <v>124</v>
      </c>
      <c r="E42" s="76"/>
      <c r="F42" s="85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78" t="s">
        <v>75</v>
      </c>
      <c r="E43" s="86"/>
      <c r="F43" s="86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184</v>
      </c>
      <c r="B44" s="199"/>
      <c r="C44" s="225" t="s">
        <v>71</v>
      </c>
      <c r="D44" s="81" t="s">
        <v>77</v>
      </c>
      <c r="E44" s="76"/>
      <c r="F44" s="85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78" t="s">
        <v>78</v>
      </c>
      <c r="E45" s="86"/>
      <c r="F45" s="86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81" t="s">
        <v>80</v>
      </c>
      <c r="E46" s="82"/>
      <c r="F46" s="82"/>
      <c r="G46" s="82"/>
      <c r="H46" s="8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78" t="s">
        <v>81</v>
      </c>
      <c r="E47" s="79"/>
      <c r="F47" s="79"/>
      <c r="G47" s="79"/>
      <c r="H47" s="8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81" t="s">
        <v>83</v>
      </c>
      <c r="E48" s="82"/>
      <c r="F48" s="82"/>
      <c r="G48" s="82"/>
      <c r="H48" s="83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78" t="s">
        <v>84</v>
      </c>
      <c r="E49" s="79"/>
      <c r="F49" s="79"/>
      <c r="G49" s="79"/>
      <c r="H49" s="8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81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78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7" priority="7" operator="greaterThan">
      <formula>$AA$26</formula>
    </cfRule>
    <cfRule type="cellIs" dxfId="166" priority="8" operator="lessThan">
      <formula>$AA$27</formula>
    </cfRule>
  </conditionalFormatting>
  <conditionalFormatting sqref="I28:X28">
    <cfRule type="cellIs" dxfId="165" priority="5" operator="equal">
      <formula>$AA$24</formula>
    </cfRule>
    <cfRule type="cellIs" dxfId="164" priority="6" operator="notEqual">
      <formula>$AB$24</formula>
    </cfRule>
  </conditionalFormatting>
  <conditionalFormatting sqref="I29:X29">
    <cfRule type="cellIs" dxfId="163" priority="3" operator="equal">
      <formula>$AA$25</formula>
    </cfRule>
    <cfRule type="cellIs" dxfId="162" priority="4" operator="notEqual">
      <formula>$AB$25</formula>
    </cfRule>
  </conditionalFormatting>
  <conditionalFormatting sqref="I30:X31">
    <cfRule type="cellIs" dxfId="161" priority="9" operator="greaterThan">
      <formula>$AA$30</formula>
    </cfRule>
    <cfRule type="cellIs" dxfId="160" priority="10" operator="lessThan">
      <formula>$AA$31</formula>
    </cfRule>
  </conditionalFormatting>
  <conditionalFormatting sqref="I32:X33">
    <cfRule type="cellIs" dxfId="159" priority="11" operator="greaterThan">
      <formula>$AA$32</formula>
    </cfRule>
    <cfRule type="cellIs" dxfId="158" priority="12" operator="lessThan">
      <formula>$AA$33</formula>
    </cfRule>
  </conditionalFormatting>
  <conditionalFormatting sqref="I34:X35">
    <cfRule type="cellIs" dxfId="157" priority="1" operator="greaterThan">
      <formula>$AA$34</formula>
    </cfRule>
    <cfRule type="cellIs" dxfId="1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87" t="s">
        <v>2</v>
      </c>
      <c r="E2" s="34"/>
      <c r="F2" s="144" t="s">
        <v>42</v>
      </c>
      <c r="G2" s="144"/>
      <c r="H2" s="144"/>
      <c r="I2" s="144"/>
      <c r="J2" s="144"/>
      <c r="K2" s="168"/>
      <c r="L2" s="87" t="s">
        <v>4</v>
      </c>
      <c r="M2" s="144">
        <v>10</v>
      </c>
      <c r="N2" s="145"/>
      <c r="O2" s="87" t="s">
        <v>6</v>
      </c>
      <c r="P2" s="171" t="s">
        <v>144</v>
      </c>
      <c r="Q2" s="172"/>
      <c r="R2" s="172"/>
      <c r="S2" s="172"/>
      <c r="T2" s="172"/>
      <c r="U2" s="172"/>
      <c r="V2" s="173"/>
      <c r="W2" s="87" t="s">
        <v>25</v>
      </c>
      <c r="X2" s="25">
        <v>2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89" t="s">
        <v>3</v>
      </c>
      <c r="E3" s="35"/>
      <c r="F3" s="169"/>
      <c r="G3" s="169"/>
      <c r="H3" s="169"/>
      <c r="I3" s="169"/>
      <c r="J3" s="169"/>
      <c r="K3" s="170"/>
      <c r="L3" s="89" t="s">
        <v>5</v>
      </c>
      <c r="M3" s="146"/>
      <c r="N3" s="147"/>
      <c r="O3" s="89" t="s">
        <v>7</v>
      </c>
      <c r="P3" s="174"/>
      <c r="Q3" s="174"/>
      <c r="R3" s="174"/>
      <c r="S3" s="174"/>
      <c r="T3" s="174"/>
      <c r="U3" s="174"/>
      <c r="V3" s="175"/>
      <c r="W3" s="89" t="s">
        <v>8</v>
      </c>
      <c r="X3" s="88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87" t="s">
        <v>9</v>
      </c>
      <c r="P4" s="5"/>
      <c r="Q4" s="139" t="s">
        <v>195</v>
      </c>
      <c r="R4" s="140"/>
      <c r="S4" s="140"/>
      <c r="T4" s="141"/>
      <c r="U4" s="87" t="s">
        <v>11</v>
      </c>
      <c r="V4" s="6"/>
      <c r="W4" s="144" t="s">
        <v>96</v>
      </c>
      <c r="X4" s="145"/>
      <c r="Z4" s="27" t="s">
        <v>150</v>
      </c>
    </row>
    <row r="5" spans="1:26" ht="9.9499999999999993" customHeight="1" x14ac:dyDescent="0.2">
      <c r="A5" s="20" t="s">
        <v>151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89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155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112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113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75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100</v>
      </c>
    </row>
    <row r="26" spans="1:28" s="18" customFormat="1" ht="9.9499999999999993" customHeight="1" x14ac:dyDescent="0.25">
      <c r="A26" s="199" t="s">
        <v>52</v>
      </c>
      <c r="B26" s="199"/>
      <c r="C26" s="201" t="s">
        <v>163</v>
      </c>
      <c r="D26" s="197" t="s">
        <v>50</v>
      </c>
      <c r="E26" s="203">
        <v>8.2000000000000003E-2</v>
      </c>
      <c r="F26" s="204"/>
      <c r="G26" s="42" t="s">
        <v>112</v>
      </c>
      <c r="H26" s="48">
        <v>2E-3</v>
      </c>
      <c r="I26" s="206">
        <v>8.2799999999999999E-2</v>
      </c>
      <c r="J26" s="206"/>
      <c r="K26" s="206">
        <v>8.2400000000000001E-2</v>
      </c>
      <c r="L26" s="206"/>
      <c r="M26" s="206">
        <v>8.2299999999999998E-2</v>
      </c>
      <c r="N26" s="206"/>
      <c r="O26" s="206">
        <v>8.2199999999999995E-2</v>
      </c>
      <c r="P26" s="206"/>
      <c r="Q26" s="206">
        <v>8.2199999999999995E-2</v>
      </c>
      <c r="R26" s="206"/>
      <c r="S26" s="206">
        <v>8.2400000000000001E-2</v>
      </c>
      <c r="T26" s="206"/>
      <c r="U26" s="206">
        <v>8.2699999999999996E-2</v>
      </c>
      <c r="V26" s="206"/>
      <c r="W26" s="206">
        <v>8.2799999999999999E-2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113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77" t="s">
        <v>55</v>
      </c>
      <c r="D28" s="84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77" t="s">
        <v>55</v>
      </c>
      <c r="D29" s="84" t="s">
        <v>50</v>
      </c>
      <c r="E29" s="50">
        <v>2.0099999999999998</v>
      </c>
      <c r="F29" s="51" t="s">
        <v>109</v>
      </c>
      <c r="G29" s="52" t="s">
        <v>170</v>
      </c>
      <c r="H29" s="53" t="s">
        <v>100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112</v>
      </c>
      <c r="H30" s="48">
        <v>2E-3</v>
      </c>
      <c r="I30" s="223">
        <v>8.2400000000000001E-2</v>
      </c>
      <c r="J30" s="223"/>
      <c r="K30" s="223">
        <v>8.2400000000000001E-2</v>
      </c>
      <c r="L30" s="223"/>
      <c r="M30" s="223">
        <v>8.2400000000000001E-2</v>
      </c>
      <c r="N30" s="223"/>
      <c r="O30" s="223">
        <v>8.2699999999999996E-2</v>
      </c>
      <c r="P30" s="223"/>
      <c r="Q30" s="223">
        <v>8.2699999999999996E-2</v>
      </c>
      <c r="R30" s="223"/>
      <c r="S30" s="223">
        <v>8.2500000000000004E-2</v>
      </c>
      <c r="T30" s="223"/>
      <c r="U30" s="223">
        <v>8.2500000000000004E-2</v>
      </c>
      <c r="V30" s="223"/>
      <c r="W30" s="223">
        <v>8.2699999999999996E-2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113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173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112</v>
      </c>
      <c r="H32" s="48">
        <v>5.0000000000000001E-3</v>
      </c>
      <c r="I32" s="223">
        <v>0.4335</v>
      </c>
      <c r="J32" s="223"/>
      <c r="K32" s="223">
        <v>0.433</v>
      </c>
      <c r="L32" s="223"/>
      <c r="M32" s="223">
        <v>0.433</v>
      </c>
      <c r="N32" s="223"/>
      <c r="O32" s="223">
        <v>0.4335</v>
      </c>
      <c r="P32" s="223"/>
      <c r="Q32" s="223">
        <v>0.434</v>
      </c>
      <c r="R32" s="223"/>
      <c r="S32" s="223">
        <v>0.4335</v>
      </c>
      <c r="T32" s="223"/>
      <c r="U32" s="223">
        <v>0.4335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113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112</v>
      </c>
      <c r="H34" s="48">
        <v>5.0000000000000001E-3</v>
      </c>
      <c r="I34" s="206">
        <v>0.39400000000000002</v>
      </c>
      <c r="J34" s="206"/>
      <c r="K34" s="206">
        <v>0.39300000000000002</v>
      </c>
      <c r="L34" s="206"/>
      <c r="M34" s="206">
        <v>0.39350000000000002</v>
      </c>
      <c r="N34" s="206"/>
      <c r="O34" s="206">
        <v>0.39350000000000002</v>
      </c>
      <c r="P34" s="206"/>
      <c r="Q34" s="206">
        <v>0.39400000000000002</v>
      </c>
      <c r="R34" s="206"/>
      <c r="S34" s="206">
        <v>0.39300000000000002</v>
      </c>
      <c r="T34" s="206"/>
      <c r="U34" s="206">
        <v>0.39300000000000002</v>
      </c>
      <c r="V34" s="206"/>
      <c r="W34" s="206">
        <v>0.39300000000000002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113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81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78" t="s">
        <v>64</v>
      </c>
      <c r="E37" s="79"/>
      <c r="F37" s="79"/>
      <c r="G37" s="79"/>
      <c r="H37" s="8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82"/>
      <c r="F38" s="82"/>
      <c r="G38" s="82"/>
      <c r="H38" s="83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78" t="s">
        <v>69</v>
      </c>
      <c r="E39" s="79"/>
      <c r="F39" s="79"/>
      <c r="G39" s="79"/>
      <c r="H39" s="8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81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78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81" t="s">
        <v>124</v>
      </c>
      <c r="E42" s="76"/>
      <c r="F42" s="85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78" t="s">
        <v>75</v>
      </c>
      <c r="E43" s="86"/>
      <c r="F43" s="86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184</v>
      </c>
      <c r="B44" s="199"/>
      <c r="C44" s="225" t="s">
        <v>71</v>
      </c>
      <c r="D44" s="81" t="s">
        <v>77</v>
      </c>
      <c r="E44" s="76"/>
      <c r="F44" s="85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78" t="s">
        <v>78</v>
      </c>
      <c r="E45" s="86"/>
      <c r="F45" s="86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81" t="s">
        <v>80</v>
      </c>
      <c r="E46" s="82"/>
      <c r="F46" s="82"/>
      <c r="G46" s="82"/>
      <c r="H46" s="8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78" t="s">
        <v>81</v>
      </c>
      <c r="E47" s="79"/>
      <c r="F47" s="79"/>
      <c r="G47" s="79"/>
      <c r="H47" s="8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81" t="s">
        <v>83</v>
      </c>
      <c r="E48" s="82"/>
      <c r="F48" s="82"/>
      <c r="G48" s="82"/>
      <c r="H48" s="83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78" t="s">
        <v>84</v>
      </c>
      <c r="E49" s="79"/>
      <c r="F49" s="79"/>
      <c r="G49" s="79"/>
      <c r="H49" s="8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81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78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5" priority="7" operator="greaterThan">
      <formula>$AA$26</formula>
    </cfRule>
    <cfRule type="cellIs" dxfId="154" priority="8" operator="lessThan">
      <formula>$AA$27</formula>
    </cfRule>
  </conditionalFormatting>
  <conditionalFormatting sqref="I28:X28">
    <cfRule type="cellIs" dxfId="153" priority="5" operator="equal">
      <formula>$AA$24</formula>
    </cfRule>
    <cfRule type="cellIs" dxfId="152" priority="6" operator="notEqual">
      <formula>$AB$24</formula>
    </cfRule>
  </conditionalFormatting>
  <conditionalFormatting sqref="I29:X29">
    <cfRule type="cellIs" dxfId="151" priority="3" operator="equal">
      <formula>$AA$25</formula>
    </cfRule>
    <cfRule type="cellIs" dxfId="150" priority="4" operator="notEqual">
      <formula>$AB$25</formula>
    </cfRule>
  </conditionalFormatting>
  <conditionalFormatting sqref="I30:X31">
    <cfRule type="cellIs" dxfId="149" priority="9" operator="greaterThan">
      <formula>$AA$30</formula>
    </cfRule>
    <cfRule type="cellIs" dxfId="148" priority="10" operator="lessThan">
      <formula>$AA$31</formula>
    </cfRule>
  </conditionalFormatting>
  <conditionalFormatting sqref="I32:X33">
    <cfRule type="cellIs" dxfId="147" priority="11" operator="greaterThan">
      <formula>$AA$32</formula>
    </cfRule>
    <cfRule type="cellIs" dxfId="146" priority="12" operator="lessThan">
      <formula>$AA$33</formula>
    </cfRule>
  </conditionalFormatting>
  <conditionalFormatting sqref="I34:X35">
    <cfRule type="cellIs" dxfId="145" priority="1" operator="greaterThan">
      <formula>$AA$34</formula>
    </cfRule>
    <cfRule type="cellIs" dxfId="1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87" t="s">
        <v>2</v>
      </c>
      <c r="E2" s="34"/>
      <c r="F2" s="144" t="s">
        <v>42</v>
      </c>
      <c r="G2" s="144"/>
      <c r="H2" s="144"/>
      <c r="I2" s="144"/>
      <c r="J2" s="144"/>
      <c r="K2" s="168"/>
      <c r="L2" s="87" t="s">
        <v>4</v>
      </c>
      <c r="M2" s="144">
        <v>10</v>
      </c>
      <c r="N2" s="145"/>
      <c r="O2" s="87" t="s">
        <v>6</v>
      </c>
      <c r="P2" s="171" t="s">
        <v>144</v>
      </c>
      <c r="Q2" s="172"/>
      <c r="R2" s="172"/>
      <c r="S2" s="172"/>
      <c r="T2" s="172"/>
      <c r="U2" s="172"/>
      <c r="V2" s="173"/>
      <c r="W2" s="87" t="s">
        <v>25</v>
      </c>
      <c r="X2" s="25">
        <v>1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89" t="s">
        <v>3</v>
      </c>
      <c r="E3" s="35"/>
      <c r="F3" s="169"/>
      <c r="G3" s="169"/>
      <c r="H3" s="169"/>
      <c r="I3" s="169"/>
      <c r="J3" s="169"/>
      <c r="K3" s="170"/>
      <c r="L3" s="89" t="s">
        <v>5</v>
      </c>
      <c r="M3" s="146"/>
      <c r="N3" s="147"/>
      <c r="O3" s="89" t="s">
        <v>7</v>
      </c>
      <c r="P3" s="174"/>
      <c r="Q3" s="174"/>
      <c r="R3" s="174"/>
      <c r="S3" s="174"/>
      <c r="T3" s="174"/>
      <c r="U3" s="174"/>
      <c r="V3" s="175"/>
      <c r="W3" s="89" t="s">
        <v>8</v>
      </c>
      <c r="X3" s="88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87" t="s">
        <v>9</v>
      </c>
      <c r="P4" s="5"/>
      <c r="Q4" s="139" t="s">
        <v>196</v>
      </c>
      <c r="R4" s="140"/>
      <c r="S4" s="140"/>
      <c r="T4" s="141"/>
      <c r="U4" s="87" t="s">
        <v>11</v>
      </c>
      <c r="V4" s="6"/>
      <c r="W4" s="144" t="s">
        <v>96</v>
      </c>
      <c r="X4" s="145"/>
      <c r="Z4" s="27" t="s">
        <v>150</v>
      </c>
    </row>
    <row r="5" spans="1:26" ht="9.9499999999999993" customHeight="1" x14ac:dyDescent="0.2">
      <c r="A5" s="20" t="s">
        <v>151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89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155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112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113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75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100</v>
      </c>
    </row>
    <row r="26" spans="1:28" s="18" customFormat="1" ht="9.9499999999999993" customHeight="1" x14ac:dyDescent="0.25">
      <c r="A26" s="199" t="s">
        <v>52</v>
      </c>
      <c r="B26" s="199"/>
      <c r="C26" s="201" t="s">
        <v>163</v>
      </c>
      <c r="D26" s="197" t="s">
        <v>50</v>
      </c>
      <c r="E26" s="203">
        <v>8.2000000000000003E-2</v>
      </c>
      <c r="F26" s="204"/>
      <c r="G26" s="42" t="s">
        <v>112</v>
      </c>
      <c r="H26" s="48">
        <v>2E-3</v>
      </c>
      <c r="I26" s="206">
        <v>8.2500000000000004E-2</v>
      </c>
      <c r="J26" s="206"/>
      <c r="K26" s="206">
        <v>8.2699999999999996E-2</v>
      </c>
      <c r="L26" s="206"/>
      <c r="M26" s="206">
        <v>8.2400000000000001E-2</v>
      </c>
      <c r="N26" s="206"/>
      <c r="O26" s="206">
        <v>8.2400000000000001E-2</v>
      </c>
      <c r="P26" s="206"/>
      <c r="Q26" s="206">
        <v>8.2799999999999999E-2</v>
      </c>
      <c r="R26" s="206"/>
      <c r="S26" s="206">
        <v>8.2400000000000001E-2</v>
      </c>
      <c r="T26" s="206"/>
      <c r="U26" s="206">
        <v>8.2199999999999995E-2</v>
      </c>
      <c r="V26" s="206"/>
      <c r="W26" s="206">
        <v>8.2799999999999999E-2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113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77" t="s">
        <v>55</v>
      </c>
      <c r="D28" s="84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77" t="s">
        <v>55</v>
      </c>
      <c r="D29" s="84" t="s">
        <v>50</v>
      </c>
      <c r="E29" s="50">
        <v>2.0099999999999998</v>
      </c>
      <c r="F29" s="51" t="s">
        <v>109</v>
      </c>
      <c r="G29" s="52" t="s">
        <v>170</v>
      </c>
      <c r="H29" s="53" t="s">
        <v>100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112</v>
      </c>
      <c r="H30" s="48">
        <v>2E-3</v>
      </c>
      <c r="I30" s="223">
        <v>8.2600000000000007E-2</v>
      </c>
      <c r="J30" s="223"/>
      <c r="K30" s="223">
        <v>8.2400000000000001E-2</v>
      </c>
      <c r="L30" s="223"/>
      <c r="M30" s="223">
        <v>8.2500000000000004E-2</v>
      </c>
      <c r="N30" s="223"/>
      <c r="O30" s="223">
        <v>8.2600000000000007E-2</v>
      </c>
      <c r="P30" s="223"/>
      <c r="Q30" s="223">
        <v>8.2600000000000007E-2</v>
      </c>
      <c r="R30" s="223"/>
      <c r="S30" s="223">
        <v>8.2799999999999999E-2</v>
      </c>
      <c r="T30" s="223"/>
      <c r="U30" s="223">
        <v>8.2500000000000004E-2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113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173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112</v>
      </c>
      <c r="H32" s="48">
        <v>5.0000000000000001E-3</v>
      </c>
      <c r="I32" s="223">
        <v>0.4335</v>
      </c>
      <c r="J32" s="223"/>
      <c r="K32" s="223">
        <v>0.433</v>
      </c>
      <c r="L32" s="223"/>
      <c r="M32" s="223">
        <v>0.4335</v>
      </c>
      <c r="N32" s="223"/>
      <c r="O32" s="223">
        <v>0.434</v>
      </c>
      <c r="P32" s="223"/>
      <c r="Q32" s="223">
        <v>0.434</v>
      </c>
      <c r="R32" s="223"/>
      <c r="S32" s="223">
        <v>0.4335</v>
      </c>
      <c r="T32" s="223"/>
      <c r="U32" s="223">
        <v>0.433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113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112</v>
      </c>
      <c r="H34" s="48">
        <v>5.0000000000000001E-3</v>
      </c>
      <c r="I34" s="206">
        <v>0.39350000000000002</v>
      </c>
      <c r="J34" s="206"/>
      <c r="K34" s="206">
        <v>0.39400000000000002</v>
      </c>
      <c r="L34" s="206"/>
      <c r="M34" s="206">
        <v>0.39400000000000002</v>
      </c>
      <c r="N34" s="206"/>
      <c r="O34" s="206">
        <v>0.39450000000000002</v>
      </c>
      <c r="P34" s="206"/>
      <c r="Q34" s="206">
        <v>0.39400000000000002</v>
      </c>
      <c r="R34" s="206"/>
      <c r="S34" s="206">
        <v>0.39350000000000002</v>
      </c>
      <c r="T34" s="206"/>
      <c r="U34" s="206">
        <v>0.39400000000000002</v>
      </c>
      <c r="V34" s="206"/>
      <c r="W34" s="206">
        <v>0.39400000000000002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113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81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78" t="s">
        <v>64</v>
      </c>
      <c r="E37" s="79"/>
      <c r="F37" s="79"/>
      <c r="G37" s="79"/>
      <c r="H37" s="8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82"/>
      <c r="F38" s="82"/>
      <c r="G38" s="82"/>
      <c r="H38" s="83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78" t="s">
        <v>69</v>
      </c>
      <c r="E39" s="79"/>
      <c r="F39" s="79"/>
      <c r="G39" s="79"/>
      <c r="H39" s="8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81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78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81" t="s">
        <v>124</v>
      </c>
      <c r="E42" s="76"/>
      <c r="F42" s="85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78" t="s">
        <v>75</v>
      </c>
      <c r="E43" s="86"/>
      <c r="F43" s="86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184</v>
      </c>
      <c r="B44" s="199"/>
      <c r="C44" s="225" t="s">
        <v>71</v>
      </c>
      <c r="D44" s="81" t="s">
        <v>77</v>
      </c>
      <c r="E44" s="76"/>
      <c r="F44" s="85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78" t="s">
        <v>78</v>
      </c>
      <c r="E45" s="86"/>
      <c r="F45" s="86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81" t="s">
        <v>80</v>
      </c>
      <c r="E46" s="82"/>
      <c r="F46" s="82"/>
      <c r="G46" s="82"/>
      <c r="H46" s="8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78" t="s">
        <v>81</v>
      </c>
      <c r="E47" s="79"/>
      <c r="F47" s="79"/>
      <c r="G47" s="79"/>
      <c r="H47" s="8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81" t="s">
        <v>83</v>
      </c>
      <c r="E48" s="82"/>
      <c r="F48" s="82"/>
      <c r="G48" s="82"/>
      <c r="H48" s="83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78" t="s">
        <v>84</v>
      </c>
      <c r="E49" s="79"/>
      <c r="F49" s="79"/>
      <c r="G49" s="79"/>
      <c r="H49" s="8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81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78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3" priority="7" operator="greaterThan">
      <formula>$AA$26</formula>
    </cfRule>
    <cfRule type="cellIs" dxfId="142" priority="8" operator="lessThan">
      <formula>$AA$27</formula>
    </cfRule>
  </conditionalFormatting>
  <conditionalFormatting sqref="I28:X28">
    <cfRule type="cellIs" dxfId="141" priority="5" operator="equal">
      <formula>$AA$24</formula>
    </cfRule>
    <cfRule type="cellIs" dxfId="140" priority="6" operator="notEqual">
      <formula>$AB$24</formula>
    </cfRule>
  </conditionalFormatting>
  <conditionalFormatting sqref="I29:X29">
    <cfRule type="cellIs" dxfId="139" priority="3" operator="equal">
      <formula>$AA$25</formula>
    </cfRule>
    <cfRule type="cellIs" dxfId="138" priority="4" operator="notEqual">
      <formula>$AB$25</formula>
    </cfRule>
  </conditionalFormatting>
  <conditionalFormatting sqref="I30:X31">
    <cfRule type="cellIs" dxfId="137" priority="9" operator="greaterThan">
      <formula>$AA$30</formula>
    </cfRule>
    <cfRule type="cellIs" dxfId="136" priority="10" operator="lessThan">
      <formula>$AA$31</formula>
    </cfRule>
  </conditionalFormatting>
  <conditionalFormatting sqref="I32:X33">
    <cfRule type="cellIs" dxfId="135" priority="11" operator="greaterThan">
      <formula>$AA$32</formula>
    </cfRule>
    <cfRule type="cellIs" dxfId="134" priority="12" operator="lessThan">
      <formula>$AA$33</formula>
    </cfRule>
  </conditionalFormatting>
  <conditionalFormatting sqref="I34:X35">
    <cfRule type="cellIs" dxfId="133" priority="1" operator="greaterThan">
      <formula>$AA$34</formula>
    </cfRule>
    <cfRule type="cellIs" dxfId="13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87" t="s">
        <v>2</v>
      </c>
      <c r="E2" s="34"/>
      <c r="F2" s="144" t="s">
        <v>42</v>
      </c>
      <c r="G2" s="144"/>
      <c r="H2" s="144"/>
      <c r="I2" s="144"/>
      <c r="J2" s="144"/>
      <c r="K2" s="168"/>
      <c r="L2" s="87" t="s">
        <v>4</v>
      </c>
      <c r="M2" s="144">
        <v>10</v>
      </c>
      <c r="N2" s="145"/>
      <c r="O2" s="87" t="s">
        <v>6</v>
      </c>
      <c r="P2" s="171" t="s">
        <v>144</v>
      </c>
      <c r="Q2" s="172"/>
      <c r="R2" s="172"/>
      <c r="S2" s="172"/>
      <c r="T2" s="172"/>
      <c r="U2" s="172"/>
      <c r="V2" s="173"/>
      <c r="W2" s="87" t="s">
        <v>25</v>
      </c>
      <c r="X2" s="25">
        <v>2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89" t="s">
        <v>3</v>
      </c>
      <c r="E3" s="35"/>
      <c r="F3" s="169"/>
      <c r="G3" s="169"/>
      <c r="H3" s="169"/>
      <c r="I3" s="169"/>
      <c r="J3" s="169"/>
      <c r="K3" s="170"/>
      <c r="L3" s="89" t="s">
        <v>5</v>
      </c>
      <c r="M3" s="146"/>
      <c r="N3" s="147"/>
      <c r="O3" s="89" t="s">
        <v>7</v>
      </c>
      <c r="P3" s="174"/>
      <c r="Q3" s="174"/>
      <c r="R3" s="174"/>
      <c r="S3" s="174"/>
      <c r="T3" s="174"/>
      <c r="U3" s="174"/>
      <c r="V3" s="175"/>
      <c r="W3" s="89" t="s">
        <v>8</v>
      </c>
      <c r="X3" s="88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87" t="s">
        <v>9</v>
      </c>
      <c r="P4" s="5"/>
      <c r="Q4" s="139" t="s">
        <v>197</v>
      </c>
      <c r="R4" s="140"/>
      <c r="S4" s="140"/>
      <c r="T4" s="141"/>
      <c r="U4" s="87" t="s">
        <v>11</v>
      </c>
      <c r="V4" s="6"/>
      <c r="W4" s="144" t="s">
        <v>96</v>
      </c>
      <c r="X4" s="145"/>
      <c r="Z4" s="27" t="s">
        <v>150</v>
      </c>
    </row>
    <row r="5" spans="1:26" ht="9.9499999999999993" customHeight="1" x14ac:dyDescent="0.2">
      <c r="A5" s="20" t="s">
        <v>151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89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155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112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113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75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100</v>
      </c>
    </row>
    <row r="26" spans="1:28" s="18" customFormat="1" ht="9.9499999999999993" customHeight="1" x14ac:dyDescent="0.25">
      <c r="A26" s="199" t="s">
        <v>52</v>
      </c>
      <c r="B26" s="199"/>
      <c r="C26" s="201" t="s">
        <v>163</v>
      </c>
      <c r="D26" s="197" t="s">
        <v>50</v>
      </c>
      <c r="E26" s="203">
        <v>8.2000000000000003E-2</v>
      </c>
      <c r="F26" s="204"/>
      <c r="G26" s="42" t="s">
        <v>112</v>
      </c>
      <c r="H26" s="48">
        <v>2E-3</v>
      </c>
      <c r="I26" s="206">
        <v>8.3199999999999996E-2</v>
      </c>
      <c r="J26" s="206"/>
      <c r="K26" s="206">
        <v>8.2699999999999996E-2</v>
      </c>
      <c r="L26" s="206"/>
      <c r="M26" s="206">
        <v>8.2400000000000001E-2</v>
      </c>
      <c r="N26" s="206"/>
      <c r="O26" s="206">
        <v>8.2600000000000007E-2</v>
      </c>
      <c r="P26" s="206"/>
      <c r="Q26" s="206">
        <v>8.2500000000000004E-2</v>
      </c>
      <c r="R26" s="206"/>
      <c r="S26" s="206">
        <v>8.2600000000000007E-2</v>
      </c>
      <c r="T26" s="206"/>
      <c r="U26" s="206">
        <v>8.3000000000000004E-2</v>
      </c>
      <c r="V26" s="206"/>
      <c r="W26" s="206">
        <v>8.3099999999999993E-2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113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77" t="s">
        <v>55</v>
      </c>
      <c r="D28" s="84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77" t="s">
        <v>55</v>
      </c>
      <c r="D29" s="84" t="s">
        <v>50</v>
      </c>
      <c r="E29" s="50">
        <v>2.0099999999999998</v>
      </c>
      <c r="F29" s="51" t="s">
        <v>109</v>
      </c>
      <c r="G29" s="52" t="s">
        <v>170</v>
      </c>
      <c r="H29" s="53" t="s">
        <v>100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112</v>
      </c>
      <c r="H30" s="48">
        <v>2E-3</v>
      </c>
      <c r="I30" s="223">
        <v>8.2400000000000001E-2</v>
      </c>
      <c r="J30" s="223"/>
      <c r="K30" s="223">
        <v>8.2400000000000001E-2</v>
      </c>
      <c r="L30" s="223"/>
      <c r="M30" s="223">
        <v>8.2299999999999998E-2</v>
      </c>
      <c r="N30" s="223"/>
      <c r="O30" s="223">
        <v>8.2600000000000007E-2</v>
      </c>
      <c r="P30" s="223"/>
      <c r="Q30" s="223">
        <v>8.2500000000000004E-2</v>
      </c>
      <c r="R30" s="223"/>
      <c r="S30" s="223">
        <v>8.2500000000000004E-2</v>
      </c>
      <c r="T30" s="223"/>
      <c r="U30" s="223">
        <v>8.2500000000000004E-2</v>
      </c>
      <c r="V30" s="223"/>
      <c r="W30" s="223">
        <v>8.2400000000000001E-2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113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173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112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</v>
      </c>
      <c r="N32" s="223"/>
      <c r="O32" s="223">
        <v>0.4335</v>
      </c>
      <c r="P32" s="223"/>
      <c r="Q32" s="223">
        <v>0.4335</v>
      </c>
      <c r="R32" s="223"/>
      <c r="S32" s="223">
        <v>0.4335</v>
      </c>
      <c r="T32" s="223"/>
      <c r="U32" s="223">
        <v>0.4335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113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112</v>
      </c>
      <c r="H34" s="48">
        <v>5.0000000000000001E-3</v>
      </c>
      <c r="I34" s="206">
        <v>0.39400000000000002</v>
      </c>
      <c r="J34" s="206"/>
      <c r="K34" s="206">
        <v>0.39350000000000002</v>
      </c>
      <c r="L34" s="206"/>
      <c r="M34" s="206">
        <v>0.39300000000000002</v>
      </c>
      <c r="N34" s="206"/>
      <c r="O34" s="206">
        <v>0.39350000000000002</v>
      </c>
      <c r="P34" s="206"/>
      <c r="Q34" s="206">
        <v>0.39350000000000002</v>
      </c>
      <c r="R34" s="206"/>
      <c r="S34" s="206">
        <v>0.39300000000000002</v>
      </c>
      <c r="T34" s="206"/>
      <c r="U34" s="206">
        <v>0.39350000000000002</v>
      </c>
      <c r="V34" s="206"/>
      <c r="W34" s="206">
        <v>0.39350000000000002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113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81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78" t="s">
        <v>64</v>
      </c>
      <c r="E37" s="79"/>
      <c r="F37" s="79"/>
      <c r="G37" s="79"/>
      <c r="H37" s="8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82"/>
      <c r="F38" s="82"/>
      <c r="G38" s="82"/>
      <c r="H38" s="83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78" t="s">
        <v>69</v>
      </c>
      <c r="E39" s="79"/>
      <c r="F39" s="79"/>
      <c r="G39" s="79"/>
      <c r="H39" s="8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81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78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81" t="s">
        <v>124</v>
      </c>
      <c r="E42" s="76"/>
      <c r="F42" s="85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78" t="s">
        <v>75</v>
      </c>
      <c r="E43" s="86"/>
      <c r="F43" s="86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184</v>
      </c>
      <c r="B44" s="199"/>
      <c r="C44" s="225" t="s">
        <v>71</v>
      </c>
      <c r="D44" s="81" t="s">
        <v>77</v>
      </c>
      <c r="E44" s="76"/>
      <c r="F44" s="85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78" t="s">
        <v>78</v>
      </c>
      <c r="E45" s="86"/>
      <c r="F45" s="86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81" t="s">
        <v>80</v>
      </c>
      <c r="E46" s="82"/>
      <c r="F46" s="82"/>
      <c r="G46" s="82"/>
      <c r="H46" s="8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78" t="s">
        <v>81</v>
      </c>
      <c r="E47" s="79"/>
      <c r="F47" s="79"/>
      <c r="G47" s="79"/>
      <c r="H47" s="8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81" t="s">
        <v>83</v>
      </c>
      <c r="E48" s="82"/>
      <c r="F48" s="82"/>
      <c r="G48" s="82"/>
      <c r="H48" s="83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78" t="s">
        <v>84</v>
      </c>
      <c r="E49" s="79"/>
      <c r="F49" s="79"/>
      <c r="G49" s="79"/>
      <c r="H49" s="8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81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78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1" priority="7" operator="greaterThan">
      <formula>$AA$26</formula>
    </cfRule>
    <cfRule type="cellIs" dxfId="130" priority="8" operator="lessThan">
      <formula>$AA$27</formula>
    </cfRule>
  </conditionalFormatting>
  <conditionalFormatting sqref="I28:X28">
    <cfRule type="cellIs" dxfId="129" priority="5" operator="equal">
      <formula>$AA$24</formula>
    </cfRule>
    <cfRule type="cellIs" dxfId="128" priority="6" operator="notEqual">
      <formula>$AB$24</formula>
    </cfRule>
  </conditionalFormatting>
  <conditionalFormatting sqref="I29:X29">
    <cfRule type="cellIs" dxfId="127" priority="3" operator="equal">
      <formula>$AA$25</formula>
    </cfRule>
    <cfRule type="cellIs" dxfId="126" priority="4" operator="notEqual">
      <formula>$AB$25</formula>
    </cfRule>
  </conditionalFormatting>
  <conditionalFormatting sqref="I30:X31">
    <cfRule type="cellIs" dxfId="125" priority="9" operator="greaterThan">
      <formula>$AA$30</formula>
    </cfRule>
    <cfRule type="cellIs" dxfId="124" priority="10" operator="lessThan">
      <formula>$AA$31</formula>
    </cfRule>
  </conditionalFormatting>
  <conditionalFormatting sqref="I32:X33">
    <cfRule type="cellIs" dxfId="123" priority="11" operator="greaterThan">
      <formula>$AA$32</formula>
    </cfRule>
    <cfRule type="cellIs" dxfId="122" priority="12" operator="lessThan">
      <formula>$AA$33</formula>
    </cfRule>
  </conditionalFormatting>
  <conditionalFormatting sqref="I34:X35">
    <cfRule type="cellIs" dxfId="121" priority="1" operator="greaterThan">
      <formula>$AA$34</formula>
    </cfRule>
    <cfRule type="cellIs" dxfId="12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B78"/>
  <sheetViews>
    <sheetView showGridLines="0" topLeftCell="A16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06" t="s">
        <v>2</v>
      </c>
      <c r="E2" s="34"/>
      <c r="F2" s="144" t="s">
        <v>42</v>
      </c>
      <c r="G2" s="144"/>
      <c r="H2" s="144"/>
      <c r="I2" s="144"/>
      <c r="J2" s="144"/>
      <c r="K2" s="168"/>
      <c r="L2" s="106" t="s">
        <v>4</v>
      </c>
      <c r="M2" s="144">
        <v>10</v>
      </c>
      <c r="N2" s="145"/>
      <c r="O2" s="106" t="s">
        <v>6</v>
      </c>
      <c r="P2" s="171" t="s">
        <v>144</v>
      </c>
      <c r="Q2" s="172"/>
      <c r="R2" s="172"/>
      <c r="S2" s="172"/>
      <c r="T2" s="172"/>
      <c r="U2" s="172"/>
      <c r="V2" s="173"/>
      <c r="W2" s="106" t="s">
        <v>25</v>
      </c>
      <c r="X2" s="25">
        <v>1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08" t="s">
        <v>3</v>
      </c>
      <c r="E3" s="35"/>
      <c r="F3" s="169"/>
      <c r="G3" s="169"/>
      <c r="H3" s="169"/>
      <c r="I3" s="169"/>
      <c r="J3" s="169"/>
      <c r="K3" s="170"/>
      <c r="L3" s="108" t="s">
        <v>5</v>
      </c>
      <c r="M3" s="146"/>
      <c r="N3" s="147"/>
      <c r="O3" s="108" t="s">
        <v>7</v>
      </c>
      <c r="P3" s="174"/>
      <c r="Q3" s="174"/>
      <c r="R3" s="174"/>
      <c r="S3" s="174"/>
      <c r="T3" s="174"/>
      <c r="U3" s="174"/>
      <c r="V3" s="175"/>
      <c r="W3" s="108" t="s">
        <v>8</v>
      </c>
      <c r="X3" s="107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06" t="s">
        <v>9</v>
      </c>
      <c r="P4" s="5"/>
      <c r="Q4" s="139" t="s">
        <v>198</v>
      </c>
      <c r="R4" s="140"/>
      <c r="S4" s="140"/>
      <c r="T4" s="141"/>
      <c r="U4" s="106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08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94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8.2500000000000004E-2</v>
      </c>
      <c r="J26" s="206"/>
      <c r="K26" s="206">
        <v>8.2600000000000007E-2</v>
      </c>
      <c r="L26" s="206"/>
      <c r="M26" s="206">
        <v>8.2299999999999998E-2</v>
      </c>
      <c r="N26" s="206"/>
      <c r="O26" s="206">
        <v>8.2400000000000001E-2</v>
      </c>
      <c r="P26" s="206"/>
      <c r="Q26" s="206">
        <v>8.2900000000000001E-2</v>
      </c>
      <c r="R26" s="206"/>
      <c r="S26" s="206">
        <v>8.2400000000000001E-2</v>
      </c>
      <c r="T26" s="206"/>
      <c r="U26" s="206">
        <v>8.2500000000000004E-2</v>
      </c>
      <c r="V26" s="206"/>
      <c r="W26" s="206">
        <v>8.2799999999999999E-2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96" t="s">
        <v>55</v>
      </c>
      <c r="D28" s="103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96" t="s">
        <v>55</v>
      </c>
      <c r="D29" s="103" t="s">
        <v>50</v>
      </c>
      <c r="E29" s="50">
        <v>2.0099999999999998</v>
      </c>
      <c r="F29" s="51" t="s">
        <v>109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8.2500000000000004E-2</v>
      </c>
      <c r="J30" s="223"/>
      <c r="K30" s="223">
        <v>8.2299999999999998E-2</v>
      </c>
      <c r="L30" s="223"/>
      <c r="M30" s="223">
        <v>8.2400000000000001E-2</v>
      </c>
      <c r="N30" s="223"/>
      <c r="O30" s="223">
        <v>8.2299999999999998E-2</v>
      </c>
      <c r="P30" s="223"/>
      <c r="Q30" s="223">
        <v>8.2600000000000007E-2</v>
      </c>
      <c r="R30" s="223"/>
      <c r="S30" s="223">
        <v>8.2500000000000004E-2</v>
      </c>
      <c r="T30" s="223"/>
      <c r="U30" s="223">
        <v>8.2500000000000004E-2</v>
      </c>
      <c r="V30" s="223"/>
      <c r="W30" s="223">
        <v>8.2400000000000001E-2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0.4335</v>
      </c>
      <c r="N32" s="223"/>
      <c r="O32" s="223">
        <v>0.434</v>
      </c>
      <c r="P32" s="223"/>
      <c r="Q32" s="223">
        <v>0.434</v>
      </c>
      <c r="R32" s="223"/>
      <c r="S32" s="223">
        <v>0.4335</v>
      </c>
      <c r="T32" s="223"/>
      <c r="U32" s="223">
        <v>0.4335</v>
      </c>
      <c r="V32" s="223"/>
      <c r="W32" s="223">
        <v>0.4335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0.39350000000000002</v>
      </c>
      <c r="J34" s="206"/>
      <c r="K34" s="206">
        <v>0.39350000000000002</v>
      </c>
      <c r="L34" s="206"/>
      <c r="M34" s="206">
        <v>0.39400000000000002</v>
      </c>
      <c r="N34" s="206"/>
      <c r="O34" s="206">
        <v>0.39400000000000002</v>
      </c>
      <c r="P34" s="206"/>
      <c r="Q34" s="206">
        <v>0.39400000000000002</v>
      </c>
      <c r="R34" s="206"/>
      <c r="S34" s="206">
        <v>0.39400000000000002</v>
      </c>
      <c r="T34" s="206"/>
      <c r="U34" s="206">
        <v>0.39350000000000002</v>
      </c>
      <c r="V34" s="206"/>
      <c r="W34" s="206">
        <v>0.39400000000000002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00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97" t="s">
        <v>64</v>
      </c>
      <c r="E37" s="98"/>
      <c r="F37" s="98"/>
      <c r="G37" s="98"/>
      <c r="H37" s="99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01"/>
      <c r="F38" s="101"/>
      <c r="G38" s="101"/>
      <c r="H38" s="102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97" t="s">
        <v>69</v>
      </c>
      <c r="E39" s="98"/>
      <c r="F39" s="98"/>
      <c r="G39" s="98"/>
      <c r="H39" s="99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00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97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00" t="s">
        <v>74</v>
      </c>
      <c r="E42" s="95"/>
      <c r="F42" s="104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97" t="s">
        <v>75</v>
      </c>
      <c r="E43" s="105"/>
      <c r="F43" s="105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00" t="s">
        <v>77</v>
      </c>
      <c r="E44" s="95"/>
      <c r="F44" s="104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97" t="s">
        <v>78</v>
      </c>
      <c r="E45" s="105"/>
      <c r="F45" s="105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00" t="s">
        <v>80</v>
      </c>
      <c r="E46" s="101"/>
      <c r="F46" s="101"/>
      <c r="G46" s="101"/>
      <c r="H46" s="10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97" t="s">
        <v>81</v>
      </c>
      <c r="E47" s="98"/>
      <c r="F47" s="98"/>
      <c r="G47" s="98"/>
      <c r="H47" s="99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00" t="s">
        <v>83</v>
      </c>
      <c r="E48" s="101"/>
      <c r="F48" s="101"/>
      <c r="G48" s="101"/>
      <c r="H48" s="102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97" t="s">
        <v>84</v>
      </c>
      <c r="E49" s="98"/>
      <c r="F49" s="98"/>
      <c r="G49" s="98"/>
      <c r="H49" s="99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00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97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9" priority="7" operator="greaterThan">
      <formula>$AA$26</formula>
    </cfRule>
    <cfRule type="cellIs" dxfId="118" priority="8" operator="lessThan">
      <formula>$AA$27</formula>
    </cfRule>
  </conditionalFormatting>
  <conditionalFormatting sqref="I28:X28">
    <cfRule type="cellIs" dxfId="117" priority="5" operator="equal">
      <formula>$AA$24</formula>
    </cfRule>
    <cfRule type="cellIs" dxfId="116" priority="6" operator="notEqual">
      <formula>$AB$24</formula>
    </cfRule>
  </conditionalFormatting>
  <conditionalFormatting sqref="I29:X29">
    <cfRule type="cellIs" dxfId="115" priority="3" operator="equal">
      <formula>$AA$25</formula>
    </cfRule>
    <cfRule type="cellIs" dxfId="114" priority="4" operator="notEqual">
      <formula>$AB$25</formula>
    </cfRule>
  </conditionalFormatting>
  <conditionalFormatting sqref="I30:X31">
    <cfRule type="cellIs" dxfId="113" priority="9" operator="greaterThan">
      <formula>$AA$30</formula>
    </cfRule>
    <cfRule type="cellIs" dxfId="112" priority="10" operator="lessThan">
      <formula>$AA$31</formula>
    </cfRule>
  </conditionalFormatting>
  <conditionalFormatting sqref="I32:X33">
    <cfRule type="cellIs" dxfId="111" priority="11" operator="greaterThan">
      <formula>$AA$32</formula>
    </cfRule>
    <cfRule type="cellIs" dxfId="110" priority="12" operator="lessThan">
      <formula>$AA$33</formula>
    </cfRule>
  </conditionalFormatting>
  <conditionalFormatting sqref="I34:X35">
    <cfRule type="cellIs" dxfId="109" priority="1" operator="greaterThan">
      <formula>$AA$34</formula>
    </cfRule>
    <cfRule type="cellIs" dxfId="10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06" t="s">
        <v>2</v>
      </c>
      <c r="E2" s="34"/>
      <c r="F2" s="144" t="s">
        <v>42</v>
      </c>
      <c r="G2" s="144"/>
      <c r="H2" s="144"/>
      <c r="I2" s="144"/>
      <c r="J2" s="144"/>
      <c r="K2" s="168"/>
      <c r="L2" s="106" t="s">
        <v>4</v>
      </c>
      <c r="M2" s="144">
        <v>10</v>
      </c>
      <c r="N2" s="145"/>
      <c r="O2" s="106" t="s">
        <v>6</v>
      </c>
      <c r="P2" s="171" t="s">
        <v>144</v>
      </c>
      <c r="Q2" s="172"/>
      <c r="R2" s="172"/>
      <c r="S2" s="172"/>
      <c r="T2" s="172"/>
      <c r="U2" s="172"/>
      <c r="V2" s="173"/>
      <c r="W2" s="106" t="s">
        <v>25</v>
      </c>
      <c r="X2" s="25">
        <v>2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08" t="s">
        <v>3</v>
      </c>
      <c r="E3" s="35"/>
      <c r="F3" s="169"/>
      <c r="G3" s="169"/>
      <c r="H3" s="169"/>
      <c r="I3" s="169"/>
      <c r="J3" s="169"/>
      <c r="K3" s="170"/>
      <c r="L3" s="108" t="s">
        <v>5</v>
      </c>
      <c r="M3" s="146"/>
      <c r="N3" s="147"/>
      <c r="O3" s="108" t="s">
        <v>7</v>
      </c>
      <c r="P3" s="174"/>
      <c r="Q3" s="174"/>
      <c r="R3" s="174"/>
      <c r="S3" s="174"/>
      <c r="T3" s="174"/>
      <c r="U3" s="174"/>
      <c r="V3" s="175"/>
      <c r="W3" s="108" t="s">
        <v>8</v>
      </c>
      <c r="X3" s="107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06" t="s">
        <v>9</v>
      </c>
      <c r="P4" s="5"/>
      <c r="Q4" s="139" t="s">
        <v>198</v>
      </c>
      <c r="R4" s="140"/>
      <c r="S4" s="140"/>
      <c r="T4" s="141"/>
      <c r="U4" s="106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08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94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8.2799999999999999E-2</v>
      </c>
      <c r="J26" s="206"/>
      <c r="K26" s="206">
        <v>8.2299999999999998E-2</v>
      </c>
      <c r="L26" s="206"/>
      <c r="M26" s="206">
        <v>8.2199999999999995E-2</v>
      </c>
      <c r="N26" s="206"/>
      <c r="O26" s="206">
        <v>8.2500000000000004E-2</v>
      </c>
      <c r="P26" s="206"/>
      <c r="Q26" s="206">
        <v>8.2600000000000007E-2</v>
      </c>
      <c r="R26" s="206"/>
      <c r="S26" s="206">
        <v>8.2500000000000004E-2</v>
      </c>
      <c r="T26" s="206"/>
      <c r="U26" s="206">
        <v>8.2900000000000001E-2</v>
      </c>
      <c r="V26" s="206"/>
      <c r="W26" s="206">
        <v>8.2900000000000001E-2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96" t="s">
        <v>55</v>
      </c>
      <c r="D28" s="103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96" t="s">
        <v>55</v>
      </c>
      <c r="D29" s="103" t="s">
        <v>50</v>
      </c>
      <c r="E29" s="50">
        <v>2.0099999999999998</v>
      </c>
      <c r="F29" s="51" t="s">
        <v>109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8.2400000000000001E-2</v>
      </c>
      <c r="J30" s="223"/>
      <c r="K30" s="223">
        <v>8.2500000000000004E-2</v>
      </c>
      <c r="L30" s="223"/>
      <c r="M30" s="223">
        <v>8.2299999999999998E-2</v>
      </c>
      <c r="N30" s="223"/>
      <c r="O30" s="223">
        <v>8.2600000000000007E-2</v>
      </c>
      <c r="P30" s="223"/>
      <c r="Q30" s="223">
        <v>8.2500000000000004E-2</v>
      </c>
      <c r="R30" s="223"/>
      <c r="S30" s="223">
        <v>8.2500000000000004E-2</v>
      </c>
      <c r="T30" s="223"/>
      <c r="U30" s="223">
        <v>8.2500000000000004E-2</v>
      </c>
      <c r="V30" s="223"/>
      <c r="W30" s="223">
        <v>8.2400000000000001E-2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</v>
      </c>
      <c r="N32" s="223"/>
      <c r="O32" s="223">
        <v>0.4335</v>
      </c>
      <c r="P32" s="223"/>
      <c r="Q32" s="223">
        <v>0.4335</v>
      </c>
      <c r="R32" s="223"/>
      <c r="S32" s="223">
        <v>0.433</v>
      </c>
      <c r="T32" s="223"/>
      <c r="U32" s="223">
        <v>0.4335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0.39350000000000002</v>
      </c>
      <c r="J34" s="206"/>
      <c r="K34" s="206">
        <v>0.39350000000000002</v>
      </c>
      <c r="L34" s="206"/>
      <c r="M34" s="206">
        <v>0.39350000000000002</v>
      </c>
      <c r="N34" s="206"/>
      <c r="O34" s="206">
        <v>0.39350000000000002</v>
      </c>
      <c r="P34" s="206"/>
      <c r="Q34" s="206">
        <v>0.39350000000000002</v>
      </c>
      <c r="R34" s="206"/>
      <c r="S34" s="206">
        <v>0.39350000000000002</v>
      </c>
      <c r="T34" s="206"/>
      <c r="U34" s="206">
        <v>0.39350000000000002</v>
      </c>
      <c r="V34" s="206"/>
      <c r="W34" s="206">
        <v>0.39300000000000002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00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97" t="s">
        <v>64</v>
      </c>
      <c r="E37" s="98"/>
      <c r="F37" s="98"/>
      <c r="G37" s="98"/>
      <c r="H37" s="99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01"/>
      <c r="F38" s="101"/>
      <c r="G38" s="101"/>
      <c r="H38" s="102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97" t="s">
        <v>69</v>
      </c>
      <c r="E39" s="98"/>
      <c r="F39" s="98"/>
      <c r="G39" s="98"/>
      <c r="H39" s="99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00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97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00" t="s">
        <v>74</v>
      </c>
      <c r="E42" s="95"/>
      <c r="F42" s="104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97" t="s">
        <v>75</v>
      </c>
      <c r="E43" s="105"/>
      <c r="F43" s="105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00" t="s">
        <v>77</v>
      </c>
      <c r="E44" s="95"/>
      <c r="F44" s="104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97" t="s">
        <v>78</v>
      </c>
      <c r="E45" s="105"/>
      <c r="F45" s="105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00" t="s">
        <v>80</v>
      </c>
      <c r="E46" s="101"/>
      <c r="F46" s="101"/>
      <c r="G46" s="101"/>
      <c r="H46" s="10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97" t="s">
        <v>81</v>
      </c>
      <c r="E47" s="98"/>
      <c r="F47" s="98"/>
      <c r="G47" s="98"/>
      <c r="H47" s="99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00" t="s">
        <v>83</v>
      </c>
      <c r="E48" s="101"/>
      <c r="F48" s="101"/>
      <c r="G48" s="101"/>
      <c r="H48" s="102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97" t="s">
        <v>84</v>
      </c>
      <c r="E49" s="98"/>
      <c r="F49" s="98"/>
      <c r="G49" s="98"/>
      <c r="H49" s="99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00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97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7" priority="7" operator="greaterThan">
      <formula>$AA$26</formula>
    </cfRule>
    <cfRule type="cellIs" dxfId="106" priority="8" operator="lessThan">
      <formula>$AA$27</formula>
    </cfRule>
  </conditionalFormatting>
  <conditionalFormatting sqref="I28:X28">
    <cfRule type="cellIs" dxfId="105" priority="5" operator="equal">
      <formula>$AA$24</formula>
    </cfRule>
    <cfRule type="cellIs" dxfId="104" priority="6" operator="notEqual">
      <formula>$AB$24</formula>
    </cfRule>
  </conditionalFormatting>
  <conditionalFormatting sqref="I29:X29">
    <cfRule type="cellIs" dxfId="103" priority="3" operator="equal">
      <formula>$AA$25</formula>
    </cfRule>
    <cfRule type="cellIs" dxfId="102" priority="4" operator="notEqual">
      <formula>$AB$25</formula>
    </cfRule>
  </conditionalFormatting>
  <conditionalFormatting sqref="I30:X31">
    <cfRule type="cellIs" dxfId="101" priority="9" operator="greaterThan">
      <formula>$AA$30</formula>
    </cfRule>
    <cfRule type="cellIs" dxfId="100" priority="10" operator="lessThan">
      <formula>$AA$31</formula>
    </cfRule>
  </conditionalFormatting>
  <conditionalFormatting sqref="I32:X33">
    <cfRule type="cellIs" dxfId="99" priority="11" operator="greaterThan">
      <formula>$AA$32</formula>
    </cfRule>
    <cfRule type="cellIs" dxfId="98" priority="12" operator="lessThan">
      <formula>$AA$33</formula>
    </cfRule>
  </conditionalFormatting>
  <conditionalFormatting sqref="I34:X35">
    <cfRule type="cellIs" dxfId="97" priority="1" operator="greaterThan">
      <formula>$AA$34</formula>
    </cfRule>
    <cfRule type="cellIs" dxfId="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06" t="s">
        <v>2</v>
      </c>
      <c r="E2" s="34"/>
      <c r="F2" s="144" t="s">
        <v>42</v>
      </c>
      <c r="G2" s="144"/>
      <c r="H2" s="144"/>
      <c r="I2" s="144"/>
      <c r="J2" s="144"/>
      <c r="K2" s="168"/>
      <c r="L2" s="106" t="s">
        <v>4</v>
      </c>
      <c r="M2" s="144">
        <v>10</v>
      </c>
      <c r="N2" s="145"/>
      <c r="O2" s="106" t="s">
        <v>6</v>
      </c>
      <c r="P2" s="171" t="s">
        <v>144</v>
      </c>
      <c r="Q2" s="172"/>
      <c r="R2" s="172"/>
      <c r="S2" s="172"/>
      <c r="T2" s="172"/>
      <c r="U2" s="172"/>
      <c r="V2" s="173"/>
      <c r="W2" s="106" t="s">
        <v>25</v>
      </c>
      <c r="X2" s="25">
        <v>1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08" t="s">
        <v>3</v>
      </c>
      <c r="E3" s="35"/>
      <c r="F3" s="169"/>
      <c r="G3" s="169"/>
      <c r="H3" s="169"/>
      <c r="I3" s="169"/>
      <c r="J3" s="169"/>
      <c r="K3" s="170"/>
      <c r="L3" s="108" t="s">
        <v>5</v>
      </c>
      <c r="M3" s="146"/>
      <c r="N3" s="147"/>
      <c r="O3" s="108" t="s">
        <v>7</v>
      </c>
      <c r="P3" s="174"/>
      <c r="Q3" s="174"/>
      <c r="R3" s="174"/>
      <c r="S3" s="174"/>
      <c r="T3" s="174"/>
      <c r="U3" s="174"/>
      <c r="V3" s="175"/>
      <c r="W3" s="108" t="s">
        <v>8</v>
      </c>
      <c r="X3" s="107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06" t="s">
        <v>9</v>
      </c>
      <c r="P4" s="5"/>
      <c r="Q4" s="139" t="s">
        <v>199</v>
      </c>
      <c r="R4" s="140"/>
      <c r="S4" s="140"/>
      <c r="T4" s="141"/>
      <c r="U4" s="106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08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94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8.2500000000000004E-2</v>
      </c>
      <c r="J26" s="206"/>
      <c r="K26" s="206">
        <v>8.2699999999999996E-2</v>
      </c>
      <c r="L26" s="206"/>
      <c r="M26" s="206">
        <v>8.2400000000000001E-2</v>
      </c>
      <c r="N26" s="206"/>
      <c r="O26" s="206">
        <v>8.2400000000000001E-2</v>
      </c>
      <c r="P26" s="206"/>
      <c r="Q26" s="206">
        <v>8.2900000000000001E-2</v>
      </c>
      <c r="R26" s="206"/>
      <c r="S26" s="206">
        <v>8.2400000000000001E-2</v>
      </c>
      <c r="T26" s="206"/>
      <c r="U26" s="206">
        <v>8.2500000000000004E-2</v>
      </c>
      <c r="V26" s="206"/>
      <c r="W26" s="206">
        <v>8.2600000000000007E-2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96" t="s">
        <v>55</v>
      </c>
      <c r="D28" s="103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96" t="s">
        <v>55</v>
      </c>
      <c r="D29" s="103" t="s">
        <v>50</v>
      </c>
      <c r="E29" s="50">
        <v>2.0099999999999998</v>
      </c>
      <c r="F29" s="51" t="s">
        <v>109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8.2600000000000007E-2</v>
      </c>
      <c r="J30" s="223"/>
      <c r="K30" s="223">
        <v>8.2500000000000004E-2</v>
      </c>
      <c r="L30" s="223"/>
      <c r="M30" s="223">
        <v>8.2500000000000004E-2</v>
      </c>
      <c r="N30" s="223"/>
      <c r="O30" s="223">
        <v>8.2699999999999996E-2</v>
      </c>
      <c r="P30" s="223"/>
      <c r="Q30" s="223">
        <v>8.2699999999999996E-2</v>
      </c>
      <c r="R30" s="223"/>
      <c r="S30" s="223">
        <v>8.2699999999999996E-2</v>
      </c>
      <c r="T30" s="223"/>
      <c r="U30" s="223">
        <v>8.2900000000000001E-2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0.4335</v>
      </c>
      <c r="N32" s="223"/>
      <c r="O32" s="223">
        <v>0.434</v>
      </c>
      <c r="P32" s="223"/>
      <c r="Q32" s="223">
        <v>0.4335</v>
      </c>
      <c r="R32" s="223"/>
      <c r="S32" s="223">
        <v>0.433</v>
      </c>
      <c r="T32" s="223"/>
      <c r="U32" s="223">
        <v>0.433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0.39350000000000002</v>
      </c>
      <c r="J34" s="206"/>
      <c r="K34" s="206">
        <v>0.39350000000000002</v>
      </c>
      <c r="L34" s="206"/>
      <c r="M34" s="206">
        <v>0.39400000000000002</v>
      </c>
      <c r="N34" s="206"/>
      <c r="O34" s="206">
        <v>0.39450000000000002</v>
      </c>
      <c r="P34" s="206"/>
      <c r="Q34" s="206">
        <v>0.39400000000000002</v>
      </c>
      <c r="R34" s="206"/>
      <c r="S34" s="206">
        <v>0.39400000000000002</v>
      </c>
      <c r="T34" s="206"/>
      <c r="U34" s="206">
        <v>0.39350000000000002</v>
      </c>
      <c r="V34" s="206"/>
      <c r="W34" s="206">
        <v>0.39400000000000002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00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97" t="s">
        <v>64</v>
      </c>
      <c r="E37" s="98"/>
      <c r="F37" s="98"/>
      <c r="G37" s="98"/>
      <c r="H37" s="99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01"/>
      <c r="F38" s="101"/>
      <c r="G38" s="101"/>
      <c r="H38" s="102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97" t="s">
        <v>69</v>
      </c>
      <c r="E39" s="98"/>
      <c r="F39" s="98"/>
      <c r="G39" s="98"/>
      <c r="H39" s="99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00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97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00" t="s">
        <v>74</v>
      </c>
      <c r="E42" s="95"/>
      <c r="F42" s="104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97" t="s">
        <v>75</v>
      </c>
      <c r="E43" s="105"/>
      <c r="F43" s="105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00" t="s">
        <v>77</v>
      </c>
      <c r="E44" s="95"/>
      <c r="F44" s="104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97" t="s">
        <v>78</v>
      </c>
      <c r="E45" s="105"/>
      <c r="F45" s="105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00" t="s">
        <v>80</v>
      </c>
      <c r="E46" s="101"/>
      <c r="F46" s="101"/>
      <c r="G46" s="101"/>
      <c r="H46" s="10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97" t="s">
        <v>81</v>
      </c>
      <c r="E47" s="98"/>
      <c r="F47" s="98"/>
      <c r="G47" s="98"/>
      <c r="H47" s="99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00" t="s">
        <v>83</v>
      </c>
      <c r="E48" s="101"/>
      <c r="F48" s="101"/>
      <c r="G48" s="101"/>
      <c r="H48" s="102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97" t="s">
        <v>84</v>
      </c>
      <c r="E49" s="98"/>
      <c r="F49" s="98"/>
      <c r="G49" s="98"/>
      <c r="H49" s="99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00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97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5" priority="7" operator="greaterThan">
      <formula>$AA$26</formula>
    </cfRule>
    <cfRule type="cellIs" dxfId="94" priority="8" operator="lessThan">
      <formula>$AA$27</formula>
    </cfRule>
  </conditionalFormatting>
  <conditionalFormatting sqref="I28:X28">
    <cfRule type="cellIs" dxfId="93" priority="5" operator="equal">
      <formula>$AA$24</formula>
    </cfRule>
    <cfRule type="cellIs" dxfId="92" priority="6" operator="notEqual">
      <formula>$AB$24</formula>
    </cfRule>
  </conditionalFormatting>
  <conditionalFormatting sqref="I29:X29">
    <cfRule type="cellIs" dxfId="91" priority="3" operator="equal">
      <formula>$AA$25</formula>
    </cfRule>
    <cfRule type="cellIs" dxfId="90" priority="4" operator="notEqual">
      <formula>$AB$25</formula>
    </cfRule>
  </conditionalFormatting>
  <conditionalFormatting sqref="I30:X31">
    <cfRule type="cellIs" dxfId="89" priority="9" operator="greaterThan">
      <formula>$AA$30</formula>
    </cfRule>
    <cfRule type="cellIs" dxfId="88" priority="10" operator="lessThan">
      <formula>$AA$31</formula>
    </cfRule>
  </conditionalFormatting>
  <conditionalFormatting sqref="I32:X33">
    <cfRule type="cellIs" dxfId="87" priority="11" operator="greaterThan">
      <formula>$AA$32</formula>
    </cfRule>
    <cfRule type="cellIs" dxfId="86" priority="12" operator="lessThan">
      <formula>$AA$33</formula>
    </cfRule>
  </conditionalFormatting>
  <conditionalFormatting sqref="I34:X35">
    <cfRule type="cellIs" dxfId="85" priority="1" operator="greaterThan">
      <formula>$AA$34</formula>
    </cfRule>
    <cfRule type="cellIs" dxfId="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06" t="s">
        <v>2</v>
      </c>
      <c r="E2" s="34"/>
      <c r="F2" s="144" t="s">
        <v>42</v>
      </c>
      <c r="G2" s="144"/>
      <c r="H2" s="144"/>
      <c r="I2" s="144"/>
      <c r="J2" s="144"/>
      <c r="K2" s="168"/>
      <c r="L2" s="106" t="s">
        <v>4</v>
      </c>
      <c r="M2" s="144">
        <v>10</v>
      </c>
      <c r="N2" s="145"/>
      <c r="O2" s="106" t="s">
        <v>6</v>
      </c>
      <c r="P2" s="171" t="s">
        <v>144</v>
      </c>
      <c r="Q2" s="172"/>
      <c r="R2" s="172"/>
      <c r="S2" s="172"/>
      <c r="T2" s="172"/>
      <c r="U2" s="172"/>
      <c r="V2" s="173"/>
      <c r="W2" s="106" t="s">
        <v>25</v>
      </c>
      <c r="X2" s="25">
        <v>2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08" t="s">
        <v>3</v>
      </c>
      <c r="E3" s="35"/>
      <c r="F3" s="169"/>
      <c r="G3" s="169"/>
      <c r="H3" s="169"/>
      <c r="I3" s="169"/>
      <c r="J3" s="169"/>
      <c r="K3" s="170"/>
      <c r="L3" s="108" t="s">
        <v>5</v>
      </c>
      <c r="M3" s="146"/>
      <c r="N3" s="147"/>
      <c r="O3" s="108" t="s">
        <v>7</v>
      </c>
      <c r="P3" s="174"/>
      <c r="Q3" s="174"/>
      <c r="R3" s="174"/>
      <c r="S3" s="174"/>
      <c r="T3" s="174"/>
      <c r="U3" s="174"/>
      <c r="V3" s="175"/>
      <c r="W3" s="108" t="s">
        <v>8</v>
      </c>
      <c r="X3" s="107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06" t="s">
        <v>9</v>
      </c>
      <c r="P4" s="5"/>
      <c r="Q4" s="139" t="s">
        <v>200</v>
      </c>
      <c r="R4" s="140"/>
      <c r="S4" s="140"/>
      <c r="T4" s="141"/>
      <c r="U4" s="106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08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94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8.2799999999999999E-2</v>
      </c>
      <c r="J26" s="206"/>
      <c r="K26" s="206">
        <v>8.2400000000000001E-2</v>
      </c>
      <c r="L26" s="206"/>
      <c r="M26" s="206">
        <v>8.2199999999999995E-2</v>
      </c>
      <c r="N26" s="206"/>
      <c r="O26" s="206">
        <v>8.2199999999999995E-2</v>
      </c>
      <c r="P26" s="206"/>
      <c r="Q26" s="206">
        <v>8.2699999999999996E-2</v>
      </c>
      <c r="R26" s="206"/>
      <c r="S26" s="206">
        <v>8.2799999999999999E-2</v>
      </c>
      <c r="T26" s="206"/>
      <c r="U26" s="206">
        <v>8.3099999999999993E-2</v>
      </c>
      <c r="V26" s="206"/>
      <c r="W26" s="206">
        <v>8.3199999999999996E-2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96" t="s">
        <v>55</v>
      </c>
      <c r="D28" s="103" t="s">
        <v>50</v>
      </c>
      <c r="E28" s="50">
        <v>1.92</v>
      </c>
      <c r="F28" s="51" t="s">
        <v>109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96" t="s">
        <v>55</v>
      </c>
      <c r="D29" s="103" t="s">
        <v>50</v>
      </c>
      <c r="E29" s="50">
        <v>2.0099999999999998</v>
      </c>
      <c r="F29" s="51" t="s">
        <v>109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8.2500000000000004E-2</v>
      </c>
      <c r="J30" s="223"/>
      <c r="K30" s="223">
        <v>8.2600000000000007E-2</v>
      </c>
      <c r="L30" s="223"/>
      <c r="M30" s="223">
        <v>8.2400000000000001E-2</v>
      </c>
      <c r="N30" s="223"/>
      <c r="O30" s="223">
        <v>8.2799999999999999E-2</v>
      </c>
      <c r="P30" s="223"/>
      <c r="Q30" s="223">
        <v>8.2699999999999996E-2</v>
      </c>
      <c r="R30" s="223"/>
      <c r="S30" s="223">
        <v>8.2600000000000007E-2</v>
      </c>
      <c r="T30" s="223"/>
      <c r="U30" s="223">
        <v>8.2500000000000004E-2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0.4335</v>
      </c>
      <c r="N32" s="223"/>
      <c r="O32" s="223">
        <v>0.434</v>
      </c>
      <c r="P32" s="223"/>
      <c r="Q32" s="223">
        <v>0.4335</v>
      </c>
      <c r="R32" s="223"/>
      <c r="S32" s="223">
        <v>0.4335</v>
      </c>
      <c r="T32" s="223"/>
      <c r="U32" s="223">
        <v>0.433</v>
      </c>
      <c r="V32" s="223"/>
      <c r="W32" s="223">
        <v>0.4335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0.39350000000000002</v>
      </c>
      <c r="J34" s="206"/>
      <c r="K34" s="206">
        <v>0.39300000000000002</v>
      </c>
      <c r="L34" s="206"/>
      <c r="M34" s="206">
        <v>0.39400000000000002</v>
      </c>
      <c r="N34" s="206"/>
      <c r="O34" s="206">
        <v>0.39400000000000002</v>
      </c>
      <c r="P34" s="206"/>
      <c r="Q34" s="206">
        <v>0.39350000000000002</v>
      </c>
      <c r="R34" s="206"/>
      <c r="S34" s="206">
        <v>0.39300000000000002</v>
      </c>
      <c r="T34" s="206"/>
      <c r="U34" s="206">
        <v>0.39400000000000002</v>
      </c>
      <c r="V34" s="206"/>
      <c r="W34" s="206">
        <v>0.39400000000000002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00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97" t="s">
        <v>64</v>
      </c>
      <c r="E37" s="98"/>
      <c r="F37" s="98"/>
      <c r="G37" s="98"/>
      <c r="H37" s="99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01"/>
      <c r="F38" s="101"/>
      <c r="G38" s="101"/>
      <c r="H38" s="102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121</v>
      </c>
      <c r="D39" s="97" t="s">
        <v>69</v>
      </c>
      <c r="E39" s="98"/>
      <c r="F39" s="98"/>
      <c r="G39" s="98"/>
      <c r="H39" s="99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00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121</v>
      </c>
      <c r="D41" s="97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00" t="s">
        <v>74</v>
      </c>
      <c r="E42" s="95"/>
      <c r="F42" s="104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121</v>
      </c>
      <c r="D43" s="97" t="s">
        <v>75</v>
      </c>
      <c r="E43" s="105"/>
      <c r="F43" s="105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00" t="s">
        <v>77</v>
      </c>
      <c r="E44" s="95"/>
      <c r="F44" s="104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97" t="s">
        <v>78</v>
      </c>
      <c r="E45" s="105"/>
      <c r="F45" s="105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00" t="s">
        <v>80</v>
      </c>
      <c r="E46" s="101"/>
      <c r="F46" s="101"/>
      <c r="G46" s="101"/>
      <c r="H46" s="10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97" t="s">
        <v>81</v>
      </c>
      <c r="E47" s="98"/>
      <c r="F47" s="98"/>
      <c r="G47" s="98"/>
      <c r="H47" s="99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00" t="s">
        <v>83</v>
      </c>
      <c r="E48" s="101"/>
      <c r="F48" s="101"/>
      <c r="G48" s="101"/>
      <c r="H48" s="102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97" t="s">
        <v>84</v>
      </c>
      <c r="E49" s="98"/>
      <c r="F49" s="98"/>
      <c r="G49" s="98"/>
      <c r="H49" s="99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00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97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83" priority="7" operator="greaterThan">
      <formula>$AA$26</formula>
    </cfRule>
    <cfRule type="cellIs" dxfId="82" priority="8" operator="lessThan">
      <formula>$AA$27</formula>
    </cfRule>
  </conditionalFormatting>
  <conditionalFormatting sqref="I28:X28">
    <cfRule type="cellIs" dxfId="81" priority="5" operator="equal">
      <formula>$AA$24</formula>
    </cfRule>
    <cfRule type="cellIs" dxfId="80" priority="6" operator="notEqual">
      <formula>$AB$24</formula>
    </cfRule>
  </conditionalFormatting>
  <conditionalFormatting sqref="I29:X29">
    <cfRule type="cellIs" dxfId="79" priority="3" operator="equal">
      <formula>$AA$25</formula>
    </cfRule>
    <cfRule type="cellIs" dxfId="78" priority="4" operator="notEqual">
      <formula>$AB$25</formula>
    </cfRule>
  </conditionalFormatting>
  <conditionalFormatting sqref="I30:X31">
    <cfRule type="cellIs" dxfId="77" priority="9" operator="greaterThan">
      <formula>$AA$30</formula>
    </cfRule>
    <cfRule type="cellIs" dxfId="76" priority="10" operator="lessThan">
      <formula>$AA$31</formula>
    </cfRule>
  </conditionalFormatting>
  <conditionalFormatting sqref="I32:X33">
    <cfRule type="cellIs" dxfId="75" priority="11" operator="greaterThan">
      <formula>$AA$32</formula>
    </cfRule>
    <cfRule type="cellIs" dxfId="74" priority="12" operator="lessThan">
      <formula>$AA$33</formula>
    </cfRule>
  </conditionalFormatting>
  <conditionalFormatting sqref="I34:X35">
    <cfRule type="cellIs" dxfId="73" priority="1" operator="greaterThan">
      <formula>$AA$34</formula>
    </cfRule>
    <cfRule type="cellIs" dxfId="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B78"/>
  <sheetViews>
    <sheetView showGridLines="0" topLeftCell="A16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21" t="s">
        <v>2</v>
      </c>
      <c r="E2" s="34"/>
      <c r="F2" s="144" t="s">
        <v>42</v>
      </c>
      <c r="G2" s="144"/>
      <c r="H2" s="144"/>
      <c r="I2" s="144"/>
      <c r="J2" s="144"/>
      <c r="K2" s="168"/>
      <c r="L2" s="121" t="s">
        <v>4</v>
      </c>
      <c r="M2" s="144">
        <v>10</v>
      </c>
      <c r="N2" s="145"/>
      <c r="O2" s="121" t="s">
        <v>6</v>
      </c>
      <c r="P2" s="171" t="s">
        <v>144</v>
      </c>
      <c r="Q2" s="172"/>
      <c r="R2" s="172"/>
      <c r="S2" s="172"/>
      <c r="T2" s="172"/>
      <c r="U2" s="172"/>
      <c r="V2" s="173"/>
      <c r="W2" s="121" t="s">
        <v>25</v>
      </c>
      <c r="X2" s="25">
        <v>1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23" t="s">
        <v>3</v>
      </c>
      <c r="E3" s="35"/>
      <c r="F3" s="169"/>
      <c r="G3" s="169"/>
      <c r="H3" s="169"/>
      <c r="I3" s="169"/>
      <c r="J3" s="169"/>
      <c r="K3" s="170"/>
      <c r="L3" s="123" t="s">
        <v>5</v>
      </c>
      <c r="M3" s="146"/>
      <c r="N3" s="147"/>
      <c r="O3" s="123" t="s">
        <v>7</v>
      </c>
      <c r="P3" s="174"/>
      <c r="Q3" s="174"/>
      <c r="R3" s="174"/>
      <c r="S3" s="174"/>
      <c r="T3" s="174"/>
      <c r="U3" s="174"/>
      <c r="V3" s="175"/>
      <c r="W3" s="123" t="s">
        <v>8</v>
      </c>
      <c r="X3" s="122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21" t="s">
        <v>9</v>
      </c>
      <c r="P4" s="5"/>
      <c r="Q4" s="139" t="s">
        <v>201</v>
      </c>
      <c r="R4" s="140"/>
      <c r="S4" s="140"/>
      <c r="T4" s="141"/>
      <c r="U4" s="121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23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109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8.2600000000000007E-2</v>
      </c>
      <c r="J26" s="206"/>
      <c r="K26" s="206">
        <v>8.2799999999999999E-2</v>
      </c>
      <c r="L26" s="206"/>
      <c r="M26" s="206">
        <v>8.2400000000000001E-2</v>
      </c>
      <c r="N26" s="206"/>
      <c r="O26" s="206">
        <v>8.2600000000000007E-2</v>
      </c>
      <c r="P26" s="206"/>
      <c r="Q26" s="206">
        <v>8.2900000000000001E-2</v>
      </c>
      <c r="R26" s="206"/>
      <c r="S26" s="206">
        <v>8.2400000000000001E-2</v>
      </c>
      <c r="T26" s="206"/>
      <c r="U26" s="206">
        <v>8.2299999999999998E-2</v>
      </c>
      <c r="V26" s="206"/>
      <c r="W26" s="206">
        <v>8.2699999999999996E-2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111" t="s">
        <v>55</v>
      </c>
      <c r="D28" s="118" t="s">
        <v>50</v>
      </c>
      <c r="E28" s="50">
        <v>1.92</v>
      </c>
      <c r="F28" s="51" t="s">
        <v>56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111" t="s">
        <v>55</v>
      </c>
      <c r="D29" s="118" t="s">
        <v>50</v>
      </c>
      <c r="E29" s="50">
        <v>2.0099999999999998</v>
      </c>
      <c r="F29" s="51" t="s">
        <v>56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8.2500000000000004E-2</v>
      </c>
      <c r="J30" s="223"/>
      <c r="K30" s="223">
        <v>8.2400000000000001E-2</v>
      </c>
      <c r="L30" s="223"/>
      <c r="M30" s="223">
        <v>8.2600000000000007E-2</v>
      </c>
      <c r="N30" s="223"/>
      <c r="O30" s="223">
        <v>8.3000000000000004E-2</v>
      </c>
      <c r="P30" s="223"/>
      <c r="Q30" s="223">
        <v>8.2699999999999996E-2</v>
      </c>
      <c r="R30" s="223"/>
      <c r="S30" s="223">
        <v>8.2600000000000007E-2</v>
      </c>
      <c r="T30" s="223"/>
      <c r="U30" s="223">
        <v>8.2600000000000007E-2</v>
      </c>
      <c r="V30" s="223"/>
      <c r="W30" s="223">
        <v>8.2400000000000001E-2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0.434</v>
      </c>
      <c r="J32" s="223"/>
      <c r="K32" s="223">
        <v>0.4335</v>
      </c>
      <c r="L32" s="223"/>
      <c r="M32" s="223">
        <v>0.4335</v>
      </c>
      <c r="N32" s="223"/>
      <c r="O32" s="223">
        <v>0.434</v>
      </c>
      <c r="P32" s="223"/>
      <c r="Q32" s="223">
        <v>0.4335</v>
      </c>
      <c r="R32" s="223"/>
      <c r="S32" s="223">
        <v>0.433</v>
      </c>
      <c r="T32" s="223"/>
      <c r="U32" s="223">
        <v>0.433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0.39350000000000002</v>
      </c>
      <c r="J34" s="206"/>
      <c r="K34" s="206">
        <v>0.39350000000000002</v>
      </c>
      <c r="L34" s="206"/>
      <c r="M34" s="206">
        <v>0.39450000000000002</v>
      </c>
      <c r="N34" s="206"/>
      <c r="O34" s="206">
        <v>0.39400000000000002</v>
      </c>
      <c r="P34" s="206"/>
      <c r="Q34" s="206">
        <v>0.39400000000000002</v>
      </c>
      <c r="R34" s="206"/>
      <c r="S34" s="206">
        <v>0.39400000000000002</v>
      </c>
      <c r="T34" s="206"/>
      <c r="U34" s="206">
        <v>0.39400000000000002</v>
      </c>
      <c r="V34" s="206"/>
      <c r="W34" s="206">
        <v>0.39350000000000002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15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112" t="s">
        <v>64</v>
      </c>
      <c r="E37" s="113"/>
      <c r="F37" s="113"/>
      <c r="G37" s="113"/>
      <c r="H37" s="11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16"/>
      <c r="F38" s="116"/>
      <c r="G38" s="116"/>
      <c r="H38" s="117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68</v>
      </c>
      <c r="D39" s="112" t="s">
        <v>69</v>
      </c>
      <c r="E39" s="113"/>
      <c r="F39" s="113"/>
      <c r="G39" s="113"/>
      <c r="H39" s="11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15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68</v>
      </c>
      <c r="D41" s="112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15" t="s">
        <v>74</v>
      </c>
      <c r="E42" s="110"/>
      <c r="F42" s="119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68</v>
      </c>
      <c r="D43" s="112" t="s">
        <v>75</v>
      </c>
      <c r="E43" s="120"/>
      <c r="F43" s="120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15" t="s">
        <v>77</v>
      </c>
      <c r="E44" s="110"/>
      <c r="F44" s="119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112" t="s">
        <v>78</v>
      </c>
      <c r="E45" s="120"/>
      <c r="F45" s="120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15" t="s">
        <v>80</v>
      </c>
      <c r="E46" s="116"/>
      <c r="F46" s="116"/>
      <c r="G46" s="116"/>
      <c r="H46" s="11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112" t="s">
        <v>81</v>
      </c>
      <c r="E47" s="113"/>
      <c r="F47" s="113"/>
      <c r="G47" s="113"/>
      <c r="H47" s="11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15" t="s">
        <v>83</v>
      </c>
      <c r="E48" s="116"/>
      <c r="F48" s="116"/>
      <c r="G48" s="116"/>
      <c r="H48" s="117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112" t="s">
        <v>84</v>
      </c>
      <c r="E49" s="113"/>
      <c r="F49" s="113"/>
      <c r="G49" s="113"/>
      <c r="H49" s="11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15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112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1" priority="7" operator="greaterThan">
      <formula>$AA$26</formula>
    </cfRule>
    <cfRule type="cellIs" dxfId="70" priority="8" operator="lessThan">
      <formula>$AA$27</formula>
    </cfRule>
  </conditionalFormatting>
  <conditionalFormatting sqref="I28:X28">
    <cfRule type="cellIs" dxfId="69" priority="5" operator="equal">
      <formula>$AA$24</formula>
    </cfRule>
    <cfRule type="cellIs" dxfId="68" priority="6" operator="notEqual">
      <formula>$AB$24</formula>
    </cfRule>
  </conditionalFormatting>
  <conditionalFormatting sqref="I29:X29">
    <cfRule type="cellIs" dxfId="67" priority="3" operator="equal">
      <formula>$AA$25</formula>
    </cfRule>
    <cfRule type="cellIs" dxfId="66" priority="4" operator="notEqual">
      <formula>$AB$25</formula>
    </cfRule>
  </conditionalFormatting>
  <conditionalFormatting sqref="I30:X31">
    <cfRule type="cellIs" dxfId="65" priority="9" operator="greaterThan">
      <formula>$AA$30</formula>
    </cfRule>
    <cfRule type="cellIs" dxfId="64" priority="10" operator="lessThan">
      <formula>$AA$31</formula>
    </cfRule>
  </conditionalFormatting>
  <conditionalFormatting sqref="I32:X33">
    <cfRule type="cellIs" dxfId="63" priority="11" operator="greaterThan">
      <formula>$AA$32</formula>
    </cfRule>
    <cfRule type="cellIs" dxfId="62" priority="12" operator="lessThan">
      <formula>$AA$33</formula>
    </cfRule>
  </conditionalFormatting>
  <conditionalFormatting sqref="I34:X35">
    <cfRule type="cellIs" dxfId="61" priority="1" operator="greaterThan">
      <formula>$AA$34</formula>
    </cfRule>
    <cfRule type="cellIs" dxfId="6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21" t="s">
        <v>2</v>
      </c>
      <c r="E2" s="34"/>
      <c r="F2" s="144" t="s">
        <v>42</v>
      </c>
      <c r="G2" s="144"/>
      <c r="H2" s="144"/>
      <c r="I2" s="144"/>
      <c r="J2" s="144"/>
      <c r="K2" s="168"/>
      <c r="L2" s="121" t="s">
        <v>4</v>
      </c>
      <c r="M2" s="144">
        <v>10</v>
      </c>
      <c r="N2" s="145"/>
      <c r="O2" s="121" t="s">
        <v>6</v>
      </c>
      <c r="P2" s="171" t="s">
        <v>144</v>
      </c>
      <c r="Q2" s="172"/>
      <c r="R2" s="172"/>
      <c r="S2" s="172"/>
      <c r="T2" s="172"/>
      <c r="U2" s="172"/>
      <c r="V2" s="173"/>
      <c r="W2" s="121" t="s">
        <v>25</v>
      </c>
      <c r="X2" s="25">
        <v>2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23" t="s">
        <v>3</v>
      </c>
      <c r="E3" s="35"/>
      <c r="F3" s="169"/>
      <c r="G3" s="169"/>
      <c r="H3" s="169"/>
      <c r="I3" s="169"/>
      <c r="J3" s="169"/>
      <c r="K3" s="170"/>
      <c r="L3" s="123" t="s">
        <v>5</v>
      </c>
      <c r="M3" s="146"/>
      <c r="N3" s="147"/>
      <c r="O3" s="123" t="s">
        <v>7</v>
      </c>
      <c r="P3" s="174"/>
      <c r="Q3" s="174"/>
      <c r="R3" s="174"/>
      <c r="S3" s="174"/>
      <c r="T3" s="174"/>
      <c r="U3" s="174"/>
      <c r="V3" s="175"/>
      <c r="W3" s="123" t="s">
        <v>8</v>
      </c>
      <c r="X3" s="122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21" t="s">
        <v>9</v>
      </c>
      <c r="P4" s="5"/>
      <c r="Q4" s="139" t="s">
        <v>202</v>
      </c>
      <c r="R4" s="140"/>
      <c r="S4" s="140"/>
      <c r="T4" s="141"/>
      <c r="U4" s="121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23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109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8.2799999999999999E-2</v>
      </c>
      <c r="J26" s="206"/>
      <c r="K26" s="206">
        <v>8.2400000000000001E-2</v>
      </c>
      <c r="L26" s="206"/>
      <c r="M26" s="206">
        <v>8.2100000000000006E-2</v>
      </c>
      <c r="N26" s="206"/>
      <c r="O26" s="206">
        <v>8.2199999999999995E-2</v>
      </c>
      <c r="P26" s="206"/>
      <c r="Q26" s="206">
        <v>8.2799999999999999E-2</v>
      </c>
      <c r="R26" s="206"/>
      <c r="S26" s="206">
        <v>8.2600000000000007E-2</v>
      </c>
      <c r="T26" s="206"/>
      <c r="U26" s="206">
        <v>8.2900000000000001E-2</v>
      </c>
      <c r="V26" s="206"/>
      <c r="W26" s="206">
        <v>8.2900000000000001E-2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111" t="s">
        <v>55</v>
      </c>
      <c r="D28" s="118" t="s">
        <v>50</v>
      </c>
      <c r="E28" s="50">
        <v>1.92</v>
      </c>
      <c r="F28" s="51" t="s">
        <v>56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111" t="s">
        <v>55</v>
      </c>
      <c r="D29" s="118" t="s">
        <v>50</v>
      </c>
      <c r="E29" s="50">
        <v>2.0099999999999998</v>
      </c>
      <c r="F29" s="51" t="s">
        <v>56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8.2500000000000004E-2</v>
      </c>
      <c r="J30" s="223"/>
      <c r="K30" s="223">
        <v>8.2500000000000004E-2</v>
      </c>
      <c r="L30" s="223"/>
      <c r="M30" s="223">
        <v>8.2299999999999998E-2</v>
      </c>
      <c r="N30" s="223"/>
      <c r="O30" s="223">
        <v>8.2699999999999996E-2</v>
      </c>
      <c r="P30" s="223"/>
      <c r="Q30" s="223">
        <v>8.2400000000000001E-2</v>
      </c>
      <c r="R30" s="223"/>
      <c r="S30" s="223">
        <v>8.2299999999999998E-2</v>
      </c>
      <c r="T30" s="223"/>
      <c r="U30" s="223">
        <v>8.2500000000000004E-2</v>
      </c>
      <c r="V30" s="223"/>
      <c r="W30" s="223">
        <v>8.2299999999999998E-2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0.434</v>
      </c>
      <c r="J32" s="223"/>
      <c r="K32" s="223">
        <v>0.433</v>
      </c>
      <c r="L32" s="223"/>
      <c r="M32" s="223">
        <v>0.433</v>
      </c>
      <c r="N32" s="223"/>
      <c r="O32" s="223">
        <v>0.4335</v>
      </c>
      <c r="P32" s="223"/>
      <c r="Q32" s="223">
        <v>0.434</v>
      </c>
      <c r="R32" s="223"/>
      <c r="S32" s="223">
        <v>0.4335</v>
      </c>
      <c r="T32" s="223"/>
      <c r="U32" s="223">
        <v>0.4335</v>
      </c>
      <c r="V32" s="223"/>
      <c r="W32" s="223">
        <v>0.4335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0.39400000000000002</v>
      </c>
      <c r="J34" s="206"/>
      <c r="K34" s="206">
        <v>0.39350000000000002</v>
      </c>
      <c r="L34" s="206"/>
      <c r="M34" s="206">
        <v>0.39400000000000002</v>
      </c>
      <c r="N34" s="206"/>
      <c r="O34" s="206">
        <v>0.39350000000000002</v>
      </c>
      <c r="P34" s="206"/>
      <c r="Q34" s="206">
        <v>0.39400000000000002</v>
      </c>
      <c r="R34" s="206"/>
      <c r="S34" s="206">
        <v>0.39350000000000002</v>
      </c>
      <c r="T34" s="206"/>
      <c r="U34" s="206">
        <v>0.39300000000000002</v>
      </c>
      <c r="V34" s="206"/>
      <c r="W34" s="206">
        <v>0.39400000000000002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15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112" t="s">
        <v>64</v>
      </c>
      <c r="E37" s="113"/>
      <c r="F37" s="113"/>
      <c r="G37" s="113"/>
      <c r="H37" s="11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16"/>
      <c r="F38" s="116"/>
      <c r="G38" s="116"/>
      <c r="H38" s="117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68</v>
      </c>
      <c r="D39" s="112" t="s">
        <v>69</v>
      </c>
      <c r="E39" s="113"/>
      <c r="F39" s="113"/>
      <c r="G39" s="113"/>
      <c r="H39" s="11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15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68</v>
      </c>
      <c r="D41" s="112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15" t="s">
        <v>74</v>
      </c>
      <c r="E42" s="110"/>
      <c r="F42" s="119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68</v>
      </c>
      <c r="D43" s="112" t="s">
        <v>75</v>
      </c>
      <c r="E43" s="120"/>
      <c r="F43" s="120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15" t="s">
        <v>77</v>
      </c>
      <c r="E44" s="110"/>
      <c r="F44" s="119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112" t="s">
        <v>78</v>
      </c>
      <c r="E45" s="120"/>
      <c r="F45" s="120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15" t="s">
        <v>80</v>
      </c>
      <c r="E46" s="116"/>
      <c r="F46" s="116"/>
      <c r="G46" s="116"/>
      <c r="H46" s="11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112" t="s">
        <v>81</v>
      </c>
      <c r="E47" s="113"/>
      <c r="F47" s="113"/>
      <c r="G47" s="113"/>
      <c r="H47" s="11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15" t="s">
        <v>83</v>
      </c>
      <c r="E48" s="116"/>
      <c r="F48" s="116"/>
      <c r="G48" s="116"/>
      <c r="H48" s="117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112" t="s">
        <v>84</v>
      </c>
      <c r="E49" s="113"/>
      <c r="F49" s="113"/>
      <c r="G49" s="113"/>
      <c r="H49" s="11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15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112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9" priority="7" operator="greaterThan">
      <formula>$AA$26</formula>
    </cfRule>
    <cfRule type="cellIs" dxfId="58" priority="8" operator="lessThan">
      <formula>$AA$27</formula>
    </cfRule>
  </conditionalFormatting>
  <conditionalFormatting sqref="I28:X28">
    <cfRule type="cellIs" dxfId="57" priority="5" operator="equal">
      <formula>$AA$24</formula>
    </cfRule>
    <cfRule type="cellIs" dxfId="56" priority="6" operator="notEqual">
      <formula>$AB$24</formula>
    </cfRule>
  </conditionalFormatting>
  <conditionalFormatting sqref="I29:X29">
    <cfRule type="cellIs" dxfId="55" priority="3" operator="equal">
      <formula>$AA$25</formula>
    </cfRule>
    <cfRule type="cellIs" dxfId="54" priority="4" operator="notEqual">
      <formula>$AB$25</formula>
    </cfRule>
  </conditionalFormatting>
  <conditionalFormatting sqref="I30:X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I32:X33">
    <cfRule type="cellIs" dxfId="51" priority="11" operator="greaterThan">
      <formula>$AA$32</formula>
    </cfRule>
    <cfRule type="cellIs" dxfId="50" priority="12" operator="lessThan">
      <formula>$AA$33</formula>
    </cfRule>
  </conditionalFormatting>
  <conditionalFormatting sqref="I34:X35">
    <cfRule type="cellIs" dxfId="49" priority="1" operator="greaterThan">
      <formula>$AA$34</formula>
    </cfRule>
    <cfRule type="cellIs" dxfId="4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21" t="s">
        <v>2</v>
      </c>
      <c r="E2" s="34"/>
      <c r="F2" s="144" t="s">
        <v>42</v>
      </c>
      <c r="G2" s="144"/>
      <c r="H2" s="144"/>
      <c r="I2" s="144"/>
      <c r="J2" s="144"/>
      <c r="K2" s="168"/>
      <c r="L2" s="121" t="s">
        <v>4</v>
      </c>
      <c r="M2" s="144">
        <v>10</v>
      </c>
      <c r="N2" s="145"/>
      <c r="O2" s="121" t="s">
        <v>6</v>
      </c>
      <c r="P2" s="171" t="s">
        <v>144</v>
      </c>
      <c r="Q2" s="172"/>
      <c r="R2" s="172"/>
      <c r="S2" s="172"/>
      <c r="T2" s="172"/>
      <c r="U2" s="172"/>
      <c r="V2" s="173"/>
      <c r="W2" s="121" t="s">
        <v>25</v>
      </c>
      <c r="X2" s="25">
        <v>1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23" t="s">
        <v>3</v>
      </c>
      <c r="E3" s="35"/>
      <c r="F3" s="169"/>
      <c r="G3" s="169"/>
      <c r="H3" s="169"/>
      <c r="I3" s="169"/>
      <c r="J3" s="169"/>
      <c r="K3" s="170"/>
      <c r="L3" s="123" t="s">
        <v>5</v>
      </c>
      <c r="M3" s="146"/>
      <c r="N3" s="147"/>
      <c r="O3" s="123" t="s">
        <v>7</v>
      </c>
      <c r="P3" s="174"/>
      <c r="Q3" s="174"/>
      <c r="R3" s="174"/>
      <c r="S3" s="174"/>
      <c r="T3" s="174"/>
      <c r="U3" s="174"/>
      <c r="V3" s="175"/>
      <c r="W3" s="123" t="s">
        <v>8</v>
      </c>
      <c r="X3" s="122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21" t="s">
        <v>9</v>
      </c>
      <c r="P4" s="5"/>
      <c r="Q4" s="139" t="s">
        <v>203</v>
      </c>
      <c r="R4" s="140"/>
      <c r="S4" s="140"/>
      <c r="T4" s="141"/>
      <c r="U4" s="121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23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109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8.2500000000000004E-2</v>
      </c>
      <c r="J26" s="206"/>
      <c r="K26" s="206">
        <v>8.2600000000000007E-2</v>
      </c>
      <c r="L26" s="206"/>
      <c r="M26" s="206">
        <v>8.2600000000000007E-2</v>
      </c>
      <c r="N26" s="206"/>
      <c r="O26" s="206">
        <v>8.2400000000000001E-2</v>
      </c>
      <c r="P26" s="206"/>
      <c r="Q26" s="206">
        <v>8.3000000000000004E-2</v>
      </c>
      <c r="R26" s="206"/>
      <c r="S26" s="206">
        <v>8.2299999999999998E-2</v>
      </c>
      <c r="T26" s="206"/>
      <c r="U26" s="206">
        <v>8.2500000000000004E-2</v>
      </c>
      <c r="V26" s="206"/>
      <c r="W26" s="206">
        <v>8.2799999999999999E-2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111" t="s">
        <v>55</v>
      </c>
      <c r="D28" s="118" t="s">
        <v>50</v>
      </c>
      <c r="E28" s="50">
        <v>1.92</v>
      </c>
      <c r="F28" s="51" t="s">
        <v>56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111" t="s">
        <v>55</v>
      </c>
      <c r="D29" s="118" t="s">
        <v>50</v>
      </c>
      <c r="E29" s="50">
        <v>2.0099999999999998</v>
      </c>
      <c r="F29" s="51" t="s">
        <v>56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8.2600000000000007E-2</v>
      </c>
      <c r="J30" s="223"/>
      <c r="K30" s="223">
        <v>8.2799999999999999E-2</v>
      </c>
      <c r="L30" s="223"/>
      <c r="M30" s="223">
        <v>8.2500000000000004E-2</v>
      </c>
      <c r="N30" s="223"/>
      <c r="O30" s="223">
        <v>8.2799999999999999E-2</v>
      </c>
      <c r="P30" s="223"/>
      <c r="Q30" s="223">
        <v>8.2699999999999996E-2</v>
      </c>
      <c r="R30" s="223"/>
      <c r="S30" s="223">
        <v>8.2600000000000007E-2</v>
      </c>
      <c r="T30" s="223"/>
      <c r="U30" s="223">
        <v>8.2299999999999998E-2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0.4335</v>
      </c>
      <c r="N32" s="223"/>
      <c r="O32" s="223">
        <v>0.434</v>
      </c>
      <c r="P32" s="223"/>
      <c r="Q32" s="223">
        <v>0.434</v>
      </c>
      <c r="R32" s="223"/>
      <c r="S32" s="223">
        <v>0.4335</v>
      </c>
      <c r="T32" s="223"/>
      <c r="U32" s="223">
        <v>0.4335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0.39350000000000002</v>
      </c>
      <c r="J34" s="206"/>
      <c r="K34" s="206">
        <v>0.39400000000000002</v>
      </c>
      <c r="L34" s="206"/>
      <c r="M34" s="206">
        <v>0.39400000000000002</v>
      </c>
      <c r="N34" s="206"/>
      <c r="O34" s="206">
        <v>0.39400000000000002</v>
      </c>
      <c r="P34" s="206"/>
      <c r="Q34" s="206">
        <v>0.39400000000000002</v>
      </c>
      <c r="R34" s="206"/>
      <c r="S34" s="206">
        <v>0.39400000000000002</v>
      </c>
      <c r="T34" s="206"/>
      <c r="U34" s="206">
        <v>0.39350000000000002</v>
      </c>
      <c r="V34" s="206"/>
      <c r="W34" s="206">
        <v>0.39400000000000002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15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112" t="s">
        <v>64</v>
      </c>
      <c r="E37" s="113"/>
      <c r="F37" s="113"/>
      <c r="G37" s="113"/>
      <c r="H37" s="11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16"/>
      <c r="F38" s="116"/>
      <c r="G38" s="116"/>
      <c r="H38" s="117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68</v>
      </c>
      <c r="D39" s="112" t="s">
        <v>69</v>
      </c>
      <c r="E39" s="113"/>
      <c r="F39" s="113"/>
      <c r="G39" s="113"/>
      <c r="H39" s="11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15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68</v>
      </c>
      <c r="D41" s="112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15" t="s">
        <v>74</v>
      </c>
      <c r="E42" s="110"/>
      <c r="F42" s="119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68</v>
      </c>
      <c r="D43" s="112" t="s">
        <v>75</v>
      </c>
      <c r="E43" s="120"/>
      <c r="F43" s="120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15" t="s">
        <v>77</v>
      </c>
      <c r="E44" s="110"/>
      <c r="F44" s="119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112" t="s">
        <v>78</v>
      </c>
      <c r="E45" s="120"/>
      <c r="F45" s="120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15" t="s">
        <v>80</v>
      </c>
      <c r="E46" s="116"/>
      <c r="F46" s="116"/>
      <c r="G46" s="116"/>
      <c r="H46" s="11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112" t="s">
        <v>81</v>
      </c>
      <c r="E47" s="113"/>
      <c r="F47" s="113"/>
      <c r="G47" s="113"/>
      <c r="H47" s="11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15" t="s">
        <v>83</v>
      </c>
      <c r="E48" s="116"/>
      <c r="F48" s="116"/>
      <c r="G48" s="116"/>
      <c r="H48" s="117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112" t="s">
        <v>84</v>
      </c>
      <c r="E49" s="113"/>
      <c r="F49" s="113"/>
      <c r="G49" s="113"/>
      <c r="H49" s="11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15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112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" priority="7" operator="greaterThan">
      <formula>$AA$26</formula>
    </cfRule>
    <cfRule type="cellIs" dxfId="46" priority="8" operator="lessThan">
      <formula>$AA$27</formula>
    </cfRule>
  </conditionalFormatting>
  <conditionalFormatting sqref="I28:X28">
    <cfRule type="cellIs" dxfId="45" priority="5" operator="equal">
      <formula>$AA$24</formula>
    </cfRule>
    <cfRule type="cellIs" dxfId="44" priority="6" operator="notEqual">
      <formula>$AB$24</formula>
    </cfRule>
  </conditionalFormatting>
  <conditionalFormatting sqref="I29:X29">
    <cfRule type="cellIs" dxfId="43" priority="3" operator="equal">
      <formula>$AA$25</formula>
    </cfRule>
    <cfRule type="cellIs" dxfId="42" priority="4" operator="notEqual">
      <formula>$AB$25</formula>
    </cfRule>
  </conditionalFormatting>
  <conditionalFormatting sqref="I30:X31">
    <cfRule type="cellIs" dxfId="41" priority="9" operator="greaterThan">
      <formula>$AA$30</formula>
    </cfRule>
    <cfRule type="cellIs" dxfId="40" priority="10" operator="lessThan">
      <formula>$AA$31</formula>
    </cfRule>
  </conditionalFormatting>
  <conditionalFormatting sqref="I32:X33">
    <cfRule type="cellIs" dxfId="39" priority="11" operator="greaterThan">
      <formula>$AA$32</formula>
    </cfRule>
    <cfRule type="cellIs" dxfId="38" priority="12" operator="lessThan">
      <formula>$AA$33</formula>
    </cfRule>
  </conditionalFormatting>
  <conditionalFormatting sqref="I34:X35">
    <cfRule type="cellIs" dxfId="37" priority="1" operator="greaterThan">
      <formula>$AA$34</formula>
    </cfRule>
    <cfRule type="cellIs" dxfId="3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21" t="s">
        <v>2</v>
      </c>
      <c r="E2" s="34"/>
      <c r="F2" s="144" t="s">
        <v>42</v>
      </c>
      <c r="G2" s="144"/>
      <c r="H2" s="144"/>
      <c r="I2" s="144"/>
      <c r="J2" s="144"/>
      <c r="K2" s="168"/>
      <c r="L2" s="121" t="s">
        <v>4</v>
      </c>
      <c r="M2" s="144">
        <v>10</v>
      </c>
      <c r="N2" s="145"/>
      <c r="O2" s="121" t="s">
        <v>6</v>
      </c>
      <c r="P2" s="171" t="s">
        <v>144</v>
      </c>
      <c r="Q2" s="172"/>
      <c r="R2" s="172"/>
      <c r="S2" s="172"/>
      <c r="T2" s="172"/>
      <c r="U2" s="172"/>
      <c r="V2" s="173"/>
      <c r="W2" s="121" t="s">
        <v>25</v>
      </c>
      <c r="X2" s="25">
        <v>2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23" t="s">
        <v>3</v>
      </c>
      <c r="E3" s="35"/>
      <c r="F3" s="169"/>
      <c r="G3" s="169"/>
      <c r="H3" s="169"/>
      <c r="I3" s="169"/>
      <c r="J3" s="169"/>
      <c r="K3" s="170"/>
      <c r="L3" s="123" t="s">
        <v>5</v>
      </c>
      <c r="M3" s="146"/>
      <c r="N3" s="147"/>
      <c r="O3" s="123" t="s">
        <v>7</v>
      </c>
      <c r="P3" s="174"/>
      <c r="Q3" s="174"/>
      <c r="R3" s="174"/>
      <c r="S3" s="174"/>
      <c r="T3" s="174"/>
      <c r="U3" s="174"/>
      <c r="V3" s="175"/>
      <c r="W3" s="123" t="s">
        <v>8</v>
      </c>
      <c r="X3" s="122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21" t="s">
        <v>9</v>
      </c>
      <c r="P4" s="5"/>
      <c r="Q4" s="139" t="s">
        <v>203</v>
      </c>
      <c r="R4" s="140"/>
      <c r="S4" s="140"/>
      <c r="T4" s="141"/>
      <c r="U4" s="121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23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109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8.2699999999999996E-2</v>
      </c>
      <c r="J26" s="206"/>
      <c r="K26" s="206">
        <v>8.2600000000000007E-2</v>
      </c>
      <c r="L26" s="206"/>
      <c r="M26" s="206">
        <v>8.2000000000000003E-2</v>
      </c>
      <c r="N26" s="206"/>
      <c r="O26" s="206">
        <v>8.2400000000000001E-2</v>
      </c>
      <c r="P26" s="206"/>
      <c r="Q26" s="206">
        <v>8.2500000000000004E-2</v>
      </c>
      <c r="R26" s="206"/>
      <c r="S26" s="206">
        <v>8.2500000000000004E-2</v>
      </c>
      <c r="T26" s="206"/>
      <c r="U26" s="206">
        <v>8.2900000000000001E-2</v>
      </c>
      <c r="V26" s="206"/>
      <c r="W26" s="206">
        <v>8.2900000000000001E-2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111" t="s">
        <v>55</v>
      </c>
      <c r="D28" s="118" t="s">
        <v>50</v>
      </c>
      <c r="E28" s="50">
        <v>1.92</v>
      </c>
      <c r="F28" s="51" t="s">
        <v>56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111" t="s">
        <v>55</v>
      </c>
      <c r="D29" s="118" t="s">
        <v>50</v>
      </c>
      <c r="E29" s="50">
        <v>2.0099999999999998</v>
      </c>
      <c r="F29" s="51" t="s">
        <v>56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8.2400000000000001E-2</v>
      </c>
      <c r="J30" s="223"/>
      <c r="K30" s="223">
        <v>8.2400000000000001E-2</v>
      </c>
      <c r="L30" s="223"/>
      <c r="M30" s="223">
        <v>8.2400000000000001E-2</v>
      </c>
      <c r="N30" s="223"/>
      <c r="O30" s="223">
        <v>8.2600000000000007E-2</v>
      </c>
      <c r="P30" s="223"/>
      <c r="Q30" s="223">
        <v>8.2500000000000004E-2</v>
      </c>
      <c r="R30" s="223"/>
      <c r="S30" s="223">
        <v>8.2400000000000001E-2</v>
      </c>
      <c r="T30" s="223"/>
      <c r="U30" s="223">
        <v>8.2500000000000004E-2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</v>
      </c>
      <c r="N32" s="223"/>
      <c r="O32" s="223">
        <v>0.4335</v>
      </c>
      <c r="P32" s="223"/>
      <c r="Q32" s="223">
        <v>0.4335</v>
      </c>
      <c r="R32" s="223"/>
      <c r="S32" s="223">
        <v>0.433</v>
      </c>
      <c r="T32" s="223"/>
      <c r="U32" s="223">
        <v>0.4335</v>
      </c>
      <c r="V32" s="223"/>
      <c r="W32" s="223">
        <v>0.433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0.39300000000000002</v>
      </c>
      <c r="J34" s="206"/>
      <c r="K34" s="206">
        <v>0.39400000000000002</v>
      </c>
      <c r="L34" s="206"/>
      <c r="M34" s="206">
        <v>0.39400000000000002</v>
      </c>
      <c r="N34" s="206"/>
      <c r="O34" s="206">
        <v>0.39400000000000002</v>
      </c>
      <c r="P34" s="206"/>
      <c r="Q34" s="206">
        <v>0.39400000000000002</v>
      </c>
      <c r="R34" s="206"/>
      <c r="S34" s="206">
        <v>0.39350000000000002</v>
      </c>
      <c r="T34" s="206"/>
      <c r="U34" s="206">
        <v>0.39400000000000002</v>
      </c>
      <c r="V34" s="206"/>
      <c r="W34" s="206">
        <v>0.39300000000000002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15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112" t="s">
        <v>64</v>
      </c>
      <c r="E37" s="113"/>
      <c r="F37" s="113"/>
      <c r="G37" s="113"/>
      <c r="H37" s="11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16"/>
      <c r="F38" s="116"/>
      <c r="G38" s="116"/>
      <c r="H38" s="117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68</v>
      </c>
      <c r="D39" s="112" t="s">
        <v>69</v>
      </c>
      <c r="E39" s="113"/>
      <c r="F39" s="113"/>
      <c r="G39" s="113"/>
      <c r="H39" s="11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15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68</v>
      </c>
      <c r="D41" s="112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15" t="s">
        <v>74</v>
      </c>
      <c r="E42" s="110"/>
      <c r="F42" s="119"/>
      <c r="G42" s="42"/>
      <c r="H42" s="36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68</v>
      </c>
      <c r="D43" s="112" t="s">
        <v>75</v>
      </c>
      <c r="E43" s="120"/>
      <c r="F43" s="120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15" t="s">
        <v>77</v>
      </c>
      <c r="E44" s="110"/>
      <c r="F44" s="119"/>
      <c r="G44" s="42"/>
      <c r="H44" s="36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112" t="s">
        <v>78</v>
      </c>
      <c r="E45" s="120"/>
      <c r="F45" s="120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15" t="s">
        <v>80</v>
      </c>
      <c r="E46" s="116"/>
      <c r="F46" s="116"/>
      <c r="G46" s="116"/>
      <c r="H46" s="11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112" t="s">
        <v>81</v>
      </c>
      <c r="E47" s="113"/>
      <c r="F47" s="113"/>
      <c r="G47" s="113"/>
      <c r="H47" s="11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15" t="s">
        <v>83</v>
      </c>
      <c r="E48" s="116"/>
      <c r="F48" s="116"/>
      <c r="G48" s="116"/>
      <c r="H48" s="117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112" t="s">
        <v>84</v>
      </c>
      <c r="E49" s="113"/>
      <c r="F49" s="113"/>
      <c r="G49" s="113"/>
      <c r="H49" s="11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15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112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" priority="7" operator="greaterThan">
      <formula>$AA$26</formula>
    </cfRule>
    <cfRule type="cellIs" dxfId="34" priority="8" operator="lessThan">
      <formula>$AA$27</formula>
    </cfRule>
  </conditionalFormatting>
  <conditionalFormatting sqref="I28:X28">
    <cfRule type="cellIs" dxfId="33" priority="5" operator="equal">
      <formula>$AA$24</formula>
    </cfRule>
    <cfRule type="cellIs" dxfId="32" priority="6" operator="notEqual">
      <formula>$AB$24</formula>
    </cfRule>
  </conditionalFormatting>
  <conditionalFormatting sqref="I29:X29">
    <cfRule type="cellIs" dxfId="31" priority="3" operator="equal">
      <formula>$AA$25</formula>
    </cfRule>
    <cfRule type="cellIs" dxfId="30" priority="4" operator="notEqual">
      <formula>$AB$25</formula>
    </cfRule>
  </conditionalFormatting>
  <conditionalFormatting sqref="I30:X31">
    <cfRule type="cellIs" dxfId="29" priority="9" operator="greaterThan">
      <formula>$AA$30</formula>
    </cfRule>
    <cfRule type="cellIs" dxfId="28" priority="10" operator="lessThan">
      <formula>$AA$31</formula>
    </cfRule>
  </conditionalFormatting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4:X35">
    <cfRule type="cellIs" dxfId="25" priority="1" operator="greaterThan">
      <formula>$AA$34</formula>
    </cfRule>
    <cfRule type="cellIs" dxfId="2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B78"/>
  <sheetViews>
    <sheetView showGridLines="0" topLeftCell="A31" zoomScale="145" zoomScaleNormal="145" workbookViewId="0">
      <selection activeCell="O52" sqref="O52:P5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24" t="s">
        <v>2</v>
      </c>
      <c r="E2" s="34"/>
      <c r="F2" s="144" t="s">
        <v>42</v>
      </c>
      <c r="G2" s="144"/>
      <c r="H2" s="144"/>
      <c r="I2" s="144"/>
      <c r="J2" s="144"/>
      <c r="K2" s="168"/>
      <c r="L2" s="124" t="s">
        <v>4</v>
      </c>
      <c r="M2" s="144">
        <v>10</v>
      </c>
      <c r="N2" s="145"/>
      <c r="O2" s="124" t="s">
        <v>6</v>
      </c>
      <c r="P2" s="171" t="s">
        <v>144</v>
      </c>
      <c r="Q2" s="172"/>
      <c r="R2" s="172"/>
      <c r="S2" s="172"/>
      <c r="T2" s="172"/>
      <c r="U2" s="172"/>
      <c r="V2" s="173"/>
      <c r="W2" s="124" t="s">
        <v>25</v>
      </c>
      <c r="X2" s="25">
        <v>1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26" t="s">
        <v>3</v>
      </c>
      <c r="E3" s="35"/>
      <c r="F3" s="169"/>
      <c r="G3" s="169"/>
      <c r="H3" s="169"/>
      <c r="I3" s="169"/>
      <c r="J3" s="169"/>
      <c r="K3" s="170"/>
      <c r="L3" s="126" t="s">
        <v>5</v>
      </c>
      <c r="M3" s="146"/>
      <c r="N3" s="147"/>
      <c r="O3" s="126" t="s">
        <v>7</v>
      </c>
      <c r="P3" s="174"/>
      <c r="Q3" s="174"/>
      <c r="R3" s="174"/>
      <c r="S3" s="174"/>
      <c r="T3" s="174"/>
      <c r="U3" s="174"/>
      <c r="V3" s="175"/>
      <c r="W3" s="126" t="s">
        <v>8</v>
      </c>
      <c r="X3" s="125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24" t="s">
        <v>9</v>
      </c>
      <c r="P4" s="5"/>
      <c r="Q4" s="139" t="s">
        <v>204</v>
      </c>
      <c r="R4" s="140"/>
      <c r="S4" s="140"/>
      <c r="T4" s="141"/>
      <c r="U4" s="124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26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1</v>
      </c>
      <c r="J24" s="207"/>
      <c r="K24" s="207">
        <v>2</v>
      </c>
      <c r="L24" s="207"/>
      <c r="M24" s="207">
        <v>3</v>
      </c>
      <c r="N24" s="207"/>
      <c r="O24" s="207">
        <v>4</v>
      </c>
      <c r="P24" s="207"/>
      <c r="Q24" s="207">
        <v>5</v>
      </c>
      <c r="R24" s="207"/>
      <c r="S24" s="207">
        <v>6</v>
      </c>
      <c r="T24" s="207"/>
      <c r="U24" s="207">
        <v>7</v>
      </c>
      <c r="V24" s="207"/>
      <c r="W24" s="207">
        <v>8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138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8.2699999999999996E-2</v>
      </c>
      <c r="J26" s="206"/>
      <c r="K26" s="206">
        <v>8.2699999999999996E-2</v>
      </c>
      <c r="L26" s="206"/>
      <c r="M26" s="206">
        <v>8.2400000000000001E-2</v>
      </c>
      <c r="N26" s="206"/>
      <c r="O26" s="206">
        <v>8.2600000000000007E-2</v>
      </c>
      <c r="P26" s="206"/>
      <c r="Q26" s="206">
        <v>8.3000000000000004E-2</v>
      </c>
      <c r="R26" s="206"/>
      <c r="S26" s="206">
        <v>8.2500000000000004E-2</v>
      </c>
      <c r="T26" s="206"/>
      <c r="U26" s="206">
        <v>8.2500000000000004E-2</v>
      </c>
      <c r="V26" s="206"/>
      <c r="W26" s="206">
        <v>8.2900000000000001E-2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128" t="s">
        <v>55</v>
      </c>
      <c r="D28" s="127" t="s">
        <v>50</v>
      </c>
      <c r="E28" s="50">
        <v>1.92</v>
      </c>
      <c r="F28" s="51" t="s">
        <v>56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128" t="s">
        <v>55</v>
      </c>
      <c r="D29" s="127" t="s">
        <v>50</v>
      </c>
      <c r="E29" s="50">
        <v>2.0099999999999998</v>
      </c>
      <c r="F29" s="51" t="s">
        <v>56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8.2500000000000004E-2</v>
      </c>
      <c r="J30" s="223"/>
      <c r="K30" s="223">
        <v>8.2299999999999998E-2</v>
      </c>
      <c r="L30" s="223"/>
      <c r="M30" s="223">
        <v>8.2500000000000004E-2</v>
      </c>
      <c r="N30" s="223"/>
      <c r="O30" s="223">
        <v>8.2400000000000001E-2</v>
      </c>
      <c r="P30" s="223"/>
      <c r="Q30" s="223">
        <v>8.2600000000000007E-2</v>
      </c>
      <c r="R30" s="223"/>
      <c r="S30" s="223">
        <v>8.2299999999999998E-2</v>
      </c>
      <c r="T30" s="223"/>
      <c r="U30" s="223">
        <v>8.3000000000000004E-2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0.4335</v>
      </c>
      <c r="L32" s="223"/>
      <c r="M32" s="223">
        <v>0.4335</v>
      </c>
      <c r="N32" s="223"/>
      <c r="O32" s="223">
        <v>0.434</v>
      </c>
      <c r="P32" s="223"/>
      <c r="Q32" s="223">
        <v>0.434</v>
      </c>
      <c r="R32" s="223"/>
      <c r="S32" s="223">
        <v>0.4335</v>
      </c>
      <c r="T32" s="223"/>
      <c r="U32" s="223">
        <v>0.4335</v>
      </c>
      <c r="V32" s="223"/>
      <c r="W32" s="223">
        <v>0.434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0.39350000000000002</v>
      </c>
      <c r="J34" s="206"/>
      <c r="K34" s="206">
        <v>0.39350000000000002</v>
      </c>
      <c r="L34" s="206"/>
      <c r="M34" s="206">
        <v>0.39400000000000002</v>
      </c>
      <c r="N34" s="206"/>
      <c r="O34" s="206">
        <v>0.39400000000000002</v>
      </c>
      <c r="P34" s="206"/>
      <c r="Q34" s="206">
        <v>0.39400000000000002</v>
      </c>
      <c r="R34" s="206"/>
      <c r="S34" s="206">
        <v>0.39400000000000002</v>
      </c>
      <c r="T34" s="206"/>
      <c r="U34" s="206">
        <v>0.39350000000000002</v>
      </c>
      <c r="V34" s="206"/>
      <c r="W34" s="206">
        <v>0.39350000000000002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32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129" t="s">
        <v>64</v>
      </c>
      <c r="E37" s="130"/>
      <c r="F37" s="130"/>
      <c r="G37" s="130"/>
      <c r="H37" s="131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33"/>
      <c r="F38" s="133"/>
      <c r="G38" s="133"/>
      <c r="H38" s="134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68</v>
      </c>
      <c r="D39" s="129" t="s">
        <v>69</v>
      </c>
      <c r="E39" s="130"/>
      <c r="F39" s="130"/>
      <c r="G39" s="130"/>
      <c r="H39" s="131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32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68</v>
      </c>
      <c r="D41" s="129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32" t="s">
        <v>74</v>
      </c>
      <c r="E42" s="135"/>
      <c r="F42" s="136"/>
      <c r="G42" s="42"/>
      <c r="H42" s="36"/>
      <c r="I42" s="224" t="s">
        <v>97</v>
      </c>
      <c r="J42" s="224"/>
      <c r="K42" s="224" t="s">
        <v>97</v>
      </c>
      <c r="L42" s="224"/>
      <c r="M42" s="224" t="s">
        <v>97</v>
      </c>
      <c r="N42" s="224"/>
      <c r="O42" s="224" t="s">
        <v>97</v>
      </c>
      <c r="P42" s="224"/>
      <c r="Q42" s="224" t="s">
        <v>97</v>
      </c>
      <c r="R42" s="224"/>
      <c r="S42" s="224" t="s">
        <v>97</v>
      </c>
      <c r="T42" s="224"/>
      <c r="U42" s="224" t="s">
        <v>97</v>
      </c>
      <c r="V42" s="224"/>
      <c r="W42" s="224" t="s">
        <v>97</v>
      </c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68</v>
      </c>
      <c r="D43" s="129" t="s">
        <v>75</v>
      </c>
      <c r="E43" s="137"/>
      <c r="F43" s="137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32" t="s">
        <v>77</v>
      </c>
      <c r="E44" s="135"/>
      <c r="F44" s="136"/>
      <c r="G44" s="42"/>
      <c r="H44" s="36"/>
      <c r="I44" s="224" t="s">
        <v>97</v>
      </c>
      <c r="J44" s="224"/>
      <c r="K44" s="224" t="s">
        <v>97</v>
      </c>
      <c r="L44" s="224"/>
      <c r="M44" s="224" t="s">
        <v>97</v>
      </c>
      <c r="N44" s="224"/>
      <c r="O44" s="224" t="s">
        <v>97</v>
      </c>
      <c r="P44" s="224"/>
      <c r="Q44" s="224" t="s">
        <v>97</v>
      </c>
      <c r="R44" s="224"/>
      <c r="S44" s="224" t="s">
        <v>97</v>
      </c>
      <c r="T44" s="224"/>
      <c r="U44" s="224" t="s">
        <v>97</v>
      </c>
      <c r="V44" s="224"/>
      <c r="W44" s="224" t="s">
        <v>97</v>
      </c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129" t="s">
        <v>78</v>
      </c>
      <c r="E45" s="137"/>
      <c r="F45" s="137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32" t="s">
        <v>80</v>
      </c>
      <c r="E46" s="133"/>
      <c r="F46" s="133"/>
      <c r="G46" s="133"/>
      <c r="H46" s="134"/>
      <c r="I46" s="224" t="s">
        <v>97</v>
      </c>
      <c r="J46" s="224"/>
      <c r="K46" s="224" t="s">
        <v>97</v>
      </c>
      <c r="L46" s="224"/>
      <c r="M46" s="224" t="s">
        <v>97</v>
      </c>
      <c r="N46" s="224"/>
      <c r="O46" s="224" t="s">
        <v>97</v>
      </c>
      <c r="P46" s="224"/>
      <c r="Q46" s="224" t="s">
        <v>97</v>
      </c>
      <c r="R46" s="224"/>
      <c r="S46" s="224" t="s">
        <v>97</v>
      </c>
      <c r="T46" s="224"/>
      <c r="U46" s="224" t="s">
        <v>97</v>
      </c>
      <c r="V46" s="224"/>
      <c r="W46" s="224" t="s">
        <v>97</v>
      </c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129" t="s">
        <v>81</v>
      </c>
      <c r="E47" s="130"/>
      <c r="F47" s="130"/>
      <c r="G47" s="130"/>
      <c r="H47" s="131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32" t="s">
        <v>83</v>
      </c>
      <c r="E48" s="133"/>
      <c r="F48" s="133"/>
      <c r="G48" s="133"/>
      <c r="H48" s="134"/>
      <c r="I48" s="224" t="s">
        <v>97</v>
      </c>
      <c r="J48" s="224"/>
      <c r="K48" s="224" t="s">
        <v>97</v>
      </c>
      <c r="L48" s="224"/>
      <c r="M48" s="224" t="s">
        <v>97</v>
      </c>
      <c r="N48" s="224"/>
      <c r="O48" s="224" t="s">
        <v>97</v>
      </c>
      <c r="P48" s="224"/>
      <c r="Q48" s="224" t="s">
        <v>97</v>
      </c>
      <c r="R48" s="224"/>
      <c r="S48" s="224" t="s">
        <v>97</v>
      </c>
      <c r="T48" s="224"/>
      <c r="U48" s="224" t="s">
        <v>97</v>
      </c>
      <c r="V48" s="224"/>
      <c r="W48" s="224" t="s">
        <v>97</v>
      </c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129" t="s">
        <v>84</v>
      </c>
      <c r="E49" s="130"/>
      <c r="F49" s="130"/>
      <c r="G49" s="130"/>
      <c r="H49" s="131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32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129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0:X31">
    <cfRule type="cellIs" dxfId="17" priority="9" operator="greaterThan">
      <formula>$AA$30</formula>
    </cfRule>
    <cfRule type="cellIs" dxfId="16" priority="10" operator="lessThan">
      <formula>$AA$31</formula>
    </cfRule>
  </conditionalFormatting>
  <conditionalFormatting sqref="I32:X33">
    <cfRule type="cellIs" dxfId="15" priority="11" operator="greaterThan">
      <formula>$AA$32</formula>
    </cfRule>
    <cfRule type="cellIs" dxfId="14" priority="12" operator="lessThan">
      <formula>$AA$33</formula>
    </cfRule>
  </conditionalFormatting>
  <conditionalFormatting sqref="I34:X35">
    <cfRule type="cellIs" dxfId="13" priority="1" operator="greaterThan">
      <formula>$AA$34</formula>
    </cfRule>
    <cfRule type="cellIs" dxfId="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B78"/>
  <sheetViews>
    <sheetView showGridLines="0" topLeftCell="A34" zoomScale="145" zoomScaleNormal="145" workbookViewId="0">
      <selection activeCell="I52" sqref="I52:J5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6" ht="13.5" customHeight="1" x14ac:dyDescent="0.25">
      <c r="A2" s="164" t="s">
        <v>31</v>
      </c>
      <c r="B2" s="165"/>
      <c r="C2" s="166" t="s">
        <v>32</v>
      </c>
      <c r="D2" s="124" t="s">
        <v>2</v>
      </c>
      <c r="E2" s="34"/>
      <c r="F2" s="144" t="s">
        <v>42</v>
      </c>
      <c r="G2" s="144"/>
      <c r="H2" s="144"/>
      <c r="I2" s="144"/>
      <c r="J2" s="144"/>
      <c r="K2" s="168"/>
      <c r="L2" s="124" t="s">
        <v>4</v>
      </c>
      <c r="M2" s="144">
        <v>10</v>
      </c>
      <c r="N2" s="145"/>
      <c r="O2" s="124" t="s">
        <v>6</v>
      </c>
      <c r="P2" s="171" t="s">
        <v>144</v>
      </c>
      <c r="Q2" s="172"/>
      <c r="R2" s="172"/>
      <c r="S2" s="172"/>
      <c r="T2" s="172"/>
      <c r="U2" s="172"/>
      <c r="V2" s="173"/>
      <c r="W2" s="124" t="s">
        <v>25</v>
      </c>
      <c r="X2" s="25">
        <v>2</v>
      </c>
      <c r="Z2" s="27" t="s">
        <v>33</v>
      </c>
    </row>
    <row r="3" spans="1:26" ht="9.9499999999999993" customHeight="1" x14ac:dyDescent="0.25">
      <c r="A3" s="176" t="s">
        <v>1</v>
      </c>
      <c r="B3" s="177"/>
      <c r="C3" s="167"/>
      <c r="D3" s="126" t="s">
        <v>3</v>
      </c>
      <c r="E3" s="35"/>
      <c r="F3" s="169"/>
      <c r="G3" s="169"/>
      <c r="H3" s="169"/>
      <c r="I3" s="169"/>
      <c r="J3" s="169"/>
      <c r="K3" s="170"/>
      <c r="L3" s="126" t="s">
        <v>5</v>
      </c>
      <c r="M3" s="146"/>
      <c r="N3" s="147"/>
      <c r="O3" s="126" t="s">
        <v>7</v>
      </c>
      <c r="P3" s="174"/>
      <c r="Q3" s="174"/>
      <c r="R3" s="174"/>
      <c r="S3" s="174"/>
      <c r="T3" s="174"/>
      <c r="U3" s="174"/>
      <c r="V3" s="175"/>
      <c r="W3" s="126" t="s">
        <v>8</v>
      </c>
      <c r="X3" s="125">
        <v>2</v>
      </c>
      <c r="Z3" s="28"/>
    </row>
    <row r="4" spans="1:26" ht="14.25" customHeight="1" x14ac:dyDescent="0.25">
      <c r="A4" s="2" t="s">
        <v>34</v>
      </c>
      <c r="B4" s="3"/>
      <c r="C4" s="3"/>
      <c r="D4" s="39"/>
      <c r="E4" s="22" t="s">
        <v>147</v>
      </c>
      <c r="F4" s="4" t="s">
        <v>35</v>
      </c>
      <c r="H4" s="4"/>
      <c r="I4" s="3"/>
      <c r="J4" s="3"/>
      <c r="K4" s="22" t="s">
        <v>101</v>
      </c>
      <c r="L4" s="4" t="s">
        <v>36</v>
      </c>
      <c r="M4" s="3"/>
      <c r="N4" s="3"/>
      <c r="O4" s="124" t="s">
        <v>9</v>
      </c>
      <c r="P4" s="5"/>
      <c r="Q4" s="139" t="s">
        <v>205</v>
      </c>
      <c r="R4" s="140"/>
      <c r="S4" s="140"/>
      <c r="T4" s="141"/>
      <c r="U4" s="124" t="s">
        <v>11</v>
      </c>
      <c r="V4" s="6"/>
      <c r="W4" s="144" t="s">
        <v>96</v>
      </c>
      <c r="X4" s="145"/>
      <c r="Z4" s="27" t="s">
        <v>37</v>
      </c>
    </row>
    <row r="5" spans="1:26" ht="9.9499999999999993" customHeight="1" x14ac:dyDescent="0.2">
      <c r="A5" s="20" t="s">
        <v>38</v>
      </c>
      <c r="B5" s="7"/>
      <c r="C5" s="7"/>
      <c r="D5" s="7"/>
      <c r="E5" s="7"/>
      <c r="F5" s="21" t="s">
        <v>39</v>
      </c>
      <c r="H5" s="21"/>
      <c r="I5" s="7"/>
      <c r="J5" s="7"/>
      <c r="K5" s="7"/>
      <c r="L5" s="21" t="s">
        <v>40</v>
      </c>
      <c r="M5" s="7"/>
      <c r="N5" s="8"/>
      <c r="O5" s="20" t="s">
        <v>10</v>
      </c>
      <c r="P5" s="9"/>
      <c r="Q5" s="142"/>
      <c r="R5" s="142"/>
      <c r="S5" s="142"/>
      <c r="T5" s="143"/>
      <c r="U5" s="126" t="s">
        <v>12</v>
      </c>
      <c r="V5" s="10"/>
      <c r="W5" s="146"/>
      <c r="X5" s="147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48" t="s">
        <v>41</v>
      </c>
      <c r="T6" s="149"/>
      <c r="U6" s="149"/>
      <c r="V6" s="149"/>
      <c r="W6" s="149"/>
      <c r="X6" s="150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51" t="s">
        <v>13</v>
      </c>
      <c r="T7" s="152"/>
      <c r="U7" s="152"/>
      <c r="V7" s="152"/>
      <c r="W7" s="152"/>
      <c r="X7" s="153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4" t="s">
        <v>42</v>
      </c>
      <c r="T8" s="155"/>
      <c r="U8" s="155"/>
      <c r="V8" s="156"/>
      <c r="W8" s="156"/>
      <c r="X8" s="157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58"/>
      <c r="T9" s="159"/>
      <c r="U9" s="159"/>
      <c r="V9" s="160"/>
      <c r="W9" s="160"/>
      <c r="X9" s="161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58"/>
      <c r="T10" s="159"/>
      <c r="U10" s="159"/>
      <c r="V10" s="160"/>
      <c r="W10" s="160"/>
      <c r="X10" s="161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58"/>
      <c r="T11" s="159"/>
      <c r="U11" s="159"/>
      <c r="V11" s="160"/>
      <c r="W11" s="160"/>
      <c r="X11" s="161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58"/>
      <c r="T12" s="159"/>
      <c r="U12" s="159"/>
      <c r="V12" s="160"/>
      <c r="W12" s="160"/>
      <c r="X12" s="161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58"/>
      <c r="T13" s="159"/>
      <c r="U13" s="159"/>
      <c r="V13" s="160"/>
      <c r="W13" s="160"/>
      <c r="X13" s="161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58"/>
      <c r="T14" s="178"/>
      <c r="U14" s="178"/>
      <c r="V14" s="179"/>
      <c r="W14" s="180"/>
      <c r="X14" s="18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58"/>
      <c r="T15" s="178"/>
      <c r="U15" s="178"/>
      <c r="V15" s="179"/>
      <c r="W15" s="180"/>
      <c r="X15" s="18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58"/>
      <c r="T16" s="178"/>
      <c r="U16" s="178"/>
      <c r="V16" s="179"/>
      <c r="W16" s="180"/>
      <c r="X16" s="18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58"/>
      <c r="T17" s="178"/>
      <c r="U17" s="178"/>
      <c r="V17" s="179"/>
      <c r="W17" s="180"/>
      <c r="X17" s="18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58"/>
      <c r="T18" s="178"/>
      <c r="U18" s="178"/>
      <c r="V18" s="179"/>
      <c r="W18" s="180"/>
      <c r="X18" s="18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58"/>
      <c r="T19" s="178"/>
      <c r="U19" s="178"/>
      <c r="V19" s="179"/>
      <c r="W19" s="180"/>
      <c r="X19" s="18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58"/>
      <c r="T20" s="178"/>
      <c r="U20" s="178"/>
      <c r="V20" s="179"/>
      <c r="W20" s="180"/>
      <c r="X20" s="18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58"/>
      <c r="T21" s="178"/>
      <c r="U21" s="178"/>
      <c r="V21" s="182"/>
      <c r="W21" s="183"/>
      <c r="X21" s="167"/>
    </row>
    <row r="22" spans="1:28" ht="12.75" customHeight="1" x14ac:dyDescent="0.25">
      <c r="A22" s="148" t="s">
        <v>43</v>
      </c>
      <c r="B22" s="184"/>
      <c r="C22" s="185"/>
      <c r="D22" s="186" t="s">
        <v>27</v>
      </c>
      <c r="E22" s="187"/>
      <c r="F22" s="187"/>
      <c r="G22" s="187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7"/>
      <c r="W22" s="191" t="s">
        <v>44</v>
      </c>
      <c r="X22" s="192"/>
      <c r="Z22" s="42" t="s">
        <v>28</v>
      </c>
    </row>
    <row r="23" spans="1:28" ht="11.25" customHeight="1" x14ac:dyDescent="0.3">
      <c r="A23" s="151" t="s">
        <v>14</v>
      </c>
      <c r="B23" s="193"/>
      <c r="C23" s="194"/>
      <c r="D23" s="188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90"/>
      <c r="W23" s="195" t="s">
        <v>45</v>
      </c>
      <c r="X23" s="196"/>
      <c r="Z23" s="41" t="s">
        <v>29</v>
      </c>
    </row>
    <row r="24" spans="1:28" ht="14.25" customHeight="1" x14ac:dyDescent="0.25">
      <c r="A24" s="148" t="s">
        <v>46</v>
      </c>
      <c r="B24" s="214"/>
      <c r="C24" s="26" t="s">
        <v>16</v>
      </c>
      <c r="D24" s="215" t="s">
        <v>26</v>
      </c>
      <c r="E24" s="216"/>
      <c r="F24" s="216"/>
      <c r="G24" s="216"/>
      <c r="H24" s="217"/>
      <c r="I24" s="207">
        <v>9</v>
      </c>
      <c r="J24" s="207"/>
      <c r="K24" s="207">
        <v>10</v>
      </c>
      <c r="L24" s="207"/>
      <c r="M24" s="207">
        <v>11</v>
      </c>
      <c r="N24" s="207"/>
      <c r="O24" s="207">
        <v>12</v>
      </c>
      <c r="P24" s="207"/>
      <c r="Q24" s="207">
        <v>13</v>
      </c>
      <c r="R24" s="207"/>
      <c r="S24" s="207">
        <v>14</v>
      </c>
      <c r="T24" s="207"/>
      <c r="U24" s="207">
        <v>15</v>
      </c>
      <c r="V24" s="207"/>
      <c r="W24" s="207">
        <v>16</v>
      </c>
      <c r="X24" s="207"/>
      <c r="Z24" s="40"/>
      <c r="AA24" s="37" t="s">
        <v>47</v>
      </c>
    </row>
    <row r="25" spans="1:28" x14ac:dyDescent="0.25">
      <c r="A25" s="209" t="s">
        <v>15</v>
      </c>
      <c r="B25" s="210"/>
      <c r="C25" s="138" t="s">
        <v>48</v>
      </c>
      <c r="D25" s="211" t="s">
        <v>49</v>
      </c>
      <c r="E25" s="212"/>
      <c r="F25" s="212"/>
      <c r="G25" s="212"/>
      <c r="H25" s="213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Z25" s="197" t="s">
        <v>50</v>
      </c>
      <c r="AA25" s="37" t="s">
        <v>51</v>
      </c>
    </row>
    <row r="26" spans="1:28" s="18" customFormat="1" ht="9.9499999999999993" customHeight="1" x14ac:dyDescent="0.25">
      <c r="A26" s="199" t="s">
        <v>52</v>
      </c>
      <c r="B26" s="199"/>
      <c r="C26" s="201" t="s">
        <v>53</v>
      </c>
      <c r="D26" s="197" t="s">
        <v>50</v>
      </c>
      <c r="E26" s="203">
        <v>8.2000000000000003E-2</v>
      </c>
      <c r="F26" s="204"/>
      <c r="G26" s="42" t="s">
        <v>28</v>
      </c>
      <c r="H26" s="48">
        <v>2E-3</v>
      </c>
      <c r="I26" s="206">
        <v>8.3000000000000004E-2</v>
      </c>
      <c r="J26" s="206"/>
      <c r="K26" s="206">
        <v>8.2500000000000004E-2</v>
      </c>
      <c r="L26" s="206"/>
      <c r="M26" s="206">
        <v>8.2199999999999995E-2</v>
      </c>
      <c r="N26" s="206"/>
      <c r="O26" s="206">
        <v>8.2299999999999998E-2</v>
      </c>
      <c r="P26" s="206"/>
      <c r="Q26" s="206">
        <v>8.2299999999999998E-2</v>
      </c>
      <c r="R26" s="206"/>
      <c r="S26" s="206">
        <v>8.2400000000000001E-2</v>
      </c>
      <c r="T26" s="206"/>
      <c r="U26" s="206">
        <v>8.2900000000000001E-2</v>
      </c>
      <c r="V26" s="206"/>
      <c r="W26" s="206">
        <v>8.3099999999999993E-2</v>
      </c>
      <c r="X26" s="206"/>
      <c r="Z26" s="198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200"/>
      <c r="B27" s="200"/>
      <c r="C27" s="202"/>
      <c r="D27" s="198"/>
      <c r="E27" s="205"/>
      <c r="F27" s="205"/>
      <c r="G27" s="41" t="s">
        <v>29</v>
      </c>
      <c r="H27" s="49">
        <v>2E-3</v>
      </c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218" t="s">
        <v>54</v>
      </c>
      <c r="B28" s="219"/>
      <c r="C28" s="128" t="s">
        <v>55</v>
      </c>
      <c r="D28" s="127" t="s">
        <v>50</v>
      </c>
      <c r="E28" s="50">
        <v>1.92</v>
      </c>
      <c r="F28" s="51" t="s">
        <v>56</v>
      </c>
      <c r="G28" s="52" t="s">
        <v>57</v>
      </c>
      <c r="H28" s="53" t="s">
        <v>47</v>
      </c>
      <c r="I28" s="221" t="s">
        <v>98</v>
      </c>
      <c r="J28" s="221"/>
      <c r="K28" s="222" t="s">
        <v>98</v>
      </c>
      <c r="L28" s="222"/>
      <c r="M28" s="222" t="s">
        <v>98</v>
      </c>
      <c r="N28" s="222"/>
      <c r="O28" s="222" t="s">
        <v>98</v>
      </c>
      <c r="P28" s="222"/>
      <c r="Q28" s="222" t="s">
        <v>98</v>
      </c>
      <c r="R28" s="222"/>
      <c r="S28" s="222" t="s">
        <v>98</v>
      </c>
      <c r="T28" s="222"/>
      <c r="U28" s="222" t="s">
        <v>98</v>
      </c>
      <c r="V28" s="222"/>
      <c r="W28" s="222" t="s">
        <v>98</v>
      </c>
      <c r="X28" s="222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220"/>
      <c r="B29" s="161"/>
      <c r="C29" s="128" t="s">
        <v>55</v>
      </c>
      <c r="D29" s="127" t="s">
        <v>50</v>
      </c>
      <c r="E29" s="50">
        <v>2.0099999999999998</v>
      </c>
      <c r="F29" s="51" t="s">
        <v>56</v>
      </c>
      <c r="G29" s="52" t="s">
        <v>57</v>
      </c>
      <c r="H29" s="53" t="s">
        <v>51</v>
      </c>
      <c r="I29" s="221" t="s">
        <v>99</v>
      </c>
      <c r="J29" s="221"/>
      <c r="K29" s="221" t="s">
        <v>99</v>
      </c>
      <c r="L29" s="221"/>
      <c r="M29" s="221" t="s">
        <v>99</v>
      </c>
      <c r="N29" s="221"/>
      <c r="O29" s="221" t="s">
        <v>99</v>
      </c>
      <c r="P29" s="221"/>
      <c r="Q29" s="221" t="s">
        <v>99</v>
      </c>
      <c r="R29" s="221"/>
      <c r="S29" s="221" t="s">
        <v>99</v>
      </c>
      <c r="T29" s="221"/>
      <c r="U29" s="222" t="s">
        <v>99</v>
      </c>
      <c r="V29" s="222"/>
      <c r="W29" s="222" t="s">
        <v>99</v>
      </c>
      <c r="X29" s="22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99" t="s">
        <v>58</v>
      </c>
      <c r="B30" s="199"/>
      <c r="C30" s="201" t="s">
        <v>53</v>
      </c>
      <c r="D30" s="197" t="s">
        <v>50</v>
      </c>
      <c r="E30" s="203">
        <v>8.2000000000000003E-2</v>
      </c>
      <c r="F30" s="204"/>
      <c r="G30" s="42" t="s">
        <v>28</v>
      </c>
      <c r="H30" s="48">
        <v>2E-3</v>
      </c>
      <c r="I30" s="223">
        <v>8.2500000000000004E-2</v>
      </c>
      <c r="J30" s="223"/>
      <c r="K30" s="223">
        <v>8.2500000000000004E-2</v>
      </c>
      <c r="L30" s="223"/>
      <c r="M30" s="223">
        <v>8.2400000000000001E-2</v>
      </c>
      <c r="N30" s="223"/>
      <c r="O30" s="223">
        <v>8.2699999999999996E-2</v>
      </c>
      <c r="P30" s="223"/>
      <c r="Q30" s="223">
        <v>8.2500000000000004E-2</v>
      </c>
      <c r="R30" s="223"/>
      <c r="S30" s="223">
        <v>8.2400000000000001E-2</v>
      </c>
      <c r="T30" s="223"/>
      <c r="U30" s="223">
        <v>8.2500000000000004E-2</v>
      </c>
      <c r="V30" s="223"/>
      <c r="W30" s="223">
        <v>8.2500000000000004E-2</v>
      </c>
      <c r="X30" s="223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200"/>
      <c r="B31" s="200"/>
      <c r="C31" s="202"/>
      <c r="D31" s="198"/>
      <c r="E31" s="205"/>
      <c r="F31" s="205"/>
      <c r="G31" s="41" t="s">
        <v>29</v>
      </c>
      <c r="H31" s="49">
        <v>2E-3</v>
      </c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99" t="s">
        <v>59</v>
      </c>
      <c r="B32" s="199"/>
      <c r="C32" s="201" t="s">
        <v>60</v>
      </c>
      <c r="D32" s="197" t="s">
        <v>50</v>
      </c>
      <c r="E32" s="203">
        <v>0.43</v>
      </c>
      <c r="F32" s="204"/>
      <c r="G32" s="42" t="s">
        <v>28</v>
      </c>
      <c r="H32" s="48">
        <v>5.0000000000000001E-3</v>
      </c>
      <c r="I32" s="223">
        <v>0.4335</v>
      </c>
      <c r="J32" s="223"/>
      <c r="K32" s="223">
        <v>0.434</v>
      </c>
      <c r="L32" s="223"/>
      <c r="M32" s="223">
        <v>0.4335</v>
      </c>
      <c r="N32" s="223"/>
      <c r="O32" s="223">
        <v>0.434</v>
      </c>
      <c r="P32" s="223"/>
      <c r="Q32" s="223">
        <v>0.434</v>
      </c>
      <c r="R32" s="223"/>
      <c r="S32" s="223">
        <v>0.4335</v>
      </c>
      <c r="T32" s="223"/>
      <c r="U32" s="223">
        <v>0.4335</v>
      </c>
      <c r="V32" s="223"/>
      <c r="W32" s="223">
        <v>0.4335</v>
      </c>
      <c r="X32" s="223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200"/>
      <c r="B33" s="200"/>
      <c r="C33" s="202"/>
      <c r="D33" s="198"/>
      <c r="E33" s="205"/>
      <c r="F33" s="205"/>
      <c r="G33" s="41" t="s">
        <v>29</v>
      </c>
      <c r="H33" s="49">
        <v>5.0000000000000001E-3</v>
      </c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99" t="s">
        <v>61</v>
      </c>
      <c r="B34" s="199"/>
      <c r="C34" s="201" t="s">
        <v>60</v>
      </c>
      <c r="D34" s="197" t="s">
        <v>50</v>
      </c>
      <c r="E34" s="203">
        <v>0.39500000000000002</v>
      </c>
      <c r="F34" s="204"/>
      <c r="G34" s="42" t="s">
        <v>28</v>
      </c>
      <c r="H34" s="48">
        <v>5.0000000000000001E-3</v>
      </c>
      <c r="I34" s="206">
        <v>0.39400000000000002</v>
      </c>
      <c r="J34" s="206"/>
      <c r="K34" s="206">
        <v>0.39350000000000002</v>
      </c>
      <c r="L34" s="206"/>
      <c r="M34" s="206">
        <v>0.39300000000000002</v>
      </c>
      <c r="N34" s="206"/>
      <c r="O34" s="206">
        <v>0.39400000000000002</v>
      </c>
      <c r="P34" s="206"/>
      <c r="Q34" s="206">
        <v>0.39350000000000002</v>
      </c>
      <c r="R34" s="206"/>
      <c r="S34" s="206">
        <v>0.39400000000000002</v>
      </c>
      <c r="T34" s="206"/>
      <c r="U34" s="206">
        <v>0.39400000000000002</v>
      </c>
      <c r="V34" s="206"/>
      <c r="W34" s="206">
        <v>0.39350000000000002</v>
      </c>
      <c r="X34" s="206"/>
      <c r="AA34" s="54">
        <f>E34+H34</f>
        <v>0.4</v>
      </c>
      <c r="AB34" s="46">
        <v>34</v>
      </c>
    </row>
    <row r="35" spans="1:28" s="18" customFormat="1" ht="9.9499999999999993" customHeight="1" x14ac:dyDescent="0.3">
      <c r="A35" s="200"/>
      <c r="B35" s="200"/>
      <c r="C35" s="202"/>
      <c r="D35" s="198"/>
      <c r="E35" s="205"/>
      <c r="F35" s="205"/>
      <c r="G35" s="41" t="s">
        <v>29</v>
      </c>
      <c r="H35" s="49">
        <v>5.0000000000000001E-3</v>
      </c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AA35" s="54">
        <f t="shared" ref="AA35:AA40" si="1">E34-H35</f>
        <v>0.39</v>
      </c>
      <c r="AB35" s="46">
        <v>35</v>
      </c>
    </row>
    <row r="36" spans="1:28" s="19" customFormat="1" ht="9.9499999999999993" customHeight="1" x14ac:dyDescent="0.25">
      <c r="A36" s="199" t="s">
        <v>65</v>
      </c>
      <c r="B36" s="199"/>
      <c r="C36" s="225" t="s">
        <v>62</v>
      </c>
      <c r="D36" s="132" t="s">
        <v>63</v>
      </c>
      <c r="E36" s="43"/>
      <c r="F36" s="43"/>
      <c r="G36" s="43"/>
      <c r="H36" s="29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200"/>
      <c r="B37" s="200"/>
      <c r="C37" s="226"/>
      <c r="D37" s="129" t="s">
        <v>64</v>
      </c>
      <c r="E37" s="130"/>
      <c r="F37" s="130"/>
      <c r="G37" s="130"/>
      <c r="H37" s="131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99" t="s">
        <v>70</v>
      </c>
      <c r="B38" s="199"/>
      <c r="C38" s="24" t="s">
        <v>66</v>
      </c>
      <c r="D38" s="47" t="s">
        <v>67</v>
      </c>
      <c r="E38" s="133"/>
      <c r="F38" s="133"/>
      <c r="G38" s="133"/>
      <c r="H38" s="134"/>
      <c r="I38" s="224" t="s">
        <v>97</v>
      </c>
      <c r="J38" s="224"/>
      <c r="K38" s="224" t="s">
        <v>97</v>
      </c>
      <c r="L38" s="224"/>
      <c r="M38" s="224" t="s">
        <v>97</v>
      </c>
      <c r="N38" s="224"/>
      <c r="O38" s="224" t="s">
        <v>97</v>
      </c>
      <c r="P38" s="224"/>
      <c r="Q38" s="224" t="s">
        <v>97</v>
      </c>
      <c r="R38" s="224"/>
      <c r="S38" s="224" t="s">
        <v>97</v>
      </c>
      <c r="T38" s="224"/>
      <c r="U38" s="224" t="s">
        <v>97</v>
      </c>
      <c r="V38" s="224"/>
      <c r="W38" s="224" t="s">
        <v>97</v>
      </c>
      <c r="X38" s="224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200"/>
      <c r="B39" s="200"/>
      <c r="C39" s="23" t="s">
        <v>68</v>
      </c>
      <c r="D39" s="129" t="s">
        <v>69</v>
      </c>
      <c r="E39" s="130"/>
      <c r="F39" s="130"/>
      <c r="G39" s="130"/>
      <c r="H39" s="131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99" t="s">
        <v>123</v>
      </c>
      <c r="B40" s="199"/>
      <c r="C40" s="24" t="s">
        <v>71</v>
      </c>
      <c r="D40" s="132" t="s">
        <v>72</v>
      </c>
      <c r="E40" s="44"/>
      <c r="F40" s="44"/>
      <c r="G40" s="44"/>
      <c r="H40" s="30"/>
      <c r="I40" s="224" t="s">
        <v>97</v>
      </c>
      <c r="J40" s="224"/>
      <c r="K40" s="224" t="s">
        <v>97</v>
      </c>
      <c r="L40" s="224"/>
      <c r="M40" s="224" t="s">
        <v>97</v>
      </c>
      <c r="N40" s="224"/>
      <c r="O40" s="224" t="s">
        <v>97</v>
      </c>
      <c r="P40" s="224"/>
      <c r="Q40" s="224" t="s">
        <v>97</v>
      </c>
      <c r="R40" s="224"/>
      <c r="S40" s="224" t="s">
        <v>97</v>
      </c>
      <c r="T40" s="224"/>
      <c r="U40" s="224" t="s">
        <v>97</v>
      </c>
      <c r="V40" s="224"/>
      <c r="W40" s="224" t="s">
        <v>97</v>
      </c>
      <c r="X40" s="224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200"/>
      <c r="B41" s="200"/>
      <c r="C41" s="23" t="s">
        <v>68</v>
      </c>
      <c r="D41" s="129" t="s">
        <v>73</v>
      </c>
      <c r="E41" s="45"/>
      <c r="F41" s="45"/>
      <c r="G41" s="45"/>
      <c r="H41" s="31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37"/>
      <c r="AB41" s="46"/>
    </row>
    <row r="42" spans="1:28" s="19" customFormat="1" ht="9.9499999999999993" customHeight="1" x14ac:dyDescent="0.25">
      <c r="A42" s="199" t="s">
        <v>76</v>
      </c>
      <c r="B42" s="199"/>
      <c r="C42" s="24" t="s">
        <v>71</v>
      </c>
      <c r="D42" s="132" t="s">
        <v>74</v>
      </c>
      <c r="E42" s="135"/>
      <c r="F42" s="136"/>
      <c r="G42" s="42"/>
      <c r="H42" s="36"/>
      <c r="I42" s="224" t="s">
        <v>97</v>
      </c>
      <c r="J42" s="224"/>
      <c r="K42" s="224" t="s">
        <v>97</v>
      </c>
      <c r="L42" s="224"/>
      <c r="M42" s="224" t="s">
        <v>97</v>
      </c>
      <c r="N42" s="224"/>
      <c r="O42" s="224" t="s">
        <v>97</v>
      </c>
      <c r="P42" s="224"/>
      <c r="Q42" s="224" t="s">
        <v>97</v>
      </c>
      <c r="R42" s="224"/>
      <c r="S42" s="224" t="s">
        <v>97</v>
      </c>
      <c r="T42" s="224"/>
      <c r="U42" s="224" t="s">
        <v>97</v>
      </c>
      <c r="V42" s="224"/>
      <c r="W42" s="224" t="s">
        <v>97</v>
      </c>
      <c r="X42" s="224"/>
      <c r="AA42" s="37"/>
      <c r="AB42" s="46"/>
    </row>
    <row r="43" spans="1:28" s="19" customFormat="1" ht="9.9499999999999993" customHeight="1" x14ac:dyDescent="0.3">
      <c r="A43" s="200"/>
      <c r="B43" s="200"/>
      <c r="C43" s="23" t="s">
        <v>68</v>
      </c>
      <c r="D43" s="129" t="s">
        <v>75</v>
      </c>
      <c r="E43" s="137"/>
      <c r="F43" s="137"/>
      <c r="G43" s="41"/>
      <c r="H43" s="3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37"/>
      <c r="AB43" s="46"/>
    </row>
    <row r="44" spans="1:28" s="19" customFormat="1" ht="9.9499999999999993" customHeight="1" x14ac:dyDescent="0.25">
      <c r="A44" s="199" t="s">
        <v>79</v>
      </c>
      <c r="B44" s="199"/>
      <c r="C44" s="225" t="s">
        <v>71</v>
      </c>
      <c r="D44" s="132" t="s">
        <v>77</v>
      </c>
      <c r="E44" s="135"/>
      <c r="F44" s="136"/>
      <c r="G44" s="42"/>
      <c r="H44" s="36"/>
      <c r="I44" s="224" t="s">
        <v>97</v>
      </c>
      <c r="J44" s="224"/>
      <c r="K44" s="224" t="s">
        <v>97</v>
      </c>
      <c r="L44" s="224"/>
      <c r="M44" s="224" t="s">
        <v>97</v>
      </c>
      <c r="N44" s="224"/>
      <c r="O44" s="224" t="s">
        <v>97</v>
      </c>
      <c r="P44" s="224"/>
      <c r="Q44" s="224" t="s">
        <v>97</v>
      </c>
      <c r="R44" s="224"/>
      <c r="S44" s="224" t="s">
        <v>97</v>
      </c>
      <c r="T44" s="224"/>
      <c r="U44" s="224" t="s">
        <v>97</v>
      </c>
      <c r="V44" s="224"/>
      <c r="W44" s="224" t="s">
        <v>97</v>
      </c>
      <c r="X44" s="224"/>
      <c r="AA44" s="37"/>
      <c r="AB44" s="46"/>
    </row>
    <row r="45" spans="1:28" s="19" customFormat="1" ht="9.9499999999999993" customHeight="1" x14ac:dyDescent="0.3">
      <c r="A45" s="200"/>
      <c r="B45" s="200"/>
      <c r="C45" s="226"/>
      <c r="D45" s="129" t="s">
        <v>78</v>
      </c>
      <c r="E45" s="137"/>
      <c r="F45" s="137"/>
      <c r="G45" s="41"/>
      <c r="H45" s="3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37"/>
      <c r="AB45" s="46"/>
    </row>
    <row r="46" spans="1:28" s="19" customFormat="1" ht="9.9499999999999993" customHeight="1" x14ac:dyDescent="0.25">
      <c r="A46" s="199" t="s">
        <v>82</v>
      </c>
      <c r="B46" s="199"/>
      <c r="C46" s="225" t="s">
        <v>71</v>
      </c>
      <c r="D46" s="132" t="s">
        <v>80</v>
      </c>
      <c r="E46" s="133"/>
      <c r="F46" s="133"/>
      <c r="G46" s="133"/>
      <c r="H46" s="134"/>
      <c r="I46" s="224" t="s">
        <v>97</v>
      </c>
      <c r="J46" s="224"/>
      <c r="K46" s="224" t="s">
        <v>97</v>
      </c>
      <c r="L46" s="224"/>
      <c r="M46" s="224" t="s">
        <v>97</v>
      </c>
      <c r="N46" s="224"/>
      <c r="O46" s="224" t="s">
        <v>97</v>
      </c>
      <c r="P46" s="224"/>
      <c r="Q46" s="224" t="s">
        <v>97</v>
      </c>
      <c r="R46" s="224"/>
      <c r="S46" s="224" t="s">
        <v>97</v>
      </c>
      <c r="T46" s="224"/>
      <c r="U46" s="224" t="s">
        <v>97</v>
      </c>
      <c r="V46" s="224"/>
      <c r="W46" s="224" t="s">
        <v>97</v>
      </c>
      <c r="X46" s="224"/>
      <c r="AA46" s="37"/>
      <c r="AB46" s="46"/>
    </row>
    <row r="47" spans="1:28" s="19" customFormat="1" ht="9.9499999999999993" customHeight="1" x14ac:dyDescent="0.25">
      <c r="A47" s="200"/>
      <c r="B47" s="200"/>
      <c r="C47" s="226"/>
      <c r="D47" s="129" t="s">
        <v>81</v>
      </c>
      <c r="E47" s="130"/>
      <c r="F47" s="130"/>
      <c r="G47" s="130"/>
      <c r="H47" s="131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37"/>
      <c r="AB47" s="46"/>
    </row>
    <row r="48" spans="1:28" s="19" customFormat="1" ht="9.9499999999999993" customHeight="1" x14ac:dyDescent="0.25">
      <c r="A48" s="199" t="s">
        <v>129</v>
      </c>
      <c r="B48" s="199"/>
      <c r="C48" s="225" t="s">
        <v>71</v>
      </c>
      <c r="D48" s="132" t="s">
        <v>83</v>
      </c>
      <c r="E48" s="133"/>
      <c r="F48" s="133"/>
      <c r="G48" s="133"/>
      <c r="H48" s="134"/>
      <c r="I48" s="224" t="s">
        <v>97</v>
      </c>
      <c r="J48" s="224"/>
      <c r="K48" s="224" t="s">
        <v>97</v>
      </c>
      <c r="L48" s="224"/>
      <c r="M48" s="224" t="s">
        <v>97</v>
      </c>
      <c r="N48" s="224"/>
      <c r="O48" s="224" t="s">
        <v>97</v>
      </c>
      <c r="P48" s="224"/>
      <c r="Q48" s="224" t="s">
        <v>97</v>
      </c>
      <c r="R48" s="224"/>
      <c r="S48" s="224" t="s">
        <v>97</v>
      </c>
      <c r="T48" s="224"/>
      <c r="U48" s="224" t="s">
        <v>97</v>
      </c>
      <c r="V48" s="224"/>
      <c r="W48" s="224" t="s">
        <v>97</v>
      </c>
      <c r="X48" s="224"/>
      <c r="AA48" s="37"/>
      <c r="AB48" s="46"/>
    </row>
    <row r="49" spans="1:28" s="19" customFormat="1" ht="9.9499999999999993" customHeight="1" x14ac:dyDescent="0.25">
      <c r="A49" s="200"/>
      <c r="B49" s="200"/>
      <c r="C49" s="226"/>
      <c r="D49" s="129" t="s">
        <v>84</v>
      </c>
      <c r="E49" s="130"/>
      <c r="F49" s="130"/>
      <c r="G49" s="130"/>
      <c r="H49" s="131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37"/>
      <c r="AB49" s="46"/>
    </row>
    <row r="50" spans="1:28" s="19" customFormat="1" ht="9.9499999999999993" customHeight="1" x14ac:dyDescent="0.25">
      <c r="A50" s="199" t="s">
        <v>188</v>
      </c>
      <c r="B50" s="199"/>
      <c r="C50" s="201" t="s">
        <v>30</v>
      </c>
      <c r="D50" s="132" t="s">
        <v>85</v>
      </c>
      <c r="E50" s="90"/>
      <c r="F50" s="90"/>
      <c r="G50" s="90"/>
      <c r="H50" s="91"/>
      <c r="I50" s="224" t="s">
        <v>97</v>
      </c>
      <c r="J50" s="224"/>
      <c r="K50" s="224" t="s">
        <v>97</v>
      </c>
      <c r="L50" s="224"/>
      <c r="M50" s="224" t="s">
        <v>97</v>
      </c>
      <c r="N50" s="224"/>
      <c r="O50" s="224" t="s">
        <v>97</v>
      </c>
      <c r="P50" s="224"/>
      <c r="Q50" s="224" t="s">
        <v>97</v>
      </c>
      <c r="R50" s="224"/>
      <c r="S50" s="224" t="s">
        <v>97</v>
      </c>
      <c r="T50" s="224"/>
      <c r="U50" s="224" t="s">
        <v>97</v>
      </c>
      <c r="V50" s="224"/>
      <c r="W50" s="224" t="s">
        <v>97</v>
      </c>
      <c r="X50" s="224"/>
      <c r="AA50" s="37"/>
      <c r="AB50" s="46"/>
    </row>
    <row r="51" spans="1:28" s="19" customFormat="1" ht="9.9499999999999993" customHeight="1" x14ac:dyDescent="0.25">
      <c r="A51" s="200"/>
      <c r="B51" s="200"/>
      <c r="C51" s="227"/>
      <c r="D51" s="129" t="s">
        <v>86</v>
      </c>
      <c r="E51" s="92"/>
      <c r="F51" s="92"/>
      <c r="G51" s="92"/>
      <c r="H51" s="93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37"/>
      <c r="AB51" s="46"/>
    </row>
    <row r="52" spans="1:28" s="19" customFormat="1" ht="9.9499999999999993" customHeight="1" x14ac:dyDescent="0.25">
      <c r="A52" s="199"/>
      <c r="B52" s="199"/>
      <c r="C52" s="201"/>
      <c r="D52" s="231"/>
      <c r="E52" s="232"/>
      <c r="F52" s="232"/>
      <c r="G52" s="232"/>
      <c r="H52" s="233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37"/>
      <c r="AB52" s="46"/>
    </row>
    <row r="53" spans="1:28" s="19" customFormat="1" ht="9.9499999999999993" customHeight="1" x14ac:dyDescent="0.25">
      <c r="A53" s="200"/>
      <c r="B53" s="200"/>
      <c r="C53" s="202"/>
      <c r="D53" s="228"/>
      <c r="E53" s="229"/>
      <c r="F53" s="229"/>
      <c r="G53" s="229"/>
      <c r="H53" s="230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37"/>
      <c r="AB53" s="46"/>
    </row>
    <row r="54" spans="1:28" s="19" customFormat="1" ht="9.9499999999999993" customHeight="1" x14ac:dyDescent="0.25">
      <c r="A54" s="199"/>
      <c r="B54" s="199"/>
      <c r="C54" s="201"/>
      <c r="D54" s="197"/>
      <c r="E54" s="234"/>
      <c r="F54" s="235"/>
      <c r="G54" s="42"/>
      <c r="H54" s="36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37"/>
      <c r="AB54" s="46"/>
    </row>
    <row r="55" spans="1:28" s="19" customFormat="1" ht="9.9499999999999993" customHeight="1" x14ac:dyDescent="0.3">
      <c r="A55" s="200"/>
      <c r="B55" s="200"/>
      <c r="C55" s="202"/>
      <c r="D55" s="198"/>
      <c r="E55" s="236"/>
      <c r="F55" s="236"/>
      <c r="G55" s="41"/>
      <c r="H55" s="3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37"/>
      <c r="AB55" s="46"/>
    </row>
    <row r="56" spans="1:28" s="19" customFormat="1" ht="9.9499999999999993" customHeight="1" x14ac:dyDescent="0.25">
      <c r="A56" s="199"/>
      <c r="B56" s="199"/>
      <c r="C56" s="201"/>
      <c r="D56" s="197"/>
      <c r="E56" s="234"/>
      <c r="F56" s="235"/>
      <c r="G56" s="42"/>
      <c r="H56" s="36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37"/>
      <c r="AB56" s="46"/>
    </row>
    <row r="57" spans="1:28" s="19" customFormat="1" ht="9.9499999999999993" customHeight="1" x14ac:dyDescent="0.3">
      <c r="A57" s="200"/>
      <c r="B57" s="200"/>
      <c r="C57" s="202"/>
      <c r="D57" s="198"/>
      <c r="E57" s="236"/>
      <c r="F57" s="236"/>
      <c r="G57" s="41"/>
      <c r="H57" s="3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37"/>
      <c r="AB57" s="46"/>
    </row>
    <row r="58" spans="1:28" s="19" customFormat="1" ht="9.9499999999999993" customHeight="1" x14ac:dyDescent="0.25">
      <c r="A58" s="199"/>
      <c r="B58" s="199"/>
      <c r="C58" s="32"/>
      <c r="D58" s="231"/>
      <c r="E58" s="232"/>
      <c r="F58" s="232"/>
      <c r="G58" s="232"/>
      <c r="H58" s="233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37"/>
      <c r="AB58" s="46"/>
    </row>
    <row r="59" spans="1:28" s="19" customFormat="1" ht="9.9499999999999993" customHeight="1" x14ac:dyDescent="0.25">
      <c r="A59" s="200"/>
      <c r="B59" s="200"/>
      <c r="C59" s="33"/>
      <c r="D59" s="228"/>
      <c r="E59" s="229"/>
      <c r="F59" s="229"/>
      <c r="G59" s="229"/>
      <c r="H59" s="230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37"/>
      <c r="AB59" s="46"/>
    </row>
    <row r="60" spans="1:28" s="19" customFormat="1" ht="9.9499999999999993" customHeight="1" x14ac:dyDescent="0.25">
      <c r="A60" s="199"/>
      <c r="B60" s="199"/>
      <c r="C60" s="201"/>
      <c r="D60" s="231"/>
      <c r="E60" s="232"/>
      <c r="F60" s="232"/>
      <c r="G60" s="232"/>
      <c r="H60" s="233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37"/>
      <c r="AB60" s="46"/>
    </row>
    <row r="61" spans="1:28" s="19" customFormat="1" ht="9.9499999999999993" customHeight="1" x14ac:dyDescent="0.25">
      <c r="A61" s="200"/>
      <c r="B61" s="200"/>
      <c r="C61" s="202"/>
      <c r="D61" s="228"/>
      <c r="E61" s="229"/>
      <c r="F61" s="229"/>
      <c r="G61" s="229"/>
      <c r="H61" s="230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37"/>
      <c r="AB61" s="46"/>
    </row>
    <row r="62" spans="1:28" s="19" customFormat="1" ht="9.9499999999999993" customHeight="1" x14ac:dyDescent="0.25">
      <c r="A62" s="218"/>
      <c r="B62" s="219"/>
      <c r="C62" s="240"/>
      <c r="D62" s="242"/>
      <c r="E62" s="234"/>
      <c r="F62" s="234"/>
      <c r="G62" s="234"/>
      <c r="H62" s="166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37"/>
      <c r="AB62" s="46"/>
    </row>
    <row r="63" spans="1:28" s="19" customFormat="1" ht="9.9499999999999993" customHeight="1" thickBot="1" x14ac:dyDescent="0.3">
      <c r="A63" s="238"/>
      <c r="B63" s="239"/>
      <c r="C63" s="241"/>
      <c r="D63" s="243"/>
      <c r="E63" s="244"/>
      <c r="F63" s="244"/>
      <c r="G63" s="244"/>
      <c r="H63" s="245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AA63" s="37"/>
      <c r="AB63" s="46"/>
    </row>
    <row r="64" spans="1:28" ht="12.75" customHeight="1" thickTop="1" x14ac:dyDescent="0.25">
      <c r="A64" s="258" t="s">
        <v>87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60"/>
      <c r="Q64" s="261"/>
      <c r="R64" s="262"/>
      <c r="S64" s="265"/>
      <c r="T64" s="266"/>
      <c r="U64" s="261"/>
      <c r="V64" s="262"/>
      <c r="W64" s="261"/>
      <c r="X64" s="262"/>
    </row>
    <row r="65" spans="1:24" ht="9.75" customHeight="1" x14ac:dyDescent="0.25">
      <c r="A65" s="269" t="s">
        <v>88</v>
      </c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1"/>
      <c r="Q65" s="263"/>
      <c r="R65" s="264"/>
      <c r="S65" s="267"/>
      <c r="T65" s="268"/>
      <c r="U65" s="263"/>
      <c r="V65" s="264"/>
      <c r="W65" s="263"/>
      <c r="X65" s="264"/>
    </row>
    <row r="66" spans="1:24" ht="12.75" customHeight="1" x14ac:dyDescent="0.25">
      <c r="A66" s="246" t="s">
        <v>89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49" t="s">
        <v>135</v>
      </c>
      <c r="R66" s="150"/>
      <c r="S66" s="218" t="s">
        <v>136</v>
      </c>
      <c r="T66" s="252"/>
      <c r="U66" s="249"/>
      <c r="V66" s="150"/>
      <c r="W66" s="249"/>
      <c r="X66" s="150"/>
    </row>
    <row r="67" spans="1:24" ht="9.75" customHeight="1" x14ac:dyDescent="0.25">
      <c r="A67" s="255" t="s">
        <v>90</v>
      </c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7"/>
      <c r="Q67" s="250"/>
      <c r="R67" s="251"/>
      <c r="S67" s="253"/>
      <c r="T67" s="254"/>
      <c r="U67" s="250"/>
      <c r="V67" s="251"/>
      <c r="W67" s="250"/>
      <c r="X67" s="251"/>
    </row>
    <row r="68" spans="1:24" ht="12.75" customHeight="1" x14ac:dyDescent="0.25">
      <c r="A68" s="246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8"/>
      <c r="Q68" s="249" t="s">
        <v>55</v>
      </c>
      <c r="R68" s="150"/>
      <c r="S68" s="218" t="s">
        <v>91</v>
      </c>
      <c r="T68" s="252"/>
      <c r="U68" s="249"/>
      <c r="V68" s="150"/>
      <c r="W68" s="249"/>
      <c r="X68" s="150"/>
    </row>
    <row r="69" spans="1:24" ht="9.75" customHeight="1" x14ac:dyDescent="0.25">
      <c r="A69" s="255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7"/>
      <c r="Q69" s="250"/>
      <c r="R69" s="251"/>
      <c r="S69" s="253"/>
      <c r="T69" s="254"/>
      <c r="U69" s="250"/>
      <c r="V69" s="251"/>
      <c r="W69" s="250"/>
      <c r="X69" s="251"/>
    </row>
    <row r="70" spans="1:24" ht="12.75" customHeight="1" x14ac:dyDescent="0.25">
      <c r="A70" s="246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8"/>
      <c r="Q70" s="249" t="s">
        <v>60</v>
      </c>
      <c r="R70" s="150"/>
      <c r="S70" s="218" t="s">
        <v>92</v>
      </c>
      <c r="T70" s="252"/>
      <c r="U70" s="249"/>
      <c r="V70" s="150"/>
      <c r="W70" s="249"/>
      <c r="X70" s="150"/>
    </row>
    <row r="71" spans="1:24" ht="9.75" customHeight="1" x14ac:dyDescent="0.25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4"/>
      <c r="Q71" s="250"/>
      <c r="R71" s="251"/>
      <c r="S71" s="253"/>
      <c r="T71" s="254"/>
      <c r="U71" s="250"/>
      <c r="V71" s="251"/>
      <c r="W71" s="250"/>
      <c r="X71" s="251"/>
    </row>
    <row r="72" spans="1:24" ht="12.75" customHeight="1" x14ac:dyDescent="0.25">
      <c r="A72" s="275" t="s">
        <v>102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7"/>
      <c r="Q72" s="249" t="s">
        <v>93</v>
      </c>
      <c r="R72" s="150"/>
      <c r="S72" s="279">
        <v>42983</v>
      </c>
      <c r="T72" s="280"/>
      <c r="U72" s="249"/>
      <c r="V72" s="150"/>
      <c r="W72" s="249"/>
      <c r="X72" s="150"/>
    </row>
    <row r="73" spans="1:24" ht="9.75" customHeight="1" x14ac:dyDescent="0.25">
      <c r="A73" s="272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4"/>
      <c r="Q73" s="250"/>
      <c r="R73" s="251"/>
      <c r="S73" s="281"/>
      <c r="T73" s="282"/>
      <c r="U73" s="250"/>
      <c r="V73" s="251"/>
      <c r="W73" s="250"/>
      <c r="X73" s="251"/>
    </row>
    <row r="74" spans="1:24" ht="12.75" customHeight="1" x14ac:dyDescent="0.25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7"/>
      <c r="Q74" s="249" t="s">
        <v>17</v>
      </c>
      <c r="R74" s="150"/>
      <c r="S74" s="278">
        <v>42285</v>
      </c>
      <c r="T74" s="150"/>
      <c r="U74" s="249"/>
      <c r="V74" s="150"/>
      <c r="W74" s="249"/>
      <c r="X74" s="150"/>
    </row>
    <row r="75" spans="1:24" ht="9.75" customHeight="1" x14ac:dyDescent="0.25">
      <c r="A75" s="272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4"/>
      <c r="Q75" s="250"/>
      <c r="R75" s="251"/>
      <c r="S75" s="250"/>
      <c r="T75" s="251"/>
      <c r="U75" s="250"/>
      <c r="V75" s="251"/>
      <c r="W75" s="250"/>
      <c r="X75" s="251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286" t="s">
        <v>94</v>
      </c>
      <c r="K76" s="287"/>
      <c r="L76" s="288" t="s">
        <v>103</v>
      </c>
      <c r="M76" s="288"/>
      <c r="N76" s="288"/>
      <c r="O76" s="288"/>
      <c r="P76" s="289"/>
      <c r="Q76" s="292" t="s">
        <v>18</v>
      </c>
      <c r="R76" s="292"/>
      <c r="S76" s="292" t="s">
        <v>19</v>
      </c>
      <c r="T76" s="292"/>
      <c r="U76" s="292" t="s">
        <v>20</v>
      </c>
      <c r="V76" s="292"/>
      <c r="W76" s="292" t="s">
        <v>22</v>
      </c>
      <c r="X76" s="292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293" t="s">
        <v>95</v>
      </c>
      <c r="K77" s="294"/>
      <c r="L77" s="290"/>
      <c r="M77" s="290"/>
      <c r="N77" s="290"/>
      <c r="O77" s="290"/>
      <c r="P77" s="291"/>
      <c r="Q77" s="283" t="s">
        <v>5</v>
      </c>
      <c r="R77" s="283"/>
      <c r="S77" s="283" t="s">
        <v>10</v>
      </c>
      <c r="T77" s="283"/>
      <c r="U77" s="283" t="s">
        <v>21</v>
      </c>
      <c r="V77" s="283"/>
      <c r="W77" s="283" t="s">
        <v>23</v>
      </c>
      <c r="X77" s="283"/>
    </row>
    <row r="78" spans="1:24" ht="13.5" customHeight="1" x14ac:dyDescent="0.25">
      <c r="A78" s="284" t="s">
        <v>24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S52:T53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U56:V57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2:B53"/>
    <mergeCell ref="C52:C53"/>
    <mergeCell ref="D52:H52"/>
    <mergeCell ref="I52:J53"/>
    <mergeCell ref="K52:L53"/>
    <mergeCell ref="M52:N53"/>
    <mergeCell ref="O52:P53"/>
    <mergeCell ref="Q52:R53"/>
    <mergeCell ref="W62:X63"/>
    <mergeCell ref="D63:H63"/>
    <mergeCell ref="S60:T61"/>
    <mergeCell ref="U60:V61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W60:X61"/>
    <mergeCell ref="D61:H61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U62:V6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2:B63"/>
    <mergeCell ref="C62:C63"/>
    <mergeCell ref="D62:H62"/>
    <mergeCell ref="I62:J63"/>
    <mergeCell ref="K62:L63"/>
    <mergeCell ref="M62:N63"/>
    <mergeCell ref="O62:P63"/>
    <mergeCell ref="Q62:R63"/>
    <mergeCell ref="S62:T63"/>
    <mergeCell ref="A66:P66"/>
    <mergeCell ref="Q66:R6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26:X27">
    <cfRule type="cellIs" dxfId="11" priority="7" operator="greaterThan">
      <formula>$AA$26</formula>
    </cfRule>
    <cfRule type="cellIs" dxfId="10" priority="8" operator="lessThan">
      <formula>$AA$27</formula>
    </cfRule>
  </conditionalFormatting>
  <conditionalFormatting sqref="I28:X28">
    <cfRule type="cellIs" dxfId="9" priority="5" operator="equal">
      <formula>$AA$24</formula>
    </cfRule>
    <cfRule type="cellIs" dxfId="8" priority="6" operator="notEqual">
      <formula>$AB$24</formula>
    </cfRule>
  </conditionalFormatting>
  <conditionalFormatting sqref="I29:X29">
    <cfRule type="cellIs" dxfId="7" priority="3" operator="equal">
      <formula>$AA$25</formula>
    </cfRule>
    <cfRule type="cellIs" dxfId="6" priority="4" operator="notEqual">
      <formula>$AB$25</formula>
    </cfRule>
  </conditionalFormatting>
  <conditionalFormatting sqref="I30:X31">
    <cfRule type="cellIs" dxfId="5" priority="9" operator="greaterThan">
      <formula>$AA$30</formula>
    </cfRule>
    <cfRule type="cellIs" dxfId="4" priority="10" operator="lessThan">
      <formula>$AA$31</formula>
    </cfRule>
  </conditionalFormatting>
  <conditionalFormatting sqref="I32:X33">
    <cfRule type="cellIs" dxfId="3" priority="11" operator="greaterThan">
      <formula>$AA$32</formula>
    </cfRule>
    <cfRule type="cellIs" dxfId="2" priority="12" operator="lessThan">
      <formula>$AA$33</formula>
    </cfRule>
  </conditionalFormatting>
  <conditionalFormatting sqref="I34:X35">
    <cfRule type="cellIs" dxfId="1" priority="1" operator="greaterThan">
      <formula>$AA$34</formula>
    </cfRule>
    <cfRule type="cellIs" dxfId="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16</vt:i4>
      </vt:variant>
    </vt:vector>
  </HeadingPairs>
  <TitlesOfParts>
    <vt:vector size="32" baseType="lpstr">
      <vt:lpstr>250328D</vt:lpstr>
      <vt:lpstr>250328D-1</vt:lpstr>
      <vt:lpstr>250330E</vt:lpstr>
      <vt:lpstr>250330E-1</vt:lpstr>
      <vt:lpstr>250331D</vt:lpstr>
      <vt:lpstr>250331D-1</vt:lpstr>
      <vt:lpstr>250331E</vt:lpstr>
      <vt:lpstr>250331E-1</vt:lpstr>
      <vt:lpstr>250401D</vt:lpstr>
      <vt:lpstr>250401D-1</vt:lpstr>
      <vt:lpstr>250401E</vt:lpstr>
      <vt:lpstr>250401E-1</vt:lpstr>
      <vt:lpstr>250402D</vt:lpstr>
      <vt:lpstr>250402D-1</vt:lpstr>
      <vt:lpstr>250406E</vt:lpstr>
      <vt:lpstr>250406E-1</vt:lpstr>
      <vt:lpstr>'250328D'!Print_Area</vt:lpstr>
      <vt:lpstr>'250328D-1'!Print_Area</vt:lpstr>
      <vt:lpstr>'250330E'!Print_Area</vt:lpstr>
      <vt:lpstr>'250330E-1'!Print_Area</vt:lpstr>
      <vt:lpstr>'250331D'!Print_Area</vt:lpstr>
      <vt:lpstr>'250331D-1'!Print_Area</vt:lpstr>
      <vt:lpstr>'250331E'!Print_Area</vt:lpstr>
      <vt:lpstr>'250331E-1'!Print_Area</vt:lpstr>
      <vt:lpstr>'250401D'!Print_Area</vt:lpstr>
      <vt:lpstr>'250401D-1'!Print_Area</vt:lpstr>
      <vt:lpstr>'250401E'!Print_Area</vt:lpstr>
      <vt:lpstr>'250401E-1'!Print_Area</vt:lpstr>
      <vt:lpstr>'250402D'!Print_Area</vt:lpstr>
      <vt:lpstr>'250402D-1'!Print_Area</vt:lpstr>
      <vt:lpstr>'250406E'!Print_Area</vt:lpstr>
      <vt:lpstr>'250406E-1'!Print_Area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Chang Wesley</cp:lastModifiedBy>
  <cp:lastPrinted>2017-09-06T03:50:10Z</cp:lastPrinted>
  <dcterms:created xsi:type="dcterms:W3CDTF">2014-12-29T06:32:15Z</dcterms:created>
  <dcterms:modified xsi:type="dcterms:W3CDTF">2026-01-04T08:23:26Z</dcterms:modified>
</cp:coreProperties>
</file>