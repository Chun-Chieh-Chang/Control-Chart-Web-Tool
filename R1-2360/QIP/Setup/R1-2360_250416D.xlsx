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55" yWindow="1110" windowWidth="19425" windowHeight="7635"/>
  </bookViews>
  <sheets>
    <sheet name="SETUP" sheetId="6" r:id="rId1"/>
    <sheet name="SETUP (2)" sheetId="7" r:id="rId2"/>
  </sheets>
  <definedNames>
    <definedName name="_xlnm.Print_Area" localSheetId="0">SETUP!$A$1:$X$78</definedName>
    <definedName name="_xlnm.Print_Area" localSheetId="1">'SETUP (2)'!$A$1:$X$78</definedName>
  </definedNames>
  <calcPr calcId="124519"/>
</workbook>
</file>

<file path=xl/calcChain.xml><?xml version="1.0" encoding="utf-8"?>
<calcChain xmlns="http://schemas.openxmlformats.org/spreadsheetml/2006/main">
  <c r="AA40" i="7"/>
  <c r="AA39"/>
  <c r="AA38"/>
  <c r="AA37"/>
  <c r="AA36"/>
  <c r="AA35"/>
  <c r="AA34"/>
  <c r="AA33"/>
  <c r="AA32"/>
  <c r="AA31"/>
  <c r="AA30"/>
  <c r="AA29"/>
  <c r="AA28"/>
  <c r="AA27"/>
  <c r="AA26"/>
  <c r="AA40" i="6"/>
  <c r="AA39"/>
  <c r="AA38"/>
  <c r="AA37"/>
  <c r="AA36"/>
  <c r="AA35"/>
  <c r="AA34"/>
  <c r="AA33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<sst xmlns="http://schemas.openxmlformats.org/spreadsheetml/2006/main" count="440" uniqueCount="111">
  <si>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</si>
  <si>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</si>
  <si>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</si>
  <si>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</si>
  <si>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</si>
  <si>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</si>
  <si>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</si>
  <si>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</si>
  <si>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</si>
  <si>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</si>
  <si>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</si>
  <si>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</si>
  <si>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</si>
  <si>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</si>
  <si>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</si>
  <si>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</si>
  <si>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</si>
  <si>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</si>
  <si>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</si>
  <si>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</si>
  <si>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</si>
  <si>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</si>
  <si>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</si>
  <si>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</si>
  <si>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</si>
  <si>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</si>
  <si>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</si>
  <si>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</si>
  <si>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■</t>
    <phoneticPr fontId="10" type="noConversion"/>
  </si>
  <si>
    <t>SET UP INSP.</t>
    <phoneticPr fontId="10" type="noConversion"/>
  </si>
  <si>
    <t>Ø</t>
    <phoneticPr fontId="10" type="noConversion"/>
  </si>
  <si>
    <t>(B)</t>
    <phoneticPr fontId="10" type="noConversion"/>
  </si>
  <si>
    <t>(D)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</si>
  <si>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</si>
  <si>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</si>
  <si>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</si>
  <si>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</si>
  <si>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</si>
  <si>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</si>
  <si>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</si>
  <si>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</si>
  <si>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</si>
  <si>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P16</t>
    <phoneticPr fontId="10" type="noConversion"/>
  </si>
  <si>
    <t>湯子誼</t>
    <phoneticPr fontId="10" type="noConversion"/>
  </si>
  <si>
    <t>OK</t>
    <phoneticPr fontId="10" type="noConversion"/>
  </si>
  <si>
    <t>GO</t>
    <phoneticPr fontId="10" type="noConversion"/>
  </si>
  <si>
    <t>NO GO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</si>
  <si>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</si>
  <si>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</si>
  <si>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</si>
  <si>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</si>
  <si>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</si>
  <si>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</si>
  <si>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</si>
  <si>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</si>
  <si>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</si>
  <si>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</si>
  <si>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</si>
  <si>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</si>
  <si>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</si>
  <si>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</si>
  <si>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</si>
  <si>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</si>
  <si>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</si>
  <si>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</si>
  <si>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</si>
  <si>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</si>
  <si>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</si>
  <si>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A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</si>
  <si>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</si>
  <si>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</si>
  <si>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</si>
  <si>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</si>
  <si>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C</t>
    <phoneticPr fontId="10" type="noConversion"/>
  </si>
  <si>
    <t>(E)</t>
    <phoneticPr fontId="10" type="noConversion"/>
  </si>
  <si>
    <t>(F)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</si>
  <si>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</si>
  <si>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</si>
  <si>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</si>
  <si>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(G)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</si>
  <si>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</si>
  <si>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</si>
  <si>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</si>
  <si>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</si>
  <si>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(H)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</si>
  <si>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</si>
  <si>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</si>
  <si>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</si>
  <si>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I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</si>
  <si>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</si>
  <si>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</si>
  <si>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J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</si>
  <si>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</si>
  <si>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</si>
  <si>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K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</si>
  <si>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</si>
  <si>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</si>
  <si>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L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</si>
  <si>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</si>
  <si>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</si>
  <si>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(M)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</si>
  <si>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</si>
  <si>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</si>
  <si>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</si>
  <si>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E</t>
    <phoneticPr fontId="10" type="noConversion"/>
  </si>
  <si>
    <t>2025-03-28</t>
    <phoneticPr fontId="10" type="noConversion"/>
  </si>
  <si>
    <t>(A) (C): M12002， (B):M08006， (D)(E): M15012</t>
    <phoneticPr fontId="10" type="noConversion"/>
  </si>
  <si>
    <t>NO GO</t>
    <phoneticPr fontId="10" type="noConversion"/>
  </si>
  <si>
    <t>GO</t>
    <phoneticPr fontId="10" type="noConversion"/>
  </si>
  <si>
    <t>250416D</t>
    <phoneticPr fontId="10" type="noConversion"/>
  </si>
  <si>
    <t>250416D</t>
    <phoneticPr fontId="10" type="noConversion"/>
  </si>
</sst>
</file>

<file path=xl/styles.xml><?xml version="1.0" encoding="utf-8"?>
<styleSheet xmlns="http://schemas.openxmlformats.org/spreadsheetml/2006/main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19" fillId="0" borderId="5" xfId="0" applyFont="1" applyBorder="1" applyAlignment="1" applyProtection="1">
      <alignment vertical="center"/>
    </xf>
    <xf numFmtId="0" fontId="19" fillId="0" borderId="6" xfId="0" applyFont="1" applyBorder="1" applyAlignment="1" applyProtection="1">
      <alignment vertical="center"/>
    </xf>
    <xf numFmtId="0" fontId="4" fillId="0" borderId="10" xfId="0" applyFont="1" applyBorder="1" applyAlignment="1" applyProtection="1">
      <alignment vertical="top"/>
    </xf>
    <xf numFmtId="0" fontId="4" fillId="0" borderId="11" xfId="0" applyFont="1" applyBorder="1" applyAlignment="1" applyProtection="1">
      <alignment vertical="top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2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</row>
    <row r="2" spans="1:26" ht="13.5" customHeight="1">
      <c r="A2" s="222" t="s">
        <v>47</v>
      </c>
      <c r="B2" s="223"/>
      <c r="C2" s="145" t="s">
        <v>48</v>
      </c>
      <c r="D2" s="60" t="s">
        <v>2</v>
      </c>
      <c r="E2" s="34"/>
      <c r="F2" s="211" t="s">
        <v>58</v>
      </c>
      <c r="G2" s="211"/>
      <c r="H2" s="211"/>
      <c r="I2" s="211"/>
      <c r="J2" s="211"/>
      <c r="K2" s="224"/>
      <c r="L2" s="60" t="s">
        <v>4</v>
      </c>
      <c r="M2" s="211">
        <v>10</v>
      </c>
      <c r="N2" s="212"/>
      <c r="O2" s="60" t="s">
        <v>6</v>
      </c>
      <c r="P2" s="227" t="s">
        <v>49</v>
      </c>
      <c r="Q2" s="228"/>
      <c r="R2" s="228"/>
      <c r="S2" s="228"/>
      <c r="T2" s="228"/>
      <c r="U2" s="228"/>
      <c r="V2" s="229"/>
      <c r="W2" s="60" t="s">
        <v>25</v>
      </c>
      <c r="X2" s="25">
        <v>1</v>
      </c>
      <c r="Z2" s="27" t="s">
        <v>50</v>
      </c>
    </row>
    <row r="3" spans="1:26" ht="9.9499999999999993" customHeight="1">
      <c r="A3" s="232" t="s">
        <v>1</v>
      </c>
      <c r="B3" s="233"/>
      <c r="C3" s="184"/>
      <c r="D3" s="62" t="s">
        <v>3</v>
      </c>
      <c r="E3" s="35"/>
      <c r="F3" s="225"/>
      <c r="G3" s="225"/>
      <c r="H3" s="225"/>
      <c r="I3" s="225"/>
      <c r="J3" s="225"/>
      <c r="K3" s="226"/>
      <c r="L3" s="62" t="s">
        <v>5</v>
      </c>
      <c r="M3" s="213"/>
      <c r="N3" s="214"/>
      <c r="O3" s="62" t="s">
        <v>7</v>
      </c>
      <c r="P3" s="230"/>
      <c r="Q3" s="230"/>
      <c r="R3" s="230"/>
      <c r="S3" s="230"/>
      <c r="T3" s="230"/>
      <c r="U3" s="230"/>
      <c r="V3" s="231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206" t="s">
        <v>109</v>
      </c>
      <c r="R4" s="207"/>
      <c r="S4" s="207"/>
      <c r="T4" s="208"/>
      <c r="U4" s="60" t="s">
        <v>11</v>
      </c>
      <c r="V4" s="6"/>
      <c r="W4" s="211" t="s">
        <v>42</v>
      </c>
      <c r="X4" s="212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209"/>
      <c r="R5" s="209"/>
      <c r="S5" s="209"/>
      <c r="T5" s="210"/>
      <c r="U5" s="62" t="s">
        <v>12</v>
      </c>
      <c r="V5" s="10"/>
      <c r="W5" s="213"/>
      <c r="X5" s="214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5" t="s">
        <v>57</v>
      </c>
      <c r="T6" s="215"/>
      <c r="U6" s="215"/>
      <c r="V6" s="215"/>
      <c r="W6" s="215"/>
      <c r="X6" s="95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6" t="s">
        <v>13</v>
      </c>
      <c r="T7" s="216"/>
      <c r="U7" s="216"/>
      <c r="V7" s="216"/>
      <c r="W7" s="216"/>
      <c r="X7" s="217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8" t="s">
        <v>58</v>
      </c>
      <c r="T8" s="219"/>
      <c r="U8" s="219"/>
      <c r="V8" s="189"/>
      <c r="W8" s="189"/>
      <c r="X8" s="190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80"/>
      <c r="T9" s="204"/>
      <c r="U9" s="204"/>
      <c r="V9" s="205"/>
      <c r="W9" s="205"/>
      <c r="X9" s="167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80"/>
      <c r="T10" s="204"/>
      <c r="U10" s="204"/>
      <c r="V10" s="205"/>
      <c r="W10" s="205"/>
      <c r="X10" s="167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80"/>
      <c r="T11" s="204"/>
      <c r="U11" s="204"/>
      <c r="V11" s="205"/>
      <c r="W11" s="205"/>
      <c r="X11" s="167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80"/>
      <c r="T12" s="204"/>
      <c r="U12" s="204"/>
      <c r="V12" s="205"/>
      <c r="W12" s="205"/>
      <c r="X12" s="167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80"/>
      <c r="T13" s="204"/>
      <c r="U13" s="204"/>
      <c r="V13" s="205"/>
      <c r="W13" s="205"/>
      <c r="X13" s="167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80"/>
      <c r="T14" s="181"/>
      <c r="U14" s="181"/>
      <c r="V14" s="201"/>
      <c r="W14" s="202"/>
      <c r="X14" s="203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80"/>
      <c r="T15" s="181"/>
      <c r="U15" s="181"/>
      <c r="V15" s="201"/>
      <c r="W15" s="202"/>
      <c r="X15" s="203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80"/>
      <c r="T16" s="181"/>
      <c r="U16" s="181"/>
      <c r="V16" s="201"/>
      <c r="W16" s="202"/>
      <c r="X16" s="203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80"/>
      <c r="T17" s="181"/>
      <c r="U17" s="181"/>
      <c r="V17" s="201"/>
      <c r="W17" s="202"/>
      <c r="X17" s="203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80"/>
      <c r="T18" s="181"/>
      <c r="U18" s="181"/>
      <c r="V18" s="201"/>
      <c r="W18" s="202"/>
      <c r="X18" s="203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80"/>
      <c r="T19" s="181"/>
      <c r="U19" s="181"/>
      <c r="V19" s="201"/>
      <c r="W19" s="202"/>
      <c r="X19" s="203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80"/>
      <c r="T20" s="181"/>
      <c r="U20" s="181"/>
      <c r="V20" s="201"/>
      <c r="W20" s="202"/>
      <c r="X20" s="203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80"/>
      <c r="T21" s="181"/>
      <c r="U21" s="181"/>
      <c r="V21" s="182"/>
      <c r="W21" s="183"/>
      <c r="X21" s="184"/>
    </row>
    <row r="22" spans="1:28" ht="12.75" customHeight="1">
      <c r="A22" s="175" t="s">
        <v>59</v>
      </c>
      <c r="B22" s="185"/>
      <c r="C22" s="186"/>
      <c r="D22" s="187" t="s">
        <v>27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94" t="s">
        <v>60</v>
      </c>
      <c r="X22" s="195"/>
      <c r="Z22" s="42" t="s">
        <v>61</v>
      </c>
    </row>
    <row r="23" spans="1:28" ht="11.25" customHeight="1">
      <c r="A23" s="196" t="s">
        <v>14</v>
      </c>
      <c r="B23" s="197"/>
      <c r="C23" s="198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99" t="s">
        <v>62</v>
      </c>
      <c r="X23" s="200"/>
      <c r="Z23" s="41" t="s">
        <v>63</v>
      </c>
    </row>
    <row r="24" spans="1:28" ht="14.25" customHeight="1">
      <c r="A24" s="175" t="s">
        <v>64</v>
      </c>
      <c r="B24" s="176"/>
      <c r="C24" s="26" t="s">
        <v>16</v>
      </c>
      <c r="D24" s="177" t="s">
        <v>26</v>
      </c>
      <c r="E24" s="178"/>
      <c r="F24" s="178"/>
      <c r="G24" s="178"/>
      <c r="H24" s="179"/>
      <c r="I24" s="168">
        <v>1</v>
      </c>
      <c r="J24" s="168"/>
      <c r="K24" s="168">
        <v>2</v>
      </c>
      <c r="L24" s="168"/>
      <c r="M24" s="168">
        <v>3</v>
      </c>
      <c r="N24" s="168"/>
      <c r="O24" s="168">
        <v>4</v>
      </c>
      <c r="P24" s="168"/>
      <c r="Q24" s="168">
        <v>5</v>
      </c>
      <c r="R24" s="168"/>
      <c r="S24" s="168">
        <v>6</v>
      </c>
      <c r="T24" s="168"/>
      <c r="U24" s="168">
        <v>7</v>
      </c>
      <c r="V24" s="168"/>
      <c r="W24" s="168">
        <v>8</v>
      </c>
      <c r="X24" s="168"/>
      <c r="Z24" s="40"/>
      <c r="AA24" s="37" t="s">
        <v>45</v>
      </c>
    </row>
    <row r="25" spans="1:28">
      <c r="A25" s="170" t="s">
        <v>15</v>
      </c>
      <c r="B25" s="171"/>
      <c r="C25" s="74" t="s">
        <v>65</v>
      </c>
      <c r="D25" s="172" t="s">
        <v>66</v>
      </c>
      <c r="E25" s="173"/>
      <c r="F25" s="173"/>
      <c r="G25" s="173"/>
      <c r="H25" s="174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Z25" s="153" t="s">
        <v>30</v>
      </c>
      <c r="AA25" s="37" t="s">
        <v>46</v>
      </c>
    </row>
    <row r="26" spans="1:28" s="18" customFormat="1" ht="9.9499999999999993" customHeight="1">
      <c r="A26" s="146" t="s">
        <v>67</v>
      </c>
      <c r="B26" s="146"/>
      <c r="C26" s="148" t="s">
        <v>68</v>
      </c>
      <c r="D26" s="153" t="s">
        <v>30</v>
      </c>
      <c r="E26" s="161">
        <v>8.2000000000000003E-2</v>
      </c>
      <c r="F26" s="162"/>
      <c r="G26" s="42" t="s">
        <v>61</v>
      </c>
      <c r="H26" s="48">
        <v>2E-3</v>
      </c>
      <c r="I26" s="160">
        <v>8.2500000000000004E-2</v>
      </c>
      <c r="J26" s="160"/>
      <c r="K26" s="160">
        <v>8.2699999999999996E-2</v>
      </c>
      <c r="L26" s="160"/>
      <c r="M26" s="160">
        <v>8.2500000000000004E-2</v>
      </c>
      <c r="N26" s="160"/>
      <c r="O26" s="160">
        <v>8.2699999999999996E-2</v>
      </c>
      <c r="P26" s="160"/>
      <c r="Q26" s="160">
        <v>8.3099999999999993E-2</v>
      </c>
      <c r="R26" s="160"/>
      <c r="S26" s="160">
        <v>8.2500000000000004E-2</v>
      </c>
      <c r="T26" s="160"/>
      <c r="U26" s="160">
        <v>8.2299999999999998E-2</v>
      </c>
      <c r="V26" s="160"/>
      <c r="W26" s="160">
        <v>8.2600000000000007E-2</v>
      </c>
      <c r="X26" s="160"/>
      <c r="Z26" s="15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7"/>
      <c r="B27" s="147"/>
      <c r="C27" s="149"/>
      <c r="D27" s="154"/>
      <c r="E27" s="163"/>
      <c r="F27" s="163"/>
      <c r="G27" s="41" t="s">
        <v>63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9" t="s">
        <v>31</v>
      </c>
      <c r="B28" s="138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5" t="s">
        <v>45</v>
      </c>
      <c r="J28" s="165"/>
      <c r="K28" s="165" t="s">
        <v>45</v>
      </c>
      <c r="L28" s="165"/>
      <c r="M28" s="165" t="s">
        <v>45</v>
      </c>
      <c r="N28" s="165"/>
      <c r="O28" s="165" t="s">
        <v>45</v>
      </c>
      <c r="P28" s="165"/>
      <c r="Q28" s="165" t="s">
        <v>45</v>
      </c>
      <c r="R28" s="165"/>
      <c r="S28" s="165" t="s">
        <v>45</v>
      </c>
      <c r="T28" s="165"/>
      <c r="U28" s="165" t="s">
        <v>45</v>
      </c>
      <c r="V28" s="165"/>
      <c r="W28" s="165" t="s">
        <v>45</v>
      </c>
      <c r="X28" s="165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6"/>
      <c r="B29" s="167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5" t="s">
        <v>107</v>
      </c>
      <c r="J29" s="165"/>
      <c r="K29" s="165" t="s">
        <v>107</v>
      </c>
      <c r="L29" s="165"/>
      <c r="M29" s="165" t="s">
        <v>107</v>
      </c>
      <c r="N29" s="165"/>
      <c r="O29" s="165" t="s">
        <v>107</v>
      </c>
      <c r="P29" s="165"/>
      <c r="Q29" s="165" t="s">
        <v>107</v>
      </c>
      <c r="R29" s="165"/>
      <c r="S29" s="165" t="s">
        <v>107</v>
      </c>
      <c r="T29" s="165"/>
      <c r="U29" s="165" t="s">
        <v>107</v>
      </c>
      <c r="V29" s="165"/>
      <c r="W29" s="165" t="s">
        <v>107</v>
      </c>
      <c r="X29" s="16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6" t="s">
        <v>72</v>
      </c>
      <c r="B30" s="146"/>
      <c r="C30" s="148" t="s">
        <v>68</v>
      </c>
      <c r="D30" s="153" t="s">
        <v>30</v>
      </c>
      <c r="E30" s="161">
        <v>8.2000000000000003E-2</v>
      </c>
      <c r="F30" s="162"/>
      <c r="G30" s="42" t="s">
        <v>61</v>
      </c>
      <c r="H30" s="48">
        <v>2E-3</v>
      </c>
      <c r="I30" s="164">
        <v>8.2400000000000001E-2</v>
      </c>
      <c r="J30" s="164"/>
      <c r="K30" s="164">
        <v>8.2299999999999998E-2</v>
      </c>
      <c r="L30" s="164"/>
      <c r="M30" s="164">
        <v>8.2500000000000004E-2</v>
      </c>
      <c r="N30" s="164"/>
      <c r="O30" s="164">
        <v>8.2600000000000007E-2</v>
      </c>
      <c r="P30" s="164"/>
      <c r="Q30" s="164">
        <v>8.2600000000000007E-2</v>
      </c>
      <c r="R30" s="164"/>
      <c r="S30" s="164">
        <v>8.2500000000000004E-2</v>
      </c>
      <c r="T30" s="164"/>
      <c r="U30" s="164">
        <v>8.2600000000000007E-2</v>
      </c>
      <c r="V30" s="164"/>
      <c r="W30" s="164">
        <v>8.2400000000000001E-2</v>
      </c>
      <c r="X30" s="164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7"/>
      <c r="B31" s="147"/>
      <c r="C31" s="149"/>
      <c r="D31" s="154"/>
      <c r="E31" s="163"/>
      <c r="F31" s="163"/>
      <c r="G31" s="41" t="s">
        <v>63</v>
      </c>
      <c r="H31" s="49">
        <v>2E-3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54">
        <f>E30-H31</f>
        <v>0.08</v>
      </c>
      <c r="AB31" s="46">
        <v>31</v>
      </c>
    </row>
    <row r="32" spans="1:28" s="18" customFormat="1" ht="9.9499999999999993" customHeight="1">
      <c r="A32" s="146" t="s">
        <v>32</v>
      </c>
      <c r="B32" s="146"/>
      <c r="C32" s="148" t="s">
        <v>73</v>
      </c>
      <c r="D32" s="153" t="s">
        <v>30</v>
      </c>
      <c r="E32" s="161">
        <v>0.43</v>
      </c>
      <c r="F32" s="162"/>
      <c r="G32" s="42" t="s">
        <v>61</v>
      </c>
      <c r="H32" s="48">
        <v>5.0000000000000001E-3</v>
      </c>
      <c r="I32" s="164">
        <v>0.433</v>
      </c>
      <c r="J32" s="164"/>
      <c r="K32" s="164">
        <v>0.433</v>
      </c>
      <c r="L32" s="164"/>
      <c r="M32" s="164">
        <v>0.4335</v>
      </c>
      <c r="N32" s="164"/>
      <c r="O32" s="164">
        <v>0.433</v>
      </c>
      <c r="P32" s="164"/>
      <c r="Q32" s="164">
        <v>0.4335</v>
      </c>
      <c r="R32" s="164"/>
      <c r="S32" s="164">
        <v>0.433</v>
      </c>
      <c r="T32" s="164"/>
      <c r="U32" s="164">
        <v>0.4335</v>
      </c>
      <c r="V32" s="164"/>
      <c r="W32" s="164">
        <v>0.4335</v>
      </c>
      <c r="X32" s="164"/>
      <c r="AA32" s="54">
        <f>E32+H32</f>
        <v>0.435</v>
      </c>
      <c r="AB32" s="46">
        <v>32</v>
      </c>
    </row>
    <row r="33" spans="1:28" s="18" customFormat="1" ht="9.9499999999999993" customHeight="1">
      <c r="A33" s="147"/>
      <c r="B33" s="147"/>
      <c r="C33" s="149"/>
      <c r="D33" s="154"/>
      <c r="E33" s="163"/>
      <c r="F33" s="163"/>
      <c r="G33" s="41" t="s">
        <v>63</v>
      </c>
      <c r="H33" s="49">
        <v>5.0000000000000001E-3</v>
      </c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6" t="s">
        <v>74</v>
      </c>
      <c r="B34" s="146"/>
      <c r="C34" s="148" t="s">
        <v>73</v>
      </c>
      <c r="D34" s="153" t="s">
        <v>30</v>
      </c>
      <c r="E34" s="161">
        <v>0.39500000000000002</v>
      </c>
      <c r="F34" s="162"/>
      <c r="G34" s="42" t="s">
        <v>61</v>
      </c>
      <c r="H34" s="48">
        <v>5.0000000000000001E-3</v>
      </c>
      <c r="I34" s="160">
        <v>0.39500000000000002</v>
      </c>
      <c r="J34" s="160"/>
      <c r="K34" s="160">
        <v>0.39450000000000002</v>
      </c>
      <c r="L34" s="160"/>
      <c r="M34" s="160">
        <v>0.39450000000000002</v>
      </c>
      <c r="N34" s="160"/>
      <c r="O34" s="160">
        <v>0.39500000000000002</v>
      </c>
      <c r="P34" s="160"/>
      <c r="Q34" s="160">
        <v>0.39500000000000002</v>
      </c>
      <c r="R34" s="160"/>
      <c r="S34" s="160">
        <v>0.39500000000000002</v>
      </c>
      <c r="T34" s="160"/>
      <c r="U34" s="160">
        <v>0.39450000000000002</v>
      </c>
      <c r="V34" s="160"/>
      <c r="W34" s="160">
        <v>0.39500000000000002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7"/>
      <c r="B35" s="147"/>
      <c r="C35" s="149"/>
      <c r="D35" s="154"/>
      <c r="E35" s="163"/>
      <c r="F35" s="163"/>
      <c r="G35" s="41" t="s">
        <v>63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6" t="s">
        <v>75</v>
      </c>
      <c r="B36" s="146"/>
      <c r="C36" s="158" t="s">
        <v>76</v>
      </c>
      <c r="D36" s="65" t="s">
        <v>77</v>
      </c>
      <c r="E36" s="43"/>
      <c r="F36" s="43"/>
      <c r="G36" s="43"/>
      <c r="H36" s="29"/>
      <c r="I36" s="130" t="s">
        <v>108</v>
      </c>
      <c r="J36" s="130"/>
      <c r="K36" s="130" t="s">
        <v>108</v>
      </c>
      <c r="L36" s="130"/>
      <c r="M36" s="130" t="s">
        <v>108</v>
      </c>
      <c r="N36" s="130"/>
      <c r="O36" s="130" t="s">
        <v>108</v>
      </c>
      <c r="P36" s="130"/>
      <c r="Q36" s="130" t="s">
        <v>108</v>
      </c>
      <c r="R36" s="130"/>
      <c r="S36" s="130" t="s">
        <v>108</v>
      </c>
      <c r="T36" s="130"/>
      <c r="U36" s="130" t="s">
        <v>108</v>
      </c>
      <c r="V36" s="130"/>
      <c r="W36" s="130" t="s">
        <v>108</v>
      </c>
      <c r="X36" s="130"/>
      <c r="AA36" s="54">
        <f t="shared" si="1"/>
        <v>0</v>
      </c>
      <c r="AB36" s="46">
        <v>36</v>
      </c>
    </row>
    <row r="37" spans="1:28" s="19" customFormat="1" ht="9.9499999999999993" customHeight="1">
      <c r="A37" s="147"/>
      <c r="B37" s="147"/>
      <c r="C37" s="159"/>
      <c r="D37" s="68" t="s">
        <v>78</v>
      </c>
      <c r="E37" s="69"/>
      <c r="F37" s="69"/>
      <c r="G37" s="69"/>
      <c r="H37" s="7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AA37" s="54">
        <f t="shared" si="1"/>
        <v>0</v>
      </c>
      <c r="AB37" s="46">
        <v>37</v>
      </c>
    </row>
    <row r="38" spans="1:28" s="19" customFormat="1" ht="9.9499999999999993" customHeight="1">
      <c r="A38" s="146" t="s">
        <v>79</v>
      </c>
      <c r="B38" s="146"/>
      <c r="C38" s="24" t="s">
        <v>80</v>
      </c>
      <c r="D38" s="47" t="s">
        <v>81</v>
      </c>
      <c r="E38" s="66"/>
      <c r="F38" s="66"/>
      <c r="G38" s="66"/>
      <c r="H38" s="67"/>
      <c r="I38" s="130" t="s">
        <v>45</v>
      </c>
      <c r="J38" s="130"/>
      <c r="K38" s="130" t="s">
        <v>45</v>
      </c>
      <c r="L38" s="130"/>
      <c r="M38" s="130" t="s">
        <v>45</v>
      </c>
      <c r="N38" s="130"/>
      <c r="O38" s="130" t="s">
        <v>45</v>
      </c>
      <c r="P38" s="130"/>
      <c r="Q38" s="130" t="s">
        <v>45</v>
      </c>
      <c r="R38" s="130"/>
      <c r="S38" s="130" t="s">
        <v>45</v>
      </c>
      <c r="T38" s="130"/>
      <c r="U38" s="130" t="s">
        <v>45</v>
      </c>
      <c r="V38" s="130"/>
      <c r="W38" s="130" t="s">
        <v>45</v>
      </c>
      <c r="X38" s="130"/>
      <c r="AA38" s="54">
        <f t="shared" si="1"/>
        <v>0</v>
      </c>
      <c r="AB38" s="46">
        <v>38</v>
      </c>
    </row>
    <row r="39" spans="1:28" s="19" customFormat="1" ht="9.9499999999999993" customHeight="1">
      <c r="A39" s="147"/>
      <c r="B39" s="147"/>
      <c r="C39" s="23" t="s">
        <v>82</v>
      </c>
      <c r="D39" s="68" t="s">
        <v>83</v>
      </c>
      <c r="E39" s="69"/>
      <c r="F39" s="69"/>
      <c r="G39" s="69"/>
      <c r="H39" s="7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AA39" s="54">
        <f t="shared" si="1"/>
        <v>0</v>
      </c>
      <c r="AB39" s="46">
        <v>39</v>
      </c>
    </row>
    <row r="40" spans="1:28" s="19" customFormat="1" ht="9.9499999999999993" customHeight="1">
      <c r="A40" s="146" t="s">
        <v>84</v>
      </c>
      <c r="B40" s="146"/>
      <c r="C40" s="24" t="s">
        <v>85</v>
      </c>
      <c r="D40" s="65" t="s">
        <v>86</v>
      </c>
      <c r="E40" s="44"/>
      <c r="F40" s="44"/>
      <c r="G40" s="44"/>
      <c r="H40" s="30"/>
      <c r="I40" s="130" t="s">
        <v>44</v>
      </c>
      <c r="J40" s="130"/>
      <c r="K40" s="130" t="s">
        <v>44</v>
      </c>
      <c r="L40" s="130"/>
      <c r="M40" s="130" t="s">
        <v>44</v>
      </c>
      <c r="N40" s="130"/>
      <c r="O40" s="130" t="s">
        <v>44</v>
      </c>
      <c r="P40" s="130"/>
      <c r="Q40" s="130" t="s">
        <v>44</v>
      </c>
      <c r="R40" s="130"/>
      <c r="S40" s="130" t="s">
        <v>44</v>
      </c>
      <c r="T40" s="130"/>
      <c r="U40" s="130" t="s">
        <v>44</v>
      </c>
      <c r="V40" s="130"/>
      <c r="W40" s="130" t="s">
        <v>44</v>
      </c>
      <c r="X40" s="130"/>
      <c r="AA40" s="54">
        <f t="shared" si="1"/>
        <v>0</v>
      </c>
      <c r="AB40" s="46">
        <v>40</v>
      </c>
    </row>
    <row r="41" spans="1:28" s="19" customFormat="1" ht="9.9499999999999993" customHeight="1">
      <c r="A41" s="147"/>
      <c r="B41" s="147"/>
      <c r="C41" s="23" t="s">
        <v>82</v>
      </c>
      <c r="D41" s="68" t="s">
        <v>87</v>
      </c>
      <c r="E41" s="45"/>
      <c r="F41" s="45"/>
      <c r="G41" s="45"/>
      <c r="H41" s="31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AA41" s="37"/>
      <c r="AB41" s="46"/>
    </row>
    <row r="42" spans="1:28" s="19" customFormat="1" ht="9.9499999999999993" customHeight="1">
      <c r="A42" s="146" t="s">
        <v>88</v>
      </c>
      <c r="B42" s="146"/>
      <c r="C42" s="24" t="s">
        <v>85</v>
      </c>
      <c r="D42" s="65" t="s">
        <v>89</v>
      </c>
      <c r="E42" s="71"/>
      <c r="F42" s="72"/>
      <c r="G42" s="42"/>
      <c r="H42" s="36"/>
      <c r="I42" s="130" t="s">
        <v>44</v>
      </c>
      <c r="J42" s="130"/>
      <c r="K42" s="130" t="s">
        <v>44</v>
      </c>
      <c r="L42" s="130"/>
      <c r="M42" s="130" t="s">
        <v>44</v>
      </c>
      <c r="N42" s="130"/>
      <c r="O42" s="130" t="s">
        <v>44</v>
      </c>
      <c r="P42" s="130"/>
      <c r="Q42" s="130" t="s">
        <v>44</v>
      </c>
      <c r="R42" s="130"/>
      <c r="S42" s="130" t="s">
        <v>44</v>
      </c>
      <c r="T42" s="130"/>
      <c r="U42" s="130" t="s">
        <v>44</v>
      </c>
      <c r="V42" s="130"/>
      <c r="W42" s="130" t="s">
        <v>44</v>
      </c>
      <c r="X42" s="130"/>
      <c r="AA42" s="37"/>
      <c r="AB42" s="46"/>
    </row>
    <row r="43" spans="1:28" s="19" customFormat="1" ht="9.9499999999999993" customHeight="1">
      <c r="A43" s="147"/>
      <c r="B43" s="147"/>
      <c r="C43" s="23" t="s">
        <v>82</v>
      </c>
      <c r="D43" s="68" t="s">
        <v>90</v>
      </c>
      <c r="E43" s="73"/>
      <c r="F43" s="73"/>
      <c r="G43" s="41"/>
      <c r="H43" s="38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AA43" s="37"/>
      <c r="AB43" s="46"/>
    </row>
    <row r="44" spans="1:28" s="19" customFormat="1" ht="9.9499999999999993" customHeight="1">
      <c r="A44" s="146" t="s">
        <v>91</v>
      </c>
      <c r="B44" s="146"/>
      <c r="C44" s="158" t="s">
        <v>85</v>
      </c>
      <c r="D44" s="65" t="s">
        <v>92</v>
      </c>
      <c r="E44" s="71"/>
      <c r="F44" s="72"/>
      <c r="G44" s="42"/>
      <c r="H44" s="36"/>
      <c r="I44" s="130" t="s">
        <v>44</v>
      </c>
      <c r="J44" s="130"/>
      <c r="K44" s="130" t="s">
        <v>44</v>
      </c>
      <c r="L44" s="130"/>
      <c r="M44" s="130" t="s">
        <v>44</v>
      </c>
      <c r="N44" s="130"/>
      <c r="O44" s="130" t="s">
        <v>44</v>
      </c>
      <c r="P44" s="130"/>
      <c r="Q44" s="130" t="s">
        <v>44</v>
      </c>
      <c r="R44" s="130"/>
      <c r="S44" s="130" t="s">
        <v>44</v>
      </c>
      <c r="T44" s="130"/>
      <c r="U44" s="130" t="s">
        <v>44</v>
      </c>
      <c r="V44" s="130"/>
      <c r="W44" s="130" t="s">
        <v>44</v>
      </c>
      <c r="X44" s="130"/>
      <c r="AA44" s="37"/>
      <c r="AB44" s="46"/>
    </row>
    <row r="45" spans="1:28" s="19" customFormat="1" ht="9.9499999999999993" customHeight="1">
      <c r="A45" s="147"/>
      <c r="B45" s="147"/>
      <c r="C45" s="159"/>
      <c r="D45" s="68" t="s">
        <v>93</v>
      </c>
      <c r="E45" s="73"/>
      <c r="F45" s="73"/>
      <c r="G45" s="41"/>
      <c r="H45" s="38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AA45" s="37"/>
      <c r="AB45" s="46"/>
    </row>
    <row r="46" spans="1:28" s="19" customFormat="1" ht="9.9499999999999993" customHeight="1">
      <c r="A46" s="146" t="s">
        <v>94</v>
      </c>
      <c r="B46" s="146"/>
      <c r="C46" s="158" t="s">
        <v>85</v>
      </c>
      <c r="D46" s="65" t="s">
        <v>95</v>
      </c>
      <c r="E46" s="66"/>
      <c r="F46" s="66"/>
      <c r="G46" s="66"/>
      <c r="H46" s="67"/>
      <c r="I46" s="130" t="s">
        <v>44</v>
      </c>
      <c r="J46" s="130"/>
      <c r="K46" s="130" t="s">
        <v>44</v>
      </c>
      <c r="L46" s="130"/>
      <c r="M46" s="130" t="s">
        <v>44</v>
      </c>
      <c r="N46" s="130"/>
      <c r="O46" s="130" t="s">
        <v>44</v>
      </c>
      <c r="P46" s="130"/>
      <c r="Q46" s="130" t="s">
        <v>44</v>
      </c>
      <c r="R46" s="130"/>
      <c r="S46" s="130" t="s">
        <v>44</v>
      </c>
      <c r="T46" s="130"/>
      <c r="U46" s="130" t="s">
        <v>44</v>
      </c>
      <c r="V46" s="130"/>
      <c r="W46" s="130" t="s">
        <v>44</v>
      </c>
      <c r="X46" s="130"/>
      <c r="AA46" s="37"/>
      <c r="AB46" s="46"/>
    </row>
    <row r="47" spans="1:28" s="19" customFormat="1" ht="9.9499999999999993" customHeight="1">
      <c r="A47" s="147"/>
      <c r="B47" s="147"/>
      <c r="C47" s="159"/>
      <c r="D47" s="68" t="s">
        <v>96</v>
      </c>
      <c r="E47" s="69"/>
      <c r="F47" s="69"/>
      <c r="G47" s="69"/>
      <c r="H47" s="7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AA47" s="37"/>
      <c r="AB47" s="46"/>
    </row>
    <row r="48" spans="1:28" s="19" customFormat="1" ht="9.9499999999999993" customHeight="1">
      <c r="A48" s="146" t="s">
        <v>97</v>
      </c>
      <c r="B48" s="146"/>
      <c r="C48" s="158" t="s">
        <v>85</v>
      </c>
      <c r="D48" s="65" t="s">
        <v>98</v>
      </c>
      <c r="E48" s="66"/>
      <c r="F48" s="66"/>
      <c r="G48" s="66"/>
      <c r="H48" s="67"/>
      <c r="I48" s="130" t="s">
        <v>44</v>
      </c>
      <c r="J48" s="130"/>
      <c r="K48" s="130" t="s">
        <v>44</v>
      </c>
      <c r="L48" s="130"/>
      <c r="M48" s="130" t="s">
        <v>44</v>
      </c>
      <c r="N48" s="130"/>
      <c r="O48" s="130" t="s">
        <v>44</v>
      </c>
      <c r="P48" s="130"/>
      <c r="Q48" s="130" t="s">
        <v>44</v>
      </c>
      <c r="R48" s="130"/>
      <c r="S48" s="130" t="s">
        <v>44</v>
      </c>
      <c r="T48" s="130"/>
      <c r="U48" s="130" t="s">
        <v>44</v>
      </c>
      <c r="V48" s="130"/>
      <c r="W48" s="130" t="s">
        <v>44</v>
      </c>
      <c r="X48" s="130"/>
      <c r="AA48" s="37"/>
      <c r="AB48" s="46"/>
    </row>
    <row r="49" spans="1:28" s="19" customFormat="1" ht="9.9499999999999993" customHeight="1">
      <c r="A49" s="147"/>
      <c r="B49" s="147"/>
      <c r="C49" s="159"/>
      <c r="D49" s="68" t="s">
        <v>99</v>
      </c>
      <c r="E49" s="69"/>
      <c r="F49" s="69"/>
      <c r="G49" s="69"/>
      <c r="H49" s="7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AA49" s="37"/>
      <c r="AB49" s="46"/>
    </row>
    <row r="50" spans="1:28" s="19" customFormat="1" ht="9.9499999999999993" customHeight="1">
      <c r="A50" s="146" t="s">
        <v>100</v>
      </c>
      <c r="B50" s="146"/>
      <c r="C50" s="148" t="s">
        <v>101</v>
      </c>
      <c r="D50" s="65" t="s">
        <v>102</v>
      </c>
      <c r="E50" s="75"/>
      <c r="F50" s="75"/>
      <c r="G50" s="75"/>
      <c r="H50" s="76"/>
      <c r="I50" s="130" t="s">
        <v>44</v>
      </c>
      <c r="J50" s="130"/>
      <c r="K50" s="130" t="s">
        <v>44</v>
      </c>
      <c r="L50" s="130"/>
      <c r="M50" s="130" t="s">
        <v>44</v>
      </c>
      <c r="N50" s="130"/>
      <c r="O50" s="130" t="s">
        <v>44</v>
      </c>
      <c r="P50" s="130"/>
      <c r="Q50" s="130" t="s">
        <v>44</v>
      </c>
      <c r="R50" s="130"/>
      <c r="S50" s="130" t="s">
        <v>44</v>
      </c>
      <c r="T50" s="130"/>
      <c r="U50" s="130" t="s">
        <v>44</v>
      </c>
      <c r="V50" s="130"/>
      <c r="W50" s="130" t="s">
        <v>44</v>
      </c>
      <c r="X50" s="130"/>
      <c r="AA50" s="37"/>
      <c r="AB50" s="46"/>
    </row>
    <row r="51" spans="1:28" s="19" customFormat="1" ht="9.9499999999999993" customHeight="1">
      <c r="A51" s="147"/>
      <c r="B51" s="147"/>
      <c r="C51" s="157"/>
      <c r="D51" s="68" t="s">
        <v>103</v>
      </c>
      <c r="E51" s="77"/>
      <c r="F51" s="77"/>
      <c r="G51" s="77"/>
      <c r="H51" s="78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AA51" s="37"/>
      <c r="AB51" s="46"/>
    </row>
    <row r="52" spans="1:28" s="19" customFormat="1" ht="9.9499999999999993" customHeight="1">
      <c r="A52" s="146"/>
      <c r="B52" s="146"/>
      <c r="C52" s="148"/>
      <c r="D52" s="150"/>
      <c r="E52" s="151"/>
      <c r="F52" s="151"/>
      <c r="G52" s="151"/>
      <c r="H52" s="152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AA52" s="37"/>
      <c r="AB52" s="46"/>
    </row>
    <row r="53" spans="1:28" s="19" customFormat="1" ht="9.9499999999999993" customHeight="1">
      <c r="A53" s="147"/>
      <c r="B53" s="147"/>
      <c r="C53" s="149"/>
      <c r="D53" s="135"/>
      <c r="E53" s="136"/>
      <c r="F53" s="136"/>
      <c r="G53" s="136"/>
      <c r="H53" s="137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AA53" s="37"/>
      <c r="AB53" s="46"/>
    </row>
    <row r="54" spans="1:28" s="19" customFormat="1" ht="9.9499999999999993" customHeight="1">
      <c r="A54" s="146"/>
      <c r="B54" s="146"/>
      <c r="C54" s="148"/>
      <c r="D54" s="153"/>
      <c r="E54" s="144"/>
      <c r="F54" s="155"/>
      <c r="G54" s="42"/>
      <c r="H54" s="36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AA54" s="37"/>
      <c r="AB54" s="46"/>
    </row>
    <row r="55" spans="1:28" s="19" customFormat="1" ht="9.9499999999999993" customHeight="1">
      <c r="A55" s="147"/>
      <c r="B55" s="147"/>
      <c r="C55" s="149"/>
      <c r="D55" s="154"/>
      <c r="E55" s="156"/>
      <c r="F55" s="156"/>
      <c r="G55" s="41"/>
      <c r="H55" s="38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AA55" s="37"/>
      <c r="AB55" s="46"/>
    </row>
    <row r="56" spans="1:28" s="19" customFormat="1" ht="9.9499999999999993" customHeight="1">
      <c r="A56" s="146"/>
      <c r="B56" s="146"/>
      <c r="C56" s="148"/>
      <c r="D56" s="153"/>
      <c r="E56" s="144"/>
      <c r="F56" s="155"/>
      <c r="G56" s="42"/>
      <c r="H56" s="36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AA56" s="37"/>
      <c r="AB56" s="46"/>
    </row>
    <row r="57" spans="1:28" s="19" customFormat="1" ht="9.9499999999999993" customHeight="1">
      <c r="A57" s="147"/>
      <c r="B57" s="147"/>
      <c r="C57" s="149"/>
      <c r="D57" s="154"/>
      <c r="E57" s="156"/>
      <c r="F57" s="156"/>
      <c r="G57" s="41"/>
      <c r="H57" s="38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AA57" s="37"/>
      <c r="AB57" s="46"/>
    </row>
    <row r="58" spans="1:28" s="19" customFormat="1" ht="9.9499999999999993" customHeight="1">
      <c r="A58" s="146"/>
      <c r="B58" s="146"/>
      <c r="C58" s="32"/>
      <c r="D58" s="150"/>
      <c r="E58" s="151"/>
      <c r="F58" s="151"/>
      <c r="G58" s="151"/>
      <c r="H58" s="152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AA58" s="37"/>
      <c r="AB58" s="46"/>
    </row>
    <row r="59" spans="1:28" s="19" customFormat="1" ht="9.9499999999999993" customHeight="1">
      <c r="A59" s="147"/>
      <c r="B59" s="147"/>
      <c r="C59" s="33"/>
      <c r="D59" s="135"/>
      <c r="E59" s="136"/>
      <c r="F59" s="136"/>
      <c r="G59" s="136"/>
      <c r="H59" s="137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AA59" s="37"/>
      <c r="AB59" s="46"/>
    </row>
    <row r="60" spans="1:28" s="19" customFormat="1" ht="9.9499999999999993" customHeight="1">
      <c r="A60" s="146"/>
      <c r="B60" s="146"/>
      <c r="C60" s="148"/>
      <c r="D60" s="150"/>
      <c r="E60" s="151"/>
      <c r="F60" s="151"/>
      <c r="G60" s="151"/>
      <c r="H60" s="152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AA60" s="37"/>
      <c r="AB60" s="46"/>
    </row>
    <row r="61" spans="1:28" s="19" customFormat="1" ht="9.9499999999999993" customHeight="1">
      <c r="A61" s="147"/>
      <c r="B61" s="147"/>
      <c r="C61" s="149"/>
      <c r="D61" s="135"/>
      <c r="E61" s="136"/>
      <c r="F61" s="136"/>
      <c r="G61" s="136"/>
      <c r="H61" s="137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AA61" s="37"/>
      <c r="AB61" s="46"/>
    </row>
    <row r="62" spans="1:28" s="19" customFormat="1" ht="9.9499999999999993" customHeight="1">
      <c r="A62" s="109"/>
      <c r="B62" s="138"/>
      <c r="C62" s="141"/>
      <c r="D62" s="143"/>
      <c r="E62" s="144"/>
      <c r="F62" s="144"/>
      <c r="G62" s="144"/>
      <c r="H62" s="145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AA62" s="37"/>
      <c r="AB62" s="46"/>
    </row>
    <row r="63" spans="1:28" s="19" customFormat="1" ht="9.9499999999999993" customHeight="1" thickBot="1">
      <c r="A63" s="139"/>
      <c r="B63" s="140"/>
      <c r="C63" s="142"/>
      <c r="D63" s="132"/>
      <c r="E63" s="133"/>
      <c r="F63" s="133"/>
      <c r="G63" s="133"/>
      <c r="H63" s="134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AA63" s="37"/>
      <c r="AB63" s="46"/>
    </row>
    <row r="64" spans="1:28" ht="12.75" customHeight="1" thickTop="1">
      <c r="A64" s="116" t="s">
        <v>33</v>
      </c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8"/>
      <c r="Q64" s="119"/>
      <c r="R64" s="120"/>
      <c r="S64" s="123"/>
      <c r="T64" s="124"/>
      <c r="U64" s="119"/>
      <c r="V64" s="120"/>
      <c r="W64" s="119"/>
      <c r="X64" s="120"/>
    </row>
    <row r="65" spans="1:24" ht="9.75" customHeight="1">
      <c r="A65" s="127" t="s">
        <v>34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9"/>
      <c r="Q65" s="121"/>
      <c r="R65" s="122"/>
      <c r="S65" s="125"/>
      <c r="T65" s="126"/>
      <c r="U65" s="121"/>
      <c r="V65" s="122"/>
      <c r="W65" s="121"/>
      <c r="X65" s="122"/>
    </row>
    <row r="66" spans="1:24" ht="12.75" customHeight="1">
      <c r="A66" s="106" t="s">
        <v>35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8"/>
      <c r="Q66" s="94" t="s">
        <v>104</v>
      </c>
      <c r="R66" s="95"/>
      <c r="S66" s="109" t="s">
        <v>105</v>
      </c>
      <c r="T66" s="110"/>
      <c r="U66" s="94"/>
      <c r="V66" s="95"/>
      <c r="W66" s="94"/>
      <c r="X66" s="95"/>
    </row>
    <row r="67" spans="1:24" ht="9.75" customHeight="1">
      <c r="A67" s="113" t="s">
        <v>36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96"/>
      <c r="R67" s="97"/>
      <c r="S67" s="111"/>
      <c r="T67" s="112"/>
      <c r="U67" s="96"/>
      <c r="V67" s="97"/>
      <c r="W67" s="96"/>
      <c r="X67" s="97"/>
    </row>
    <row r="68" spans="1:24" ht="12.75" customHeight="1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94" t="s">
        <v>69</v>
      </c>
      <c r="R68" s="95"/>
      <c r="S68" s="109" t="s">
        <v>37</v>
      </c>
      <c r="T68" s="110"/>
      <c r="U68" s="94"/>
      <c r="V68" s="95"/>
      <c r="W68" s="94"/>
      <c r="X68" s="95"/>
    </row>
    <row r="69" spans="1:24" ht="9.75" customHeight="1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5"/>
      <c r="Q69" s="96"/>
      <c r="R69" s="97"/>
      <c r="S69" s="111"/>
      <c r="T69" s="112"/>
      <c r="U69" s="96"/>
      <c r="V69" s="97"/>
      <c r="W69" s="96"/>
      <c r="X69" s="97"/>
    </row>
    <row r="70" spans="1:24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94" t="s">
        <v>73</v>
      </c>
      <c r="R70" s="95"/>
      <c r="S70" s="109" t="s">
        <v>38</v>
      </c>
      <c r="T70" s="110"/>
      <c r="U70" s="94"/>
      <c r="V70" s="95"/>
      <c r="W70" s="94"/>
      <c r="X70" s="95"/>
    </row>
    <row r="71" spans="1:24" ht="9.75" customHeight="1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1"/>
      <c r="Q71" s="96"/>
      <c r="R71" s="97"/>
      <c r="S71" s="111"/>
      <c r="T71" s="112"/>
      <c r="U71" s="96"/>
      <c r="V71" s="97"/>
      <c r="W71" s="96"/>
      <c r="X71" s="97"/>
    </row>
    <row r="72" spans="1:24" ht="12.75" customHeight="1">
      <c r="A72" s="91" t="s">
        <v>106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3"/>
      <c r="Q72" s="94" t="s">
        <v>39</v>
      </c>
      <c r="R72" s="95"/>
      <c r="S72" s="102">
        <v>42983</v>
      </c>
      <c r="T72" s="103"/>
      <c r="U72" s="94"/>
      <c r="V72" s="95"/>
      <c r="W72" s="94"/>
      <c r="X72" s="95"/>
    </row>
    <row r="73" spans="1:24" ht="9.75" customHeight="1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  <c r="Q73" s="96"/>
      <c r="R73" s="97"/>
      <c r="S73" s="104"/>
      <c r="T73" s="105"/>
      <c r="U73" s="96"/>
      <c r="V73" s="97"/>
      <c r="W73" s="96"/>
      <c r="X73" s="97"/>
    </row>
    <row r="74" spans="1:24" ht="12.75" customHeight="1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3"/>
      <c r="Q74" s="94" t="s">
        <v>17</v>
      </c>
      <c r="R74" s="95"/>
      <c r="S74" s="98">
        <v>42285</v>
      </c>
      <c r="T74" s="95"/>
      <c r="U74" s="94"/>
      <c r="V74" s="95"/>
      <c r="W74" s="94"/>
      <c r="X74" s="95"/>
    </row>
    <row r="75" spans="1:24" ht="9.75" customHeight="1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1"/>
      <c r="Q75" s="96"/>
      <c r="R75" s="97"/>
      <c r="S75" s="96"/>
      <c r="T75" s="97"/>
      <c r="U75" s="96"/>
      <c r="V75" s="97"/>
      <c r="W75" s="96"/>
      <c r="X75" s="97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82" t="s">
        <v>40</v>
      </c>
      <c r="K76" s="83"/>
      <c r="L76" s="84" t="s">
        <v>43</v>
      </c>
      <c r="M76" s="84"/>
      <c r="N76" s="84"/>
      <c r="O76" s="84"/>
      <c r="P76" s="85"/>
      <c r="Q76" s="88" t="s">
        <v>18</v>
      </c>
      <c r="R76" s="88"/>
      <c r="S76" s="88" t="s">
        <v>19</v>
      </c>
      <c r="T76" s="88"/>
      <c r="U76" s="88" t="s">
        <v>20</v>
      </c>
      <c r="V76" s="88"/>
      <c r="W76" s="88" t="s">
        <v>22</v>
      </c>
      <c r="X76" s="88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9" t="s">
        <v>41</v>
      </c>
      <c r="K77" s="90"/>
      <c r="L77" s="86"/>
      <c r="M77" s="86"/>
      <c r="N77" s="86"/>
      <c r="O77" s="86"/>
      <c r="P77" s="87"/>
      <c r="Q77" s="79" t="s">
        <v>5</v>
      </c>
      <c r="R77" s="79"/>
      <c r="S77" s="79" t="s">
        <v>10</v>
      </c>
      <c r="T77" s="79"/>
      <c r="U77" s="79" t="s">
        <v>21</v>
      </c>
      <c r="V77" s="79"/>
      <c r="W77" s="79" t="s">
        <v>23</v>
      </c>
      <c r="X77" s="79"/>
    </row>
    <row r="78" spans="1:24" ht="13.5" customHeight="1">
      <c r="A78" s="80" t="s">
        <v>24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</row>
    <row r="2" spans="1:26" ht="13.5" customHeight="1">
      <c r="A2" s="222" t="s">
        <v>47</v>
      </c>
      <c r="B2" s="223"/>
      <c r="C2" s="145" t="s">
        <v>48</v>
      </c>
      <c r="D2" s="60" t="s">
        <v>2</v>
      </c>
      <c r="E2" s="34"/>
      <c r="F2" s="211" t="s">
        <v>58</v>
      </c>
      <c r="G2" s="211"/>
      <c r="H2" s="211"/>
      <c r="I2" s="211"/>
      <c r="J2" s="211"/>
      <c r="K2" s="224"/>
      <c r="L2" s="60" t="s">
        <v>4</v>
      </c>
      <c r="M2" s="211">
        <v>10</v>
      </c>
      <c r="N2" s="212"/>
      <c r="O2" s="60" t="s">
        <v>6</v>
      </c>
      <c r="P2" s="227" t="s">
        <v>49</v>
      </c>
      <c r="Q2" s="228"/>
      <c r="R2" s="228"/>
      <c r="S2" s="228"/>
      <c r="T2" s="228"/>
      <c r="U2" s="228"/>
      <c r="V2" s="229"/>
      <c r="W2" s="60" t="s">
        <v>25</v>
      </c>
      <c r="X2" s="25">
        <v>2</v>
      </c>
      <c r="Z2" s="27" t="s">
        <v>50</v>
      </c>
    </row>
    <row r="3" spans="1:26" ht="9.9499999999999993" customHeight="1">
      <c r="A3" s="232" t="s">
        <v>1</v>
      </c>
      <c r="B3" s="233"/>
      <c r="C3" s="184"/>
      <c r="D3" s="62" t="s">
        <v>3</v>
      </c>
      <c r="E3" s="35"/>
      <c r="F3" s="225"/>
      <c r="G3" s="225"/>
      <c r="H3" s="225"/>
      <c r="I3" s="225"/>
      <c r="J3" s="225"/>
      <c r="K3" s="226"/>
      <c r="L3" s="62" t="s">
        <v>5</v>
      </c>
      <c r="M3" s="213"/>
      <c r="N3" s="214"/>
      <c r="O3" s="62" t="s">
        <v>7</v>
      </c>
      <c r="P3" s="230"/>
      <c r="Q3" s="230"/>
      <c r="R3" s="230"/>
      <c r="S3" s="230"/>
      <c r="T3" s="230"/>
      <c r="U3" s="230"/>
      <c r="V3" s="231"/>
      <c r="W3" s="62" t="s">
        <v>8</v>
      </c>
      <c r="X3" s="61">
        <v>2</v>
      </c>
      <c r="Z3" s="28"/>
    </row>
    <row r="4" spans="1:26" ht="14.25" customHeight="1">
      <c r="A4" s="2" t="s">
        <v>51</v>
      </c>
      <c r="B4" s="3"/>
      <c r="C4" s="3"/>
      <c r="D4" s="39"/>
      <c r="E4" s="27" t="s">
        <v>28</v>
      </c>
      <c r="F4" s="4" t="s">
        <v>53</v>
      </c>
      <c r="H4" s="4"/>
      <c r="I4" s="3"/>
      <c r="J4" s="3"/>
      <c r="K4" s="22" t="s">
        <v>52</v>
      </c>
      <c r="L4" s="4" t="s">
        <v>54</v>
      </c>
      <c r="M4" s="3"/>
      <c r="N4" s="3"/>
      <c r="O4" s="60" t="s">
        <v>9</v>
      </c>
      <c r="P4" s="5"/>
      <c r="Q4" s="206" t="s">
        <v>110</v>
      </c>
      <c r="R4" s="207"/>
      <c r="S4" s="207"/>
      <c r="T4" s="208"/>
      <c r="U4" s="60" t="s">
        <v>11</v>
      </c>
      <c r="V4" s="6"/>
      <c r="W4" s="211" t="s">
        <v>42</v>
      </c>
      <c r="X4" s="212"/>
      <c r="Z4" s="27" t="s">
        <v>28</v>
      </c>
    </row>
    <row r="5" spans="1:26" ht="9.9499999999999993" customHeight="1">
      <c r="A5" s="20" t="s">
        <v>55</v>
      </c>
      <c r="B5" s="7"/>
      <c r="C5" s="7"/>
      <c r="D5" s="7"/>
      <c r="E5" s="7"/>
      <c r="F5" s="21" t="s">
        <v>29</v>
      </c>
      <c r="H5" s="21"/>
      <c r="I5" s="7"/>
      <c r="J5" s="7"/>
      <c r="K5" s="7"/>
      <c r="L5" s="21" t="s">
        <v>56</v>
      </c>
      <c r="M5" s="7"/>
      <c r="N5" s="8"/>
      <c r="O5" s="20" t="s">
        <v>10</v>
      </c>
      <c r="P5" s="9"/>
      <c r="Q5" s="209"/>
      <c r="R5" s="209"/>
      <c r="S5" s="209"/>
      <c r="T5" s="210"/>
      <c r="U5" s="62" t="s">
        <v>12</v>
      </c>
      <c r="V5" s="10"/>
      <c r="W5" s="213"/>
      <c r="X5" s="214"/>
    </row>
    <row r="6" spans="1:26" ht="12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5" t="s">
        <v>57</v>
      </c>
      <c r="T6" s="215"/>
      <c r="U6" s="215"/>
      <c r="V6" s="215"/>
      <c r="W6" s="215"/>
      <c r="X6" s="95"/>
    </row>
    <row r="7" spans="1:26" ht="12" customHeight="1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6" t="s">
        <v>13</v>
      </c>
      <c r="T7" s="216"/>
      <c r="U7" s="216"/>
      <c r="V7" s="216"/>
      <c r="W7" s="216"/>
      <c r="X7" s="217"/>
    </row>
    <row r="8" spans="1:26" ht="9.9499999999999993" customHeight="1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8" t="s">
        <v>58</v>
      </c>
      <c r="T8" s="219"/>
      <c r="U8" s="219"/>
      <c r="V8" s="189"/>
      <c r="W8" s="189"/>
      <c r="X8" s="190"/>
    </row>
    <row r="9" spans="1:26" ht="9.9499999999999993" customHeight="1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80"/>
      <c r="T9" s="204"/>
      <c r="U9" s="204"/>
      <c r="V9" s="205"/>
      <c r="W9" s="205"/>
      <c r="X9" s="167"/>
    </row>
    <row r="10" spans="1:26" ht="9.9499999999999993" customHeight="1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80"/>
      <c r="T10" s="204"/>
      <c r="U10" s="204"/>
      <c r="V10" s="205"/>
      <c r="W10" s="205"/>
      <c r="X10" s="167"/>
    </row>
    <row r="11" spans="1:26" ht="9.9499999999999993" customHeight="1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80"/>
      <c r="T11" s="204"/>
      <c r="U11" s="204"/>
      <c r="V11" s="205"/>
      <c r="W11" s="205"/>
      <c r="X11" s="167"/>
    </row>
    <row r="12" spans="1:26" ht="9.9499999999999993" customHeight="1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80"/>
      <c r="T12" s="204"/>
      <c r="U12" s="204"/>
      <c r="V12" s="205"/>
      <c r="W12" s="205"/>
      <c r="X12" s="167"/>
    </row>
    <row r="13" spans="1:26" ht="9.9499999999999993" customHeight="1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80"/>
      <c r="T13" s="204"/>
      <c r="U13" s="204"/>
      <c r="V13" s="205"/>
      <c r="W13" s="205"/>
      <c r="X13" s="167"/>
    </row>
    <row r="14" spans="1:26" ht="9.9499999999999993" customHeight="1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80"/>
      <c r="T14" s="181"/>
      <c r="U14" s="181"/>
      <c r="V14" s="201"/>
      <c r="W14" s="202"/>
      <c r="X14" s="203"/>
    </row>
    <row r="15" spans="1:26" ht="9.9499999999999993" customHeight="1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80"/>
      <c r="T15" s="181"/>
      <c r="U15" s="181"/>
      <c r="V15" s="201"/>
      <c r="W15" s="202"/>
      <c r="X15" s="203"/>
    </row>
    <row r="16" spans="1:26" ht="9.9499999999999993" customHeight="1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80"/>
      <c r="T16" s="181"/>
      <c r="U16" s="181"/>
      <c r="V16" s="201"/>
      <c r="W16" s="202"/>
      <c r="X16" s="203"/>
    </row>
    <row r="17" spans="1:28" ht="9.9499999999999993" customHeight="1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80"/>
      <c r="T17" s="181"/>
      <c r="U17" s="181"/>
      <c r="V17" s="201"/>
      <c r="W17" s="202"/>
      <c r="X17" s="203"/>
    </row>
    <row r="18" spans="1:28" ht="9.9499999999999993" customHeight="1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80"/>
      <c r="T18" s="181"/>
      <c r="U18" s="181"/>
      <c r="V18" s="201"/>
      <c r="W18" s="202"/>
      <c r="X18" s="203"/>
    </row>
    <row r="19" spans="1:28" ht="9.9499999999999993" customHeight="1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80"/>
      <c r="T19" s="181"/>
      <c r="U19" s="181"/>
      <c r="V19" s="201"/>
      <c r="W19" s="202"/>
      <c r="X19" s="203"/>
    </row>
    <row r="20" spans="1:28" ht="9.9499999999999993" customHeight="1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80"/>
      <c r="T20" s="181"/>
      <c r="U20" s="181"/>
      <c r="V20" s="201"/>
      <c r="W20" s="202"/>
      <c r="X20" s="203"/>
    </row>
    <row r="21" spans="1:28" ht="9.9499999999999993" customHeight="1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80"/>
      <c r="T21" s="181"/>
      <c r="U21" s="181"/>
      <c r="V21" s="182"/>
      <c r="W21" s="183"/>
      <c r="X21" s="184"/>
    </row>
    <row r="22" spans="1:28" ht="12.75" customHeight="1">
      <c r="A22" s="175" t="s">
        <v>59</v>
      </c>
      <c r="B22" s="185"/>
      <c r="C22" s="186"/>
      <c r="D22" s="187" t="s">
        <v>27</v>
      </c>
      <c r="E22" s="188"/>
      <c r="F22" s="188"/>
      <c r="G22" s="188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90"/>
      <c r="W22" s="194" t="s">
        <v>60</v>
      </c>
      <c r="X22" s="195"/>
      <c r="Z22" s="42" t="s">
        <v>61</v>
      </c>
    </row>
    <row r="23" spans="1:28" ht="11.25" customHeight="1">
      <c r="A23" s="196" t="s">
        <v>14</v>
      </c>
      <c r="B23" s="197"/>
      <c r="C23" s="198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99" t="s">
        <v>62</v>
      </c>
      <c r="X23" s="200"/>
      <c r="Z23" s="41" t="s">
        <v>63</v>
      </c>
    </row>
    <row r="24" spans="1:28" ht="14.25" customHeight="1">
      <c r="A24" s="175" t="s">
        <v>64</v>
      </c>
      <c r="B24" s="176"/>
      <c r="C24" s="26" t="s">
        <v>16</v>
      </c>
      <c r="D24" s="177" t="s">
        <v>26</v>
      </c>
      <c r="E24" s="178"/>
      <c r="F24" s="178"/>
      <c r="G24" s="178"/>
      <c r="H24" s="179"/>
      <c r="I24" s="168">
        <v>9</v>
      </c>
      <c r="J24" s="168"/>
      <c r="K24" s="168">
        <v>10</v>
      </c>
      <c r="L24" s="168"/>
      <c r="M24" s="168">
        <v>11</v>
      </c>
      <c r="N24" s="168"/>
      <c r="O24" s="168">
        <v>12</v>
      </c>
      <c r="P24" s="168"/>
      <c r="Q24" s="168">
        <v>13</v>
      </c>
      <c r="R24" s="168"/>
      <c r="S24" s="168">
        <v>14</v>
      </c>
      <c r="T24" s="168"/>
      <c r="U24" s="168">
        <v>15</v>
      </c>
      <c r="V24" s="168"/>
      <c r="W24" s="168">
        <v>16</v>
      </c>
      <c r="X24" s="168"/>
      <c r="Z24" s="40"/>
      <c r="AA24" s="37" t="s">
        <v>45</v>
      </c>
    </row>
    <row r="25" spans="1:28">
      <c r="A25" s="170" t="s">
        <v>15</v>
      </c>
      <c r="B25" s="171"/>
      <c r="C25" s="74" t="s">
        <v>65</v>
      </c>
      <c r="D25" s="172" t="s">
        <v>66</v>
      </c>
      <c r="E25" s="173"/>
      <c r="F25" s="173"/>
      <c r="G25" s="173"/>
      <c r="H25" s="174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Z25" s="153" t="s">
        <v>30</v>
      </c>
      <c r="AA25" s="37" t="s">
        <v>46</v>
      </c>
    </row>
    <row r="26" spans="1:28" s="18" customFormat="1" ht="9.9499999999999993" customHeight="1">
      <c r="A26" s="146" t="s">
        <v>67</v>
      </c>
      <c r="B26" s="146"/>
      <c r="C26" s="148" t="s">
        <v>68</v>
      </c>
      <c r="D26" s="153" t="s">
        <v>30</v>
      </c>
      <c r="E26" s="161">
        <v>8.2000000000000003E-2</v>
      </c>
      <c r="F26" s="162"/>
      <c r="G26" s="42" t="s">
        <v>61</v>
      </c>
      <c r="H26" s="48">
        <v>2E-3</v>
      </c>
      <c r="I26" s="160">
        <v>8.2900000000000001E-2</v>
      </c>
      <c r="J26" s="160"/>
      <c r="K26" s="160">
        <v>8.2600000000000007E-2</v>
      </c>
      <c r="L26" s="160"/>
      <c r="M26" s="160">
        <v>8.2299999999999998E-2</v>
      </c>
      <c r="N26" s="160"/>
      <c r="O26" s="160">
        <v>8.2500000000000004E-2</v>
      </c>
      <c r="P26" s="160"/>
      <c r="Q26" s="160">
        <v>8.2600000000000007E-2</v>
      </c>
      <c r="R26" s="160"/>
      <c r="S26" s="160">
        <v>8.2699999999999996E-2</v>
      </c>
      <c r="T26" s="160"/>
      <c r="U26" s="160">
        <v>8.3000000000000004E-2</v>
      </c>
      <c r="V26" s="160"/>
      <c r="W26" s="160">
        <v>8.3199999999999996E-2</v>
      </c>
      <c r="X26" s="160"/>
      <c r="Z26" s="154"/>
      <c r="AA26" s="54">
        <f>E26+H26</f>
        <v>8.4000000000000005E-2</v>
      </c>
      <c r="AB26" s="46">
        <v>26</v>
      </c>
    </row>
    <row r="27" spans="1:28" s="18" customFormat="1" ht="9.9499999999999993" customHeight="1">
      <c r="A27" s="147"/>
      <c r="B27" s="147"/>
      <c r="C27" s="149"/>
      <c r="D27" s="154"/>
      <c r="E27" s="163"/>
      <c r="F27" s="163"/>
      <c r="G27" s="41" t="s">
        <v>63</v>
      </c>
      <c r="H27" s="49">
        <v>2E-3</v>
      </c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AA27" s="54">
        <f>E26-H27</f>
        <v>0.08</v>
      </c>
      <c r="AB27" s="46">
        <v>27</v>
      </c>
    </row>
    <row r="28" spans="1:28" s="18" customFormat="1" ht="20.100000000000001" customHeight="1">
      <c r="A28" s="109" t="s">
        <v>31</v>
      </c>
      <c r="B28" s="138"/>
      <c r="C28" s="64" t="s">
        <v>69</v>
      </c>
      <c r="D28" s="63" t="s">
        <v>30</v>
      </c>
      <c r="E28" s="50">
        <v>1.92</v>
      </c>
      <c r="F28" s="51" t="s">
        <v>70</v>
      </c>
      <c r="G28" s="52" t="s">
        <v>71</v>
      </c>
      <c r="H28" s="53" t="s">
        <v>45</v>
      </c>
      <c r="I28" s="165" t="s">
        <v>45</v>
      </c>
      <c r="J28" s="165"/>
      <c r="K28" s="165" t="s">
        <v>45</v>
      </c>
      <c r="L28" s="165"/>
      <c r="M28" s="165" t="s">
        <v>45</v>
      </c>
      <c r="N28" s="165"/>
      <c r="O28" s="165" t="s">
        <v>45</v>
      </c>
      <c r="P28" s="165"/>
      <c r="Q28" s="165" t="s">
        <v>45</v>
      </c>
      <c r="R28" s="165"/>
      <c r="S28" s="165" t="s">
        <v>45</v>
      </c>
      <c r="T28" s="165"/>
      <c r="U28" s="165" t="s">
        <v>45</v>
      </c>
      <c r="V28" s="165"/>
      <c r="W28" s="165" t="s">
        <v>45</v>
      </c>
      <c r="X28" s="165"/>
      <c r="AA28" s="55">
        <f>E28/25.4</f>
        <v>7.5590551181102361E-2</v>
      </c>
      <c r="AB28" s="46">
        <v>28</v>
      </c>
    </row>
    <row r="29" spans="1:28" s="18" customFormat="1" ht="20.100000000000001" customHeight="1">
      <c r="A29" s="166"/>
      <c r="B29" s="167"/>
      <c r="C29" s="64" t="s">
        <v>69</v>
      </c>
      <c r="D29" s="63" t="s">
        <v>30</v>
      </c>
      <c r="E29" s="50">
        <v>2.0099999999999998</v>
      </c>
      <c r="F29" s="51" t="s">
        <v>70</v>
      </c>
      <c r="G29" s="52" t="s">
        <v>71</v>
      </c>
      <c r="H29" s="53" t="s">
        <v>46</v>
      </c>
      <c r="I29" s="165" t="s">
        <v>107</v>
      </c>
      <c r="J29" s="165"/>
      <c r="K29" s="165" t="s">
        <v>107</v>
      </c>
      <c r="L29" s="165"/>
      <c r="M29" s="165" t="s">
        <v>107</v>
      </c>
      <c r="N29" s="165"/>
      <c r="O29" s="165" t="s">
        <v>107</v>
      </c>
      <c r="P29" s="165"/>
      <c r="Q29" s="165" t="s">
        <v>107</v>
      </c>
      <c r="R29" s="165"/>
      <c r="S29" s="165" t="s">
        <v>107</v>
      </c>
      <c r="T29" s="165"/>
      <c r="U29" s="165" t="s">
        <v>107</v>
      </c>
      <c r="V29" s="165"/>
      <c r="W29" s="165" t="s">
        <v>107</v>
      </c>
      <c r="X29" s="165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>
      <c r="A30" s="146" t="s">
        <v>72</v>
      </c>
      <c r="B30" s="146"/>
      <c r="C30" s="148" t="s">
        <v>68</v>
      </c>
      <c r="D30" s="153" t="s">
        <v>30</v>
      </c>
      <c r="E30" s="161">
        <v>8.2000000000000003E-2</v>
      </c>
      <c r="F30" s="162"/>
      <c r="G30" s="42" t="s">
        <v>61</v>
      </c>
      <c r="H30" s="48">
        <v>2E-3</v>
      </c>
      <c r="I30" s="164">
        <v>8.2400000000000001E-2</v>
      </c>
      <c r="J30" s="164"/>
      <c r="K30" s="164">
        <v>8.2600000000000007E-2</v>
      </c>
      <c r="L30" s="164"/>
      <c r="M30" s="164">
        <v>8.2400000000000001E-2</v>
      </c>
      <c r="N30" s="164"/>
      <c r="O30" s="164">
        <v>8.2699999999999996E-2</v>
      </c>
      <c r="P30" s="164"/>
      <c r="Q30" s="164">
        <v>8.2500000000000004E-2</v>
      </c>
      <c r="R30" s="164"/>
      <c r="S30" s="164">
        <v>8.2400000000000001E-2</v>
      </c>
      <c r="T30" s="164"/>
      <c r="U30" s="164">
        <v>8.2500000000000004E-2</v>
      </c>
      <c r="V30" s="164"/>
      <c r="W30" s="164">
        <v>8.2500000000000004E-2</v>
      </c>
      <c r="X30" s="164"/>
      <c r="AA30" s="54">
        <f>E30+H30</f>
        <v>8.4000000000000005E-2</v>
      </c>
      <c r="AB30" s="46">
        <v>30</v>
      </c>
    </row>
    <row r="31" spans="1:28" s="18" customFormat="1" ht="9.9499999999999993" customHeight="1">
      <c r="A31" s="147"/>
      <c r="B31" s="147"/>
      <c r="C31" s="149"/>
      <c r="D31" s="154"/>
      <c r="E31" s="163"/>
      <c r="F31" s="163"/>
      <c r="G31" s="41" t="s">
        <v>63</v>
      </c>
      <c r="H31" s="49">
        <v>2E-3</v>
      </c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AA31" s="54">
        <f>E30-H31</f>
        <v>0.08</v>
      </c>
      <c r="AB31" s="46">
        <v>31</v>
      </c>
    </row>
    <row r="32" spans="1:28" s="18" customFormat="1" ht="9.9499999999999993" customHeight="1">
      <c r="A32" s="146" t="s">
        <v>32</v>
      </c>
      <c r="B32" s="146"/>
      <c r="C32" s="148" t="s">
        <v>73</v>
      </c>
      <c r="D32" s="153" t="s">
        <v>30</v>
      </c>
      <c r="E32" s="161">
        <v>0.43</v>
      </c>
      <c r="F32" s="162"/>
      <c r="G32" s="42" t="s">
        <v>61</v>
      </c>
      <c r="H32" s="48">
        <v>5.0000000000000001E-3</v>
      </c>
      <c r="I32" s="164">
        <v>0.4335</v>
      </c>
      <c r="J32" s="164"/>
      <c r="K32" s="164">
        <v>0.433</v>
      </c>
      <c r="L32" s="164"/>
      <c r="M32" s="164">
        <v>0.433</v>
      </c>
      <c r="N32" s="164"/>
      <c r="O32" s="164">
        <v>0.4335</v>
      </c>
      <c r="P32" s="164"/>
      <c r="Q32" s="164">
        <v>0.4335</v>
      </c>
      <c r="R32" s="164"/>
      <c r="S32" s="164">
        <v>0.433</v>
      </c>
      <c r="T32" s="164"/>
      <c r="U32" s="164">
        <v>0.433</v>
      </c>
      <c r="V32" s="164"/>
      <c r="W32" s="164">
        <v>0.433</v>
      </c>
      <c r="X32" s="164"/>
      <c r="AA32" s="54">
        <f>E32+H32</f>
        <v>0.435</v>
      </c>
      <c r="AB32" s="46">
        <v>32</v>
      </c>
    </row>
    <row r="33" spans="1:28" s="18" customFormat="1" ht="9.9499999999999993" customHeight="1">
      <c r="A33" s="147"/>
      <c r="B33" s="147"/>
      <c r="C33" s="149"/>
      <c r="D33" s="154"/>
      <c r="E33" s="163"/>
      <c r="F33" s="163"/>
      <c r="G33" s="41" t="s">
        <v>63</v>
      </c>
      <c r="H33" s="49">
        <v>5.0000000000000001E-3</v>
      </c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AA33" s="54">
        <f>E32-H33</f>
        <v>0.42499999999999999</v>
      </c>
      <c r="AB33" s="46">
        <v>33</v>
      </c>
    </row>
    <row r="34" spans="1:28" s="18" customFormat="1" ht="9.9499999999999993" customHeight="1">
      <c r="A34" s="146" t="s">
        <v>74</v>
      </c>
      <c r="B34" s="146"/>
      <c r="C34" s="148" t="s">
        <v>73</v>
      </c>
      <c r="D34" s="153" t="s">
        <v>30</v>
      </c>
      <c r="E34" s="161">
        <v>0.39500000000000002</v>
      </c>
      <c r="F34" s="162"/>
      <c r="G34" s="42" t="s">
        <v>61</v>
      </c>
      <c r="H34" s="48">
        <v>5.0000000000000001E-3</v>
      </c>
      <c r="I34" s="160">
        <v>0.39450000000000002</v>
      </c>
      <c r="J34" s="160"/>
      <c r="K34" s="160">
        <v>0.39450000000000002</v>
      </c>
      <c r="L34" s="160"/>
      <c r="M34" s="160">
        <v>0.39400000000000002</v>
      </c>
      <c r="N34" s="160"/>
      <c r="O34" s="160">
        <v>0.39500000000000002</v>
      </c>
      <c r="P34" s="160"/>
      <c r="Q34" s="160">
        <v>0.39450000000000002</v>
      </c>
      <c r="R34" s="160"/>
      <c r="S34" s="160">
        <v>0.39450000000000002</v>
      </c>
      <c r="T34" s="160"/>
      <c r="U34" s="160">
        <v>0.39450000000000002</v>
      </c>
      <c r="V34" s="160"/>
      <c r="W34" s="160">
        <v>0.39450000000000002</v>
      </c>
      <c r="X34" s="160"/>
      <c r="AA34" s="54">
        <f>E34+H34</f>
        <v>0.4</v>
      </c>
      <c r="AB34" s="46">
        <v>34</v>
      </c>
    </row>
    <row r="35" spans="1:28" s="18" customFormat="1" ht="9.9499999999999993" customHeight="1">
      <c r="A35" s="147"/>
      <c r="B35" s="147"/>
      <c r="C35" s="149"/>
      <c r="D35" s="154"/>
      <c r="E35" s="163"/>
      <c r="F35" s="163"/>
      <c r="G35" s="41" t="s">
        <v>63</v>
      </c>
      <c r="H35" s="49">
        <v>5.0000000000000001E-3</v>
      </c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AA35" s="54">
        <f t="shared" ref="AA35:AA40" si="1">E34-H35</f>
        <v>0.39</v>
      </c>
      <c r="AB35" s="46">
        <v>35</v>
      </c>
    </row>
    <row r="36" spans="1:28" s="19" customFormat="1" ht="9.9499999999999993" customHeight="1">
      <c r="A36" s="146" t="s">
        <v>75</v>
      </c>
      <c r="B36" s="146"/>
      <c r="C36" s="158" t="s">
        <v>76</v>
      </c>
      <c r="D36" s="65" t="s">
        <v>77</v>
      </c>
      <c r="E36" s="43"/>
      <c r="F36" s="43"/>
      <c r="G36" s="43"/>
      <c r="H36" s="29"/>
      <c r="I36" s="130" t="s">
        <v>108</v>
      </c>
      <c r="J36" s="130"/>
      <c r="K36" s="130" t="s">
        <v>108</v>
      </c>
      <c r="L36" s="130"/>
      <c r="M36" s="130" t="s">
        <v>108</v>
      </c>
      <c r="N36" s="130"/>
      <c r="O36" s="130" t="s">
        <v>108</v>
      </c>
      <c r="P36" s="130"/>
      <c r="Q36" s="130" t="s">
        <v>108</v>
      </c>
      <c r="R36" s="130"/>
      <c r="S36" s="130" t="s">
        <v>108</v>
      </c>
      <c r="T36" s="130"/>
      <c r="U36" s="130" t="s">
        <v>108</v>
      </c>
      <c r="V36" s="130"/>
      <c r="W36" s="130" t="s">
        <v>108</v>
      </c>
      <c r="X36" s="130"/>
      <c r="AA36" s="54">
        <f t="shared" si="1"/>
        <v>0</v>
      </c>
      <c r="AB36" s="46">
        <v>36</v>
      </c>
    </row>
    <row r="37" spans="1:28" s="19" customFormat="1" ht="9.9499999999999993" customHeight="1">
      <c r="A37" s="147"/>
      <c r="B37" s="147"/>
      <c r="C37" s="159"/>
      <c r="D37" s="68" t="s">
        <v>78</v>
      </c>
      <c r="E37" s="69"/>
      <c r="F37" s="69"/>
      <c r="G37" s="69"/>
      <c r="H37" s="7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AA37" s="54">
        <f t="shared" si="1"/>
        <v>0</v>
      </c>
      <c r="AB37" s="46">
        <v>37</v>
      </c>
    </row>
    <row r="38" spans="1:28" s="19" customFormat="1" ht="9.9499999999999993" customHeight="1">
      <c r="A38" s="146" t="s">
        <v>79</v>
      </c>
      <c r="B38" s="146"/>
      <c r="C38" s="24" t="s">
        <v>80</v>
      </c>
      <c r="D38" s="47" t="s">
        <v>81</v>
      </c>
      <c r="E38" s="66"/>
      <c r="F38" s="66"/>
      <c r="G38" s="66"/>
      <c r="H38" s="67"/>
      <c r="I38" s="130" t="s">
        <v>45</v>
      </c>
      <c r="J38" s="130"/>
      <c r="K38" s="130" t="s">
        <v>45</v>
      </c>
      <c r="L38" s="130"/>
      <c r="M38" s="130" t="s">
        <v>45</v>
      </c>
      <c r="N38" s="130"/>
      <c r="O38" s="130" t="s">
        <v>45</v>
      </c>
      <c r="P38" s="130"/>
      <c r="Q38" s="130" t="s">
        <v>45</v>
      </c>
      <c r="R38" s="130"/>
      <c r="S38" s="130" t="s">
        <v>45</v>
      </c>
      <c r="T38" s="130"/>
      <c r="U38" s="130" t="s">
        <v>45</v>
      </c>
      <c r="V38" s="130"/>
      <c r="W38" s="130" t="s">
        <v>45</v>
      </c>
      <c r="X38" s="130"/>
      <c r="AA38" s="54">
        <f t="shared" si="1"/>
        <v>0</v>
      </c>
      <c r="AB38" s="46">
        <v>38</v>
      </c>
    </row>
    <row r="39" spans="1:28" s="19" customFormat="1" ht="9.9499999999999993" customHeight="1">
      <c r="A39" s="147"/>
      <c r="B39" s="147"/>
      <c r="C39" s="23" t="s">
        <v>82</v>
      </c>
      <c r="D39" s="68" t="s">
        <v>83</v>
      </c>
      <c r="E39" s="69"/>
      <c r="F39" s="69"/>
      <c r="G39" s="69"/>
      <c r="H39" s="7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AA39" s="54">
        <f t="shared" si="1"/>
        <v>0</v>
      </c>
      <c r="AB39" s="46">
        <v>39</v>
      </c>
    </row>
    <row r="40" spans="1:28" s="19" customFormat="1" ht="9.9499999999999993" customHeight="1">
      <c r="A40" s="146" t="s">
        <v>84</v>
      </c>
      <c r="B40" s="146"/>
      <c r="C40" s="24" t="s">
        <v>85</v>
      </c>
      <c r="D40" s="65" t="s">
        <v>86</v>
      </c>
      <c r="E40" s="44"/>
      <c r="F40" s="44"/>
      <c r="G40" s="44"/>
      <c r="H40" s="30"/>
      <c r="I40" s="130" t="s">
        <v>44</v>
      </c>
      <c r="J40" s="130"/>
      <c r="K40" s="130" t="s">
        <v>44</v>
      </c>
      <c r="L40" s="130"/>
      <c r="M40" s="130" t="s">
        <v>44</v>
      </c>
      <c r="N40" s="130"/>
      <c r="O40" s="130" t="s">
        <v>44</v>
      </c>
      <c r="P40" s="130"/>
      <c r="Q40" s="130" t="s">
        <v>44</v>
      </c>
      <c r="R40" s="130"/>
      <c r="S40" s="130" t="s">
        <v>44</v>
      </c>
      <c r="T40" s="130"/>
      <c r="U40" s="130" t="s">
        <v>44</v>
      </c>
      <c r="V40" s="130"/>
      <c r="W40" s="130" t="s">
        <v>44</v>
      </c>
      <c r="X40" s="130"/>
      <c r="AA40" s="54">
        <f t="shared" si="1"/>
        <v>0</v>
      </c>
      <c r="AB40" s="46">
        <v>40</v>
      </c>
    </row>
    <row r="41" spans="1:28" s="19" customFormat="1" ht="9.9499999999999993" customHeight="1">
      <c r="A41" s="147"/>
      <c r="B41" s="147"/>
      <c r="C41" s="23" t="s">
        <v>82</v>
      </c>
      <c r="D41" s="68" t="s">
        <v>87</v>
      </c>
      <c r="E41" s="45"/>
      <c r="F41" s="45"/>
      <c r="G41" s="45"/>
      <c r="H41" s="31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AA41" s="37"/>
      <c r="AB41" s="46"/>
    </row>
    <row r="42" spans="1:28" s="19" customFormat="1" ht="9.9499999999999993" customHeight="1">
      <c r="A42" s="146" t="s">
        <v>88</v>
      </c>
      <c r="B42" s="146"/>
      <c r="C42" s="24" t="s">
        <v>85</v>
      </c>
      <c r="D42" s="65" t="s">
        <v>89</v>
      </c>
      <c r="E42" s="71"/>
      <c r="F42" s="72"/>
      <c r="G42" s="42"/>
      <c r="H42" s="36"/>
      <c r="I42" s="130" t="s">
        <v>44</v>
      </c>
      <c r="J42" s="130"/>
      <c r="K42" s="130" t="s">
        <v>44</v>
      </c>
      <c r="L42" s="130"/>
      <c r="M42" s="130" t="s">
        <v>44</v>
      </c>
      <c r="N42" s="130"/>
      <c r="O42" s="130" t="s">
        <v>44</v>
      </c>
      <c r="P42" s="130"/>
      <c r="Q42" s="130" t="s">
        <v>44</v>
      </c>
      <c r="R42" s="130"/>
      <c r="S42" s="130" t="s">
        <v>44</v>
      </c>
      <c r="T42" s="130"/>
      <c r="U42" s="130" t="s">
        <v>44</v>
      </c>
      <c r="V42" s="130"/>
      <c r="W42" s="130" t="s">
        <v>44</v>
      </c>
      <c r="X42" s="130"/>
      <c r="AA42" s="37"/>
      <c r="AB42" s="46"/>
    </row>
    <row r="43" spans="1:28" s="19" customFormat="1" ht="9.9499999999999993" customHeight="1">
      <c r="A43" s="147"/>
      <c r="B43" s="147"/>
      <c r="C43" s="23" t="s">
        <v>82</v>
      </c>
      <c r="D43" s="68" t="s">
        <v>90</v>
      </c>
      <c r="E43" s="73"/>
      <c r="F43" s="73"/>
      <c r="G43" s="41"/>
      <c r="H43" s="38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AA43" s="37"/>
      <c r="AB43" s="46"/>
    </row>
    <row r="44" spans="1:28" s="19" customFormat="1" ht="9.9499999999999993" customHeight="1">
      <c r="A44" s="146" t="s">
        <v>91</v>
      </c>
      <c r="B44" s="146"/>
      <c r="C44" s="158" t="s">
        <v>85</v>
      </c>
      <c r="D44" s="65" t="s">
        <v>92</v>
      </c>
      <c r="E44" s="71"/>
      <c r="F44" s="72"/>
      <c r="G44" s="42"/>
      <c r="H44" s="36"/>
      <c r="I44" s="130" t="s">
        <v>44</v>
      </c>
      <c r="J44" s="130"/>
      <c r="K44" s="130" t="s">
        <v>44</v>
      </c>
      <c r="L44" s="130"/>
      <c r="M44" s="130" t="s">
        <v>44</v>
      </c>
      <c r="N44" s="130"/>
      <c r="O44" s="130" t="s">
        <v>44</v>
      </c>
      <c r="P44" s="130"/>
      <c r="Q44" s="130" t="s">
        <v>44</v>
      </c>
      <c r="R44" s="130"/>
      <c r="S44" s="130" t="s">
        <v>44</v>
      </c>
      <c r="T44" s="130"/>
      <c r="U44" s="130" t="s">
        <v>44</v>
      </c>
      <c r="V44" s="130"/>
      <c r="W44" s="130" t="s">
        <v>44</v>
      </c>
      <c r="X44" s="130"/>
      <c r="AA44" s="37"/>
      <c r="AB44" s="46"/>
    </row>
    <row r="45" spans="1:28" s="19" customFormat="1" ht="9.9499999999999993" customHeight="1">
      <c r="A45" s="147"/>
      <c r="B45" s="147"/>
      <c r="C45" s="159"/>
      <c r="D45" s="68" t="s">
        <v>93</v>
      </c>
      <c r="E45" s="73"/>
      <c r="F45" s="73"/>
      <c r="G45" s="41"/>
      <c r="H45" s="38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AA45" s="37"/>
      <c r="AB45" s="46"/>
    </row>
    <row r="46" spans="1:28" s="19" customFormat="1" ht="9.9499999999999993" customHeight="1">
      <c r="A46" s="146" t="s">
        <v>94</v>
      </c>
      <c r="B46" s="146"/>
      <c r="C46" s="158" t="s">
        <v>85</v>
      </c>
      <c r="D46" s="65" t="s">
        <v>95</v>
      </c>
      <c r="E46" s="66"/>
      <c r="F46" s="66"/>
      <c r="G46" s="66"/>
      <c r="H46" s="67"/>
      <c r="I46" s="130" t="s">
        <v>44</v>
      </c>
      <c r="J46" s="130"/>
      <c r="K46" s="130" t="s">
        <v>44</v>
      </c>
      <c r="L46" s="130"/>
      <c r="M46" s="130" t="s">
        <v>44</v>
      </c>
      <c r="N46" s="130"/>
      <c r="O46" s="130" t="s">
        <v>44</v>
      </c>
      <c r="P46" s="130"/>
      <c r="Q46" s="130" t="s">
        <v>44</v>
      </c>
      <c r="R46" s="130"/>
      <c r="S46" s="130" t="s">
        <v>44</v>
      </c>
      <c r="T46" s="130"/>
      <c r="U46" s="130" t="s">
        <v>44</v>
      </c>
      <c r="V46" s="130"/>
      <c r="W46" s="130" t="s">
        <v>44</v>
      </c>
      <c r="X46" s="130"/>
      <c r="AA46" s="37"/>
      <c r="AB46" s="46"/>
    </row>
    <row r="47" spans="1:28" s="19" customFormat="1" ht="9.9499999999999993" customHeight="1">
      <c r="A47" s="147"/>
      <c r="B47" s="147"/>
      <c r="C47" s="159"/>
      <c r="D47" s="68" t="s">
        <v>96</v>
      </c>
      <c r="E47" s="69"/>
      <c r="F47" s="69"/>
      <c r="G47" s="69"/>
      <c r="H47" s="7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AA47" s="37"/>
      <c r="AB47" s="46"/>
    </row>
    <row r="48" spans="1:28" s="19" customFormat="1" ht="9.9499999999999993" customHeight="1">
      <c r="A48" s="146" t="s">
        <v>97</v>
      </c>
      <c r="B48" s="146"/>
      <c r="C48" s="158" t="s">
        <v>85</v>
      </c>
      <c r="D48" s="65" t="s">
        <v>98</v>
      </c>
      <c r="E48" s="66"/>
      <c r="F48" s="66"/>
      <c r="G48" s="66"/>
      <c r="H48" s="67"/>
      <c r="I48" s="130" t="s">
        <v>44</v>
      </c>
      <c r="J48" s="130"/>
      <c r="K48" s="130" t="s">
        <v>44</v>
      </c>
      <c r="L48" s="130"/>
      <c r="M48" s="130" t="s">
        <v>44</v>
      </c>
      <c r="N48" s="130"/>
      <c r="O48" s="130" t="s">
        <v>44</v>
      </c>
      <c r="P48" s="130"/>
      <c r="Q48" s="130" t="s">
        <v>44</v>
      </c>
      <c r="R48" s="130"/>
      <c r="S48" s="130" t="s">
        <v>44</v>
      </c>
      <c r="T48" s="130"/>
      <c r="U48" s="130" t="s">
        <v>44</v>
      </c>
      <c r="V48" s="130"/>
      <c r="W48" s="130" t="s">
        <v>44</v>
      </c>
      <c r="X48" s="130"/>
      <c r="AA48" s="37"/>
      <c r="AB48" s="46"/>
    </row>
    <row r="49" spans="1:28" s="19" customFormat="1" ht="9.9499999999999993" customHeight="1">
      <c r="A49" s="147"/>
      <c r="B49" s="147"/>
      <c r="C49" s="159"/>
      <c r="D49" s="68" t="s">
        <v>99</v>
      </c>
      <c r="E49" s="69"/>
      <c r="F49" s="69"/>
      <c r="G49" s="69"/>
      <c r="H49" s="7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AA49" s="37"/>
      <c r="AB49" s="46"/>
    </row>
    <row r="50" spans="1:28" s="19" customFormat="1" ht="9.9499999999999993" customHeight="1">
      <c r="A50" s="146" t="s">
        <v>100</v>
      </c>
      <c r="B50" s="146"/>
      <c r="C50" s="148" t="s">
        <v>101</v>
      </c>
      <c r="D50" s="65" t="s">
        <v>102</v>
      </c>
      <c r="E50" s="75"/>
      <c r="F50" s="75"/>
      <c r="G50" s="75"/>
      <c r="H50" s="76"/>
      <c r="I50" s="130" t="s">
        <v>44</v>
      </c>
      <c r="J50" s="130"/>
      <c r="K50" s="130" t="s">
        <v>44</v>
      </c>
      <c r="L50" s="130"/>
      <c r="M50" s="130" t="s">
        <v>44</v>
      </c>
      <c r="N50" s="130"/>
      <c r="O50" s="130" t="s">
        <v>44</v>
      </c>
      <c r="P50" s="130"/>
      <c r="Q50" s="130" t="s">
        <v>44</v>
      </c>
      <c r="R50" s="130"/>
      <c r="S50" s="130" t="s">
        <v>44</v>
      </c>
      <c r="T50" s="130"/>
      <c r="U50" s="130" t="s">
        <v>44</v>
      </c>
      <c r="V50" s="130"/>
      <c r="W50" s="130" t="s">
        <v>44</v>
      </c>
      <c r="X50" s="130"/>
      <c r="AA50" s="37"/>
      <c r="AB50" s="46"/>
    </row>
    <row r="51" spans="1:28" s="19" customFormat="1" ht="9.9499999999999993" customHeight="1">
      <c r="A51" s="147"/>
      <c r="B51" s="147"/>
      <c r="C51" s="157"/>
      <c r="D51" s="68" t="s">
        <v>103</v>
      </c>
      <c r="E51" s="77"/>
      <c r="F51" s="77"/>
      <c r="G51" s="77"/>
      <c r="H51" s="78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AA51" s="37"/>
      <c r="AB51" s="46"/>
    </row>
    <row r="52" spans="1:28" s="19" customFormat="1" ht="9.9499999999999993" customHeight="1">
      <c r="A52" s="146"/>
      <c r="B52" s="146"/>
      <c r="C52" s="148"/>
      <c r="D52" s="150"/>
      <c r="E52" s="151"/>
      <c r="F52" s="151"/>
      <c r="G52" s="151"/>
      <c r="H52" s="152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AA52" s="37"/>
      <c r="AB52" s="46"/>
    </row>
    <row r="53" spans="1:28" s="19" customFormat="1" ht="9.9499999999999993" customHeight="1">
      <c r="A53" s="147"/>
      <c r="B53" s="147"/>
      <c r="C53" s="149"/>
      <c r="D53" s="135"/>
      <c r="E53" s="136"/>
      <c r="F53" s="136"/>
      <c r="G53" s="136"/>
      <c r="H53" s="137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AA53" s="37"/>
      <c r="AB53" s="46"/>
    </row>
    <row r="54" spans="1:28" s="19" customFormat="1" ht="9.9499999999999993" customHeight="1">
      <c r="A54" s="146"/>
      <c r="B54" s="146"/>
      <c r="C54" s="148"/>
      <c r="D54" s="153"/>
      <c r="E54" s="144"/>
      <c r="F54" s="155"/>
      <c r="G54" s="42"/>
      <c r="H54" s="36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AA54" s="37"/>
      <c r="AB54" s="46"/>
    </row>
    <row r="55" spans="1:28" s="19" customFormat="1" ht="9.9499999999999993" customHeight="1">
      <c r="A55" s="147"/>
      <c r="B55" s="147"/>
      <c r="C55" s="149"/>
      <c r="D55" s="154"/>
      <c r="E55" s="156"/>
      <c r="F55" s="156"/>
      <c r="G55" s="41"/>
      <c r="H55" s="38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AA55" s="37"/>
      <c r="AB55" s="46"/>
    </row>
    <row r="56" spans="1:28" s="19" customFormat="1" ht="9.9499999999999993" customHeight="1">
      <c r="A56" s="146"/>
      <c r="B56" s="146"/>
      <c r="C56" s="148"/>
      <c r="D56" s="153"/>
      <c r="E56" s="144"/>
      <c r="F56" s="155"/>
      <c r="G56" s="42"/>
      <c r="H56" s="36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AA56" s="37"/>
      <c r="AB56" s="46"/>
    </row>
    <row r="57" spans="1:28" s="19" customFormat="1" ht="9.9499999999999993" customHeight="1">
      <c r="A57" s="147"/>
      <c r="B57" s="147"/>
      <c r="C57" s="149"/>
      <c r="D57" s="154"/>
      <c r="E57" s="156"/>
      <c r="F57" s="156"/>
      <c r="G57" s="41"/>
      <c r="H57" s="38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AA57" s="37"/>
      <c r="AB57" s="46"/>
    </row>
    <row r="58" spans="1:28" s="19" customFormat="1" ht="9.9499999999999993" customHeight="1">
      <c r="A58" s="146"/>
      <c r="B58" s="146"/>
      <c r="C58" s="32"/>
      <c r="D58" s="150"/>
      <c r="E58" s="151"/>
      <c r="F58" s="151"/>
      <c r="G58" s="151"/>
      <c r="H58" s="152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AA58" s="37"/>
      <c r="AB58" s="46"/>
    </row>
    <row r="59" spans="1:28" s="19" customFormat="1" ht="9.9499999999999993" customHeight="1">
      <c r="A59" s="147"/>
      <c r="B59" s="147"/>
      <c r="C59" s="33"/>
      <c r="D59" s="135"/>
      <c r="E59" s="136"/>
      <c r="F59" s="136"/>
      <c r="G59" s="136"/>
      <c r="H59" s="137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AA59" s="37"/>
      <c r="AB59" s="46"/>
    </row>
    <row r="60" spans="1:28" s="19" customFormat="1" ht="9.9499999999999993" customHeight="1">
      <c r="A60" s="146"/>
      <c r="B60" s="146"/>
      <c r="C60" s="148"/>
      <c r="D60" s="150"/>
      <c r="E60" s="151"/>
      <c r="F60" s="151"/>
      <c r="G60" s="151"/>
      <c r="H60" s="152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AA60" s="37"/>
      <c r="AB60" s="46"/>
    </row>
    <row r="61" spans="1:28" s="19" customFormat="1" ht="9.9499999999999993" customHeight="1">
      <c r="A61" s="147"/>
      <c r="B61" s="147"/>
      <c r="C61" s="149"/>
      <c r="D61" s="135"/>
      <c r="E61" s="136"/>
      <c r="F61" s="136"/>
      <c r="G61" s="136"/>
      <c r="H61" s="137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AA61" s="37"/>
      <c r="AB61" s="46"/>
    </row>
    <row r="62" spans="1:28" s="19" customFormat="1" ht="9.9499999999999993" customHeight="1">
      <c r="A62" s="109"/>
      <c r="B62" s="138"/>
      <c r="C62" s="141"/>
      <c r="D62" s="143"/>
      <c r="E62" s="144"/>
      <c r="F62" s="144"/>
      <c r="G62" s="144"/>
      <c r="H62" s="145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AA62" s="37"/>
      <c r="AB62" s="46"/>
    </row>
    <row r="63" spans="1:28" s="19" customFormat="1" ht="9.9499999999999993" customHeight="1" thickBot="1">
      <c r="A63" s="139"/>
      <c r="B63" s="140"/>
      <c r="C63" s="142"/>
      <c r="D63" s="132"/>
      <c r="E63" s="133"/>
      <c r="F63" s="133"/>
      <c r="G63" s="133"/>
      <c r="H63" s="134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AA63" s="37"/>
      <c r="AB63" s="46"/>
    </row>
    <row r="64" spans="1:28" ht="12.75" customHeight="1" thickTop="1">
      <c r="A64" s="116" t="s">
        <v>33</v>
      </c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8"/>
      <c r="Q64" s="119"/>
      <c r="R64" s="120"/>
      <c r="S64" s="123"/>
      <c r="T64" s="124"/>
      <c r="U64" s="119"/>
      <c r="V64" s="120"/>
      <c r="W64" s="119"/>
      <c r="X64" s="120"/>
    </row>
    <row r="65" spans="1:24" ht="9.75" customHeight="1">
      <c r="A65" s="127" t="s">
        <v>34</v>
      </c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9"/>
      <c r="Q65" s="121"/>
      <c r="R65" s="122"/>
      <c r="S65" s="125"/>
      <c r="T65" s="126"/>
      <c r="U65" s="121"/>
      <c r="V65" s="122"/>
      <c r="W65" s="121"/>
      <c r="X65" s="122"/>
    </row>
    <row r="66" spans="1:24" ht="12.75" customHeight="1">
      <c r="A66" s="106" t="s">
        <v>35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8"/>
      <c r="Q66" s="94" t="s">
        <v>104</v>
      </c>
      <c r="R66" s="95"/>
      <c r="S66" s="109" t="s">
        <v>105</v>
      </c>
      <c r="T66" s="110"/>
      <c r="U66" s="94"/>
      <c r="V66" s="95"/>
      <c r="W66" s="94"/>
      <c r="X66" s="95"/>
    </row>
    <row r="67" spans="1:24" ht="9.75" customHeight="1">
      <c r="A67" s="113" t="s">
        <v>36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5"/>
      <c r="Q67" s="96"/>
      <c r="R67" s="97"/>
      <c r="S67" s="111"/>
      <c r="T67" s="112"/>
      <c r="U67" s="96"/>
      <c r="V67" s="97"/>
      <c r="W67" s="96"/>
      <c r="X67" s="97"/>
    </row>
    <row r="68" spans="1:24" ht="12.75" customHeight="1">
      <c r="A68" s="106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94" t="s">
        <v>69</v>
      </c>
      <c r="R68" s="95"/>
      <c r="S68" s="109" t="s">
        <v>37</v>
      </c>
      <c r="T68" s="110"/>
      <c r="U68" s="94"/>
      <c r="V68" s="95"/>
      <c r="W68" s="94"/>
      <c r="X68" s="95"/>
    </row>
    <row r="69" spans="1:24" ht="9.75" customHeight="1">
      <c r="A69" s="113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5"/>
      <c r="Q69" s="96"/>
      <c r="R69" s="97"/>
      <c r="S69" s="111"/>
      <c r="T69" s="112"/>
      <c r="U69" s="96"/>
      <c r="V69" s="97"/>
      <c r="W69" s="96"/>
      <c r="X69" s="97"/>
    </row>
    <row r="70" spans="1:24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94" t="s">
        <v>73</v>
      </c>
      <c r="R70" s="95"/>
      <c r="S70" s="109" t="s">
        <v>38</v>
      </c>
      <c r="T70" s="110"/>
      <c r="U70" s="94"/>
      <c r="V70" s="95"/>
      <c r="W70" s="94"/>
      <c r="X70" s="95"/>
    </row>
    <row r="71" spans="1:24" ht="9.75" customHeight="1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1"/>
      <c r="Q71" s="96"/>
      <c r="R71" s="97"/>
      <c r="S71" s="111"/>
      <c r="T71" s="112"/>
      <c r="U71" s="96"/>
      <c r="V71" s="97"/>
      <c r="W71" s="96"/>
      <c r="X71" s="97"/>
    </row>
    <row r="72" spans="1:24" ht="12.75" customHeight="1">
      <c r="A72" s="91" t="s">
        <v>106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3"/>
      <c r="Q72" s="94" t="s">
        <v>39</v>
      </c>
      <c r="R72" s="95"/>
      <c r="S72" s="102">
        <v>42983</v>
      </c>
      <c r="T72" s="103"/>
      <c r="U72" s="94"/>
      <c r="V72" s="95"/>
      <c r="W72" s="94"/>
      <c r="X72" s="95"/>
    </row>
    <row r="73" spans="1:24" ht="9.75" customHeight="1">
      <c r="A73" s="99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  <c r="Q73" s="96"/>
      <c r="R73" s="97"/>
      <c r="S73" s="104"/>
      <c r="T73" s="105"/>
      <c r="U73" s="96"/>
      <c r="V73" s="97"/>
      <c r="W73" s="96"/>
      <c r="X73" s="97"/>
    </row>
    <row r="74" spans="1:24" ht="12.75" customHeight="1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3"/>
      <c r="Q74" s="94" t="s">
        <v>17</v>
      </c>
      <c r="R74" s="95"/>
      <c r="S74" s="98">
        <v>42285</v>
      </c>
      <c r="T74" s="95"/>
      <c r="U74" s="94"/>
      <c r="V74" s="95"/>
      <c r="W74" s="94"/>
      <c r="X74" s="95"/>
    </row>
    <row r="75" spans="1:24" ht="9.75" customHeight="1">
      <c r="A75" s="99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1"/>
      <c r="Q75" s="96"/>
      <c r="R75" s="97"/>
      <c r="S75" s="96"/>
      <c r="T75" s="97"/>
      <c r="U75" s="96"/>
      <c r="V75" s="97"/>
      <c r="W75" s="96"/>
      <c r="X75" s="97"/>
    </row>
    <row r="76" spans="1:24" ht="13.35" customHeight="1">
      <c r="A76" s="56"/>
      <c r="B76" s="57"/>
      <c r="C76" s="57"/>
      <c r="D76" s="57"/>
      <c r="E76" s="57"/>
      <c r="F76" s="57"/>
      <c r="G76" s="57"/>
      <c r="H76" s="57"/>
      <c r="I76" s="57"/>
      <c r="J76" s="82" t="s">
        <v>40</v>
      </c>
      <c r="K76" s="83"/>
      <c r="L76" s="84" t="s">
        <v>43</v>
      </c>
      <c r="M76" s="84"/>
      <c r="N76" s="84"/>
      <c r="O76" s="84"/>
      <c r="P76" s="85"/>
      <c r="Q76" s="88" t="s">
        <v>18</v>
      </c>
      <c r="R76" s="88"/>
      <c r="S76" s="88" t="s">
        <v>19</v>
      </c>
      <c r="T76" s="88"/>
      <c r="U76" s="88" t="s">
        <v>20</v>
      </c>
      <c r="V76" s="88"/>
      <c r="W76" s="88" t="s">
        <v>22</v>
      </c>
      <c r="X76" s="88"/>
    </row>
    <row r="77" spans="1:24" ht="9" customHeight="1">
      <c r="A77" s="58"/>
      <c r="B77" s="59"/>
      <c r="C77" s="59"/>
      <c r="D77" s="59"/>
      <c r="E77" s="59"/>
      <c r="F77" s="59"/>
      <c r="G77" s="59"/>
      <c r="H77" s="59"/>
      <c r="I77" s="59"/>
      <c r="J77" s="89" t="s">
        <v>41</v>
      </c>
      <c r="K77" s="90"/>
      <c r="L77" s="86"/>
      <c r="M77" s="86"/>
      <c r="N77" s="86"/>
      <c r="O77" s="86"/>
      <c r="P77" s="87"/>
      <c r="Q77" s="79" t="s">
        <v>5</v>
      </c>
      <c r="R77" s="79"/>
      <c r="S77" s="79" t="s">
        <v>10</v>
      </c>
      <c r="T77" s="79"/>
      <c r="U77" s="79" t="s">
        <v>21</v>
      </c>
      <c r="V77" s="79"/>
      <c r="W77" s="79" t="s">
        <v>23</v>
      </c>
      <c r="X77" s="79"/>
    </row>
    <row r="78" spans="1:24" ht="13.5" customHeight="1">
      <c r="A78" s="80" t="s">
        <v>24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</row>
  </sheetData>
  <sheetProtection sheet="1" objects="1" scenarios="1" selectLockedCells="1"/>
  <mergeCells count="312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4:N35"/>
    <mergeCell ref="O34:P35"/>
    <mergeCell ref="Q34:R35"/>
    <mergeCell ref="S34:T35"/>
    <mergeCell ref="U34:V35"/>
    <mergeCell ref="W34:X35"/>
    <mergeCell ref="A34:B35"/>
    <mergeCell ref="C34:C35"/>
    <mergeCell ref="D34:D35"/>
    <mergeCell ref="E34:F35"/>
    <mergeCell ref="I34:J35"/>
    <mergeCell ref="K34:L35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A36:B37"/>
    <mergeCell ref="C36:C37"/>
    <mergeCell ref="I36:J37"/>
    <mergeCell ref="K36:L37"/>
    <mergeCell ref="M36:N37"/>
    <mergeCell ref="O36:P37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C50:C51"/>
    <mergeCell ref="I50:J51"/>
    <mergeCell ref="K50:L51"/>
    <mergeCell ref="M50:N51"/>
    <mergeCell ref="O50:P51"/>
    <mergeCell ref="Q50:R51"/>
    <mergeCell ref="S50:T51"/>
    <mergeCell ref="U50:V51"/>
    <mergeCell ref="W50:X51"/>
    <mergeCell ref="A52:B53"/>
    <mergeCell ref="C52:C53"/>
    <mergeCell ref="D52:H52"/>
    <mergeCell ref="I52:J53"/>
    <mergeCell ref="K52:L53"/>
    <mergeCell ref="M52:N53"/>
    <mergeCell ref="O52:P53"/>
    <mergeCell ref="Q52:R53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A56:B57"/>
    <mergeCell ref="C56:C57"/>
    <mergeCell ref="D56:D57"/>
    <mergeCell ref="E56:F57"/>
    <mergeCell ref="I56:J57"/>
    <mergeCell ref="W56:X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M56:N57"/>
    <mergeCell ref="O56:P57"/>
    <mergeCell ref="Q56:R57"/>
    <mergeCell ref="S56:T57"/>
    <mergeCell ref="U56:V57"/>
    <mergeCell ref="A62:B63"/>
    <mergeCell ref="C62:C63"/>
    <mergeCell ref="D62:H62"/>
    <mergeCell ref="I62:J63"/>
    <mergeCell ref="K62:L63"/>
    <mergeCell ref="M62:N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O62:P63"/>
    <mergeCell ref="Q62:R63"/>
    <mergeCell ref="S62:T63"/>
    <mergeCell ref="U62:V63"/>
    <mergeCell ref="W62:X63"/>
    <mergeCell ref="D63:H63"/>
    <mergeCell ref="S60:T61"/>
    <mergeCell ref="U60:V61"/>
    <mergeCell ref="W60:X61"/>
    <mergeCell ref="D61:H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9" operator="equal">
      <formula>$AA$24</formula>
    </cfRule>
    <cfRule type="cellIs" dxfId="8" priority="10" operator="notEqual">
      <formula>$AB$24</formula>
    </cfRule>
  </conditionalFormatting>
  <conditionalFormatting sqref="I29:X29">
    <cfRule type="cellIs" dxfId="7" priority="7" operator="equal">
      <formula>$AA$25</formula>
    </cfRule>
    <cfRule type="cellIs" dxfId="6" priority="8" operator="notEqual">
      <formula>$AB$25</formula>
    </cfRule>
  </conditionalFormatting>
  <conditionalFormatting sqref="I34:X35">
    <cfRule type="cellIs" dxfId="5" priority="5" operator="greaterThan">
      <formula>$AA$34</formula>
    </cfRule>
    <cfRule type="cellIs" dxfId="4" priority="6" operator="lessThan">
      <formula>$AA$35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 verticalCentered="1"/>
  <pageMargins left="0" right="0" top="0.43307086614173229" bottom="3.937007874015748E-2" header="0.31496062992125984" footer="7.874015748031496E-2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2025-04-16T03:09:10Z</dcterms:modified>
</cp:coreProperties>
</file>