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15" windowWidth="20295" windowHeight="7935" firstSheet="36" activeTab="45"/>
  </bookViews>
  <sheets>
    <sheet name="SETUP" sheetId="2" r:id="rId1"/>
    <sheet name="190605E" sheetId="3" r:id="rId2"/>
    <sheet name="190606D" sheetId="4" r:id="rId3"/>
    <sheet name="190609E" sheetId="5" r:id="rId4"/>
    <sheet name="190610D" sheetId="6" r:id="rId5"/>
    <sheet name="190610E" sheetId="7" r:id="rId6"/>
    <sheet name="190611D" sheetId="8" r:id="rId7"/>
    <sheet name="190611E" sheetId="9" r:id="rId8"/>
    <sheet name="190612D" sheetId="10" r:id="rId9"/>
    <sheet name="190612E" sheetId="11" r:id="rId10"/>
    <sheet name="190613D" sheetId="12" r:id="rId11"/>
    <sheet name="190613E" sheetId="13" r:id="rId12"/>
    <sheet name="190614D" sheetId="14" r:id="rId13"/>
    <sheet name="190616E" sheetId="15" r:id="rId14"/>
    <sheet name="190617D" sheetId="16" r:id="rId15"/>
    <sheet name="190617E" sheetId="17" r:id="rId16"/>
    <sheet name="190618D" sheetId="18" r:id="rId17"/>
    <sheet name="190618E" sheetId="19" r:id="rId18"/>
    <sheet name="190619D" sheetId="20" r:id="rId19"/>
    <sheet name="190619E" sheetId="21" r:id="rId20"/>
    <sheet name="190620D" sheetId="22" r:id="rId21"/>
    <sheet name="190620E" sheetId="23" r:id="rId22"/>
    <sheet name="190621D" sheetId="24" r:id="rId23"/>
    <sheet name="190623E" sheetId="25" r:id="rId24"/>
    <sheet name="190624D" sheetId="26" r:id="rId25"/>
    <sheet name="190624E" sheetId="27" r:id="rId26"/>
    <sheet name="190625D" sheetId="29" r:id="rId27"/>
    <sheet name="190625E" sheetId="30" r:id="rId28"/>
    <sheet name="190626D" sheetId="31" r:id="rId29"/>
    <sheet name="190626E" sheetId="32" r:id="rId30"/>
    <sheet name="190627D" sheetId="33" r:id="rId31"/>
    <sheet name="190627E" sheetId="34" r:id="rId32"/>
    <sheet name="190628D" sheetId="35" r:id="rId33"/>
    <sheet name="190630E" sheetId="36" r:id="rId34"/>
    <sheet name="190701D" sheetId="37" r:id="rId35"/>
    <sheet name="190701E" sheetId="38" r:id="rId36"/>
    <sheet name="190702D" sheetId="39" r:id="rId37"/>
    <sheet name="190702E" sheetId="40" r:id="rId38"/>
    <sheet name="190703D" sheetId="41" r:id="rId39"/>
    <sheet name="190703E" sheetId="46" r:id="rId40"/>
    <sheet name="190704D" sheetId="47" r:id="rId41"/>
    <sheet name="190704E" sheetId="42" r:id="rId42"/>
    <sheet name="190705D" sheetId="43" r:id="rId43"/>
    <sheet name="190707E" sheetId="44" r:id="rId44"/>
    <sheet name="190708D" sheetId="45" r:id="rId45"/>
    <sheet name="190708E" sheetId="48" r:id="rId46"/>
  </sheets>
  <definedNames>
    <definedName name="_xlnm.Print_Area" localSheetId="1">'190605E'!$A$1:$X$80</definedName>
    <definedName name="_xlnm.Print_Area" localSheetId="2">'190606D'!$A$1:$X$80</definedName>
    <definedName name="_xlnm.Print_Area" localSheetId="3">'190609E'!$A$1:$X$80</definedName>
    <definedName name="_xlnm.Print_Area" localSheetId="4">'190610D'!$A$1:$X$80</definedName>
    <definedName name="_xlnm.Print_Area" localSheetId="5">'190610E'!$A$1:$X$80</definedName>
    <definedName name="_xlnm.Print_Area" localSheetId="6">'190611D'!$A$1:$X$80</definedName>
    <definedName name="_xlnm.Print_Area" localSheetId="7">'190611E'!$A$1:$X$80</definedName>
    <definedName name="_xlnm.Print_Area" localSheetId="8">'190612D'!$A$1:$X$80</definedName>
    <definedName name="_xlnm.Print_Area" localSheetId="9">'190612E'!$A$1:$X$80</definedName>
    <definedName name="_xlnm.Print_Area" localSheetId="10">'190613D'!$A$1:$X$80</definedName>
    <definedName name="_xlnm.Print_Area" localSheetId="11">'190613E'!$A$1:$X$80</definedName>
    <definedName name="_xlnm.Print_Area" localSheetId="12">'190614D'!$A$1:$X$80</definedName>
    <definedName name="_xlnm.Print_Area" localSheetId="13">'190616E'!$A$1:$X$80</definedName>
    <definedName name="_xlnm.Print_Area" localSheetId="14">'190617D'!$A$1:$X$80</definedName>
    <definedName name="_xlnm.Print_Area" localSheetId="15">'190617E'!$A$1:$X$80</definedName>
    <definedName name="_xlnm.Print_Area" localSheetId="16">'190618D'!$A$1:$X$80</definedName>
    <definedName name="_xlnm.Print_Area" localSheetId="17">'190618E'!$A$1:$X$80</definedName>
    <definedName name="_xlnm.Print_Area" localSheetId="18">'190619D'!$A$1:$X$80</definedName>
    <definedName name="_xlnm.Print_Area" localSheetId="19">'190619E'!$A$1:$X$80</definedName>
    <definedName name="_xlnm.Print_Area" localSheetId="20">'190620D'!$A$1:$X$80</definedName>
    <definedName name="_xlnm.Print_Area" localSheetId="21">'190620E'!$A$1:$X$80</definedName>
    <definedName name="_xlnm.Print_Area" localSheetId="22">'190621D'!$A$1:$X$80</definedName>
    <definedName name="_xlnm.Print_Area" localSheetId="23">'190623E'!$A$1:$X$80</definedName>
    <definedName name="_xlnm.Print_Area" localSheetId="24">'190624D'!$A$1:$X$80</definedName>
    <definedName name="_xlnm.Print_Area" localSheetId="25">'190624E'!$A$1:$X$80</definedName>
    <definedName name="_xlnm.Print_Area" localSheetId="26">'190625D'!$A$1:$X$80</definedName>
    <definedName name="_xlnm.Print_Area" localSheetId="27">'190625E'!$A$1:$X$80</definedName>
    <definedName name="_xlnm.Print_Area" localSheetId="28">'190626D'!$A$1:$X$80</definedName>
    <definedName name="_xlnm.Print_Area" localSheetId="29">'190626E'!$A$1:$X$80</definedName>
    <definedName name="_xlnm.Print_Area" localSheetId="30">'190627D'!$A$1:$X$80</definedName>
    <definedName name="_xlnm.Print_Area" localSheetId="31">'190627E'!$A$1:$X$80</definedName>
    <definedName name="_xlnm.Print_Area" localSheetId="32">'190628D'!$A$1:$X$80</definedName>
    <definedName name="_xlnm.Print_Area" localSheetId="33">'190630E'!$A$1:$X$80</definedName>
    <definedName name="_xlnm.Print_Area" localSheetId="34">'190701D'!$A$1:$X$80</definedName>
    <definedName name="_xlnm.Print_Area" localSheetId="35">'190701E'!$A$1:$X$80</definedName>
    <definedName name="_xlnm.Print_Area" localSheetId="36">'190702D'!$A$1:$X$80</definedName>
    <definedName name="_xlnm.Print_Area" localSheetId="37">'190702E'!$A$1:$X$80</definedName>
    <definedName name="_xlnm.Print_Area" localSheetId="38">'190703D'!$A$1:$X$80</definedName>
    <definedName name="_xlnm.Print_Area" localSheetId="39">'190703E'!$A$1:$X$80</definedName>
    <definedName name="_xlnm.Print_Area" localSheetId="40">'190704D'!$A$1:$X$80</definedName>
    <definedName name="_xlnm.Print_Area" localSheetId="41">'190704E'!$A$1:$X$80</definedName>
    <definedName name="_xlnm.Print_Area" localSheetId="42">'190705D'!$A$1:$X$80</definedName>
    <definedName name="_xlnm.Print_Area" localSheetId="43">'190707E'!$A$1:$X$80</definedName>
    <definedName name="_xlnm.Print_Area" localSheetId="44">'190708D'!$A$1:$X$80</definedName>
    <definedName name="_xlnm.Print_Area" localSheetId="45">'190708E'!$A$1:$X$80</definedName>
    <definedName name="_xlnm.Print_Area" localSheetId="0">SETUP!$A$1:$X$80</definedName>
  </definedNames>
  <calcPr calcId="144525" iterate="1" iterateCount="1" iterateDelta="0"/>
</workbook>
</file>

<file path=xl/calcChain.xml><?xml version="1.0" encoding="utf-8"?>
<calcChain xmlns="http://schemas.openxmlformats.org/spreadsheetml/2006/main">
  <c r="AA65" i="48" l="1"/>
  <c r="AA64" i="48"/>
  <c r="AA63" i="48"/>
  <c r="AA62" i="48"/>
  <c r="AA61" i="48"/>
  <c r="AA60" i="48"/>
  <c r="AA59" i="48"/>
  <c r="AA58" i="48"/>
  <c r="AA57" i="48"/>
  <c r="AA56" i="48"/>
  <c r="AA55" i="48"/>
  <c r="AA54" i="48"/>
  <c r="AA53" i="48"/>
  <c r="AA52" i="48"/>
  <c r="AA51" i="48"/>
  <c r="AA50" i="48"/>
  <c r="AA49" i="48"/>
  <c r="AA48" i="48"/>
  <c r="AA47" i="48"/>
  <c r="AA46" i="48"/>
  <c r="AA45" i="48"/>
  <c r="AA44" i="48"/>
  <c r="AA43" i="48"/>
  <c r="AA42" i="48"/>
  <c r="AA41" i="48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65" i="47" l="1"/>
  <c r="AA64" i="47"/>
  <c r="AA63" i="47"/>
  <c r="AA62" i="47"/>
  <c r="AA61" i="47"/>
  <c r="AA60" i="47"/>
  <c r="AA59" i="47"/>
  <c r="AA58" i="47"/>
  <c r="AA57" i="47"/>
  <c r="AA56" i="47"/>
  <c r="AA55" i="47"/>
  <c r="AA54" i="47"/>
  <c r="AA53" i="47"/>
  <c r="AA52" i="47"/>
  <c r="AA51" i="47"/>
  <c r="AA50" i="47"/>
  <c r="AA49" i="47"/>
  <c r="AA48" i="47"/>
  <c r="AA47" i="47"/>
  <c r="AA46" i="47"/>
  <c r="AA45" i="47"/>
  <c r="AA44" i="47"/>
  <c r="AA43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65" i="46" l="1"/>
  <c r="AA64" i="46"/>
  <c r="AA63" i="46"/>
  <c r="AA62" i="46"/>
  <c r="AA61" i="46"/>
  <c r="AA60" i="46"/>
  <c r="AA59" i="46"/>
  <c r="AA58" i="46"/>
  <c r="AA57" i="46"/>
  <c r="AA56" i="46"/>
  <c r="AA55" i="46"/>
  <c r="AA54" i="46"/>
  <c r="AA53" i="46"/>
  <c r="AA52" i="46"/>
  <c r="AA51" i="46"/>
  <c r="AA50" i="46"/>
  <c r="AA49" i="46"/>
  <c r="AA48" i="46"/>
  <c r="AA47" i="46"/>
  <c r="AA46" i="46"/>
  <c r="AA45" i="46"/>
  <c r="AA44" i="46"/>
  <c r="AA43" i="46"/>
  <c r="AA42" i="46"/>
  <c r="AA41" i="46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65" i="45" l="1"/>
  <c r="AA64" i="45"/>
  <c r="AA63" i="45"/>
  <c r="AA62" i="45"/>
  <c r="AA61" i="45"/>
  <c r="AA60" i="45"/>
  <c r="AA59" i="45"/>
  <c r="AA58" i="45"/>
  <c r="AA57" i="45"/>
  <c r="AA56" i="45"/>
  <c r="AA55" i="45"/>
  <c r="AA54" i="45"/>
  <c r="AA53" i="45"/>
  <c r="AA52" i="45"/>
  <c r="AA51" i="45"/>
  <c r="AA50" i="45"/>
  <c r="AA49" i="45"/>
  <c r="AA48" i="45"/>
  <c r="AA47" i="45"/>
  <c r="AA46" i="45"/>
  <c r="AA45" i="45"/>
  <c r="AA44" i="45"/>
  <c r="AA43" i="45"/>
  <c r="AA42" i="45"/>
  <c r="AA41" i="45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65" i="44" l="1"/>
  <c r="AA64" i="44"/>
  <c r="AA63" i="44"/>
  <c r="AA62" i="44"/>
  <c r="AA61" i="44"/>
  <c r="AA60" i="44"/>
  <c r="AA59" i="44"/>
  <c r="AA58" i="44"/>
  <c r="AA57" i="44"/>
  <c r="AA56" i="44"/>
  <c r="AA55" i="44"/>
  <c r="AA54" i="44"/>
  <c r="AA53" i="44"/>
  <c r="AA52" i="44"/>
  <c r="AA51" i="44"/>
  <c r="AA50" i="44"/>
  <c r="AA49" i="44"/>
  <c r="AA48" i="44"/>
  <c r="AA47" i="44"/>
  <c r="AA46" i="44"/>
  <c r="AA45" i="44"/>
  <c r="AA44" i="44"/>
  <c r="AA43" i="44"/>
  <c r="AA42" i="44"/>
  <c r="AA41" i="44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65" i="43" l="1"/>
  <c r="AA64" i="43"/>
  <c r="AA63" i="43"/>
  <c r="AA62" i="43"/>
  <c r="AA61" i="43"/>
  <c r="AA60" i="43"/>
  <c r="AA59" i="43"/>
  <c r="AA58" i="43"/>
  <c r="AA57" i="43"/>
  <c r="AA56" i="43"/>
  <c r="AA55" i="43"/>
  <c r="AA54" i="43"/>
  <c r="AA53" i="43"/>
  <c r="AA52" i="43"/>
  <c r="AA51" i="43"/>
  <c r="AA50" i="43"/>
  <c r="AA49" i="43"/>
  <c r="AA48" i="43"/>
  <c r="AA47" i="43"/>
  <c r="AA46" i="43"/>
  <c r="AA45" i="43"/>
  <c r="AA44" i="43"/>
  <c r="AA43" i="43"/>
  <c r="AA42" i="43"/>
  <c r="AA41" i="43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65" i="42" l="1"/>
  <c r="AA64" i="42"/>
  <c r="AA63" i="42"/>
  <c r="AA62" i="42"/>
  <c r="AA61" i="42"/>
  <c r="AA60" i="42"/>
  <c r="AA59" i="42"/>
  <c r="AA58" i="42"/>
  <c r="AA57" i="42"/>
  <c r="AA56" i="42"/>
  <c r="AA55" i="42"/>
  <c r="AA54" i="42"/>
  <c r="AA53" i="42"/>
  <c r="AA52" i="42"/>
  <c r="AA51" i="42"/>
  <c r="AA50" i="42"/>
  <c r="AA49" i="42"/>
  <c r="AA48" i="42"/>
  <c r="AA47" i="42"/>
  <c r="AA46" i="42"/>
  <c r="AA45" i="42"/>
  <c r="AA44" i="42"/>
  <c r="AA43" i="42"/>
  <c r="AA42" i="42"/>
  <c r="AA41" i="42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65" i="41" l="1"/>
  <c r="AA64" i="41"/>
  <c r="AA63" i="41"/>
  <c r="AA62" i="41"/>
  <c r="AA61" i="41"/>
  <c r="AA60" i="41"/>
  <c r="AA59" i="41"/>
  <c r="AA58" i="41"/>
  <c r="AA57" i="41"/>
  <c r="AA56" i="41"/>
  <c r="AA55" i="41"/>
  <c r="AA54" i="41"/>
  <c r="AA53" i="41"/>
  <c r="AA52" i="41"/>
  <c r="AA51" i="41"/>
  <c r="AA50" i="41"/>
  <c r="AA49" i="41"/>
  <c r="AA48" i="41"/>
  <c r="AA47" i="41"/>
  <c r="AA46" i="41"/>
  <c r="AA45" i="41"/>
  <c r="AA44" i="41"/>
  <c r="AA43" i="41"/>
  <c r="AA42" i="41"/>
  <c r="AA41" i="41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65" i="40" l="1"/>
  <c r="AA64" i="40"/>
  <c r="AA63" i="40"/>
  <c r="AA62" i="40"/>
  <c r="AA61" i="40"/>
  <c r="AA60" i="40"/>
  <c r="AA59" i="40"/>
  <c r="AA58" i="40"/>
  <c r="AA57" i="40"/>
  <c r="AA56" i="40"/>
  <c r="AA55" i="40"/>
  <c r="AA54" i="40"/>
  <c r="AA53" i="40"/>
  <c r="AA52" i="40"/>
  <c r="AA51" i="40"/>
  <c r="AA50" i="40"/>
  <c r="AA49" i="40"/>
  <c r="AA48" i="40"/>
  <c r="AA47" i="40"/>
  <c r="AA46" i="40"/>
  <c r="AA45" i="40"/>
  <c r="AA44" i="40"/>
  <c r="AA43" i="40"/>
  <c r="AA42" i="40"/>
  <c r="AA41" i="40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65" i="39" l="1"/>
  <c r="AA64" i="39"/>
  <c r="AA63" i="39"/>
  <c r="AA62" i="39"/>
  <c r="AA61" i="39"/>
  <c r="AA60" i="39"/>
  <c r="AA59" i="39"/>
  <c r="AA58" i="39"/>
  <c r="AA57" i="39"/>
  <c r="AA56" i="39"/>
  <c r="AA55" i="39"/>
  <c r="AA54" i="39"/>
  <c r="AA53" i="39"/>
  <c r="AA52" i="39"/>
  <c r="AA51" i="39"/>
  <c r="AA50" i="39"/>
  <c r="AA49" i="39"/>
  <c r="AA48" i="39"/>
  <c r="AA47" i="39"/>
  <c r="AA46" i="39"/>
  <c r="AA45" i="39"/>
  <c r="AA44" i="39"/>
  <c r="AA43" i="39"/>
  <c r="AA42" i="39"/>
  <c r="AA41" i="39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65" i="38" l="1"/>
  <c r="AA64" i="38"/>
  <c r="AA63" i="38"/>
  <c r="AA62" i="38"/>
  <c r="AA61" i="38"/>
  <c r="AA60" i="38"/>
  <c r="AA59" i="38"/>
  <c r="AA58" i="38"/>
  <c r="AA57" i="38"/>
  <c r="AA56" i="38"/>
  <c r="AA55" i="38"/>
  <c r="AA54" i="38"/>
  <c r="AA53" i="38"/>
  <c r="AA52" i="38"/>
  <c r="AA51" i="38"/>
  <c r="AA50" i="38"/>
  <c r="AA49" i="38"/>
  <c r="AA48" i="38"/>
  <c r="AA47" i="38"/>
  <c r="AA46" i="38"/>
  <c r="AA45" i="38"/>
  <c r="AA44" i="38"/>
  <c r="AA43" i="38"/>
  <c r="AA42" i="38"/>
  <c r="AA41" i="38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65" i="37" l="1"/>
  <c r="AA64" i="37"/>
  <c r="AA63" i="37"/>
  <c r="AA62" i="37"/>
  <c r="AA61" i="37"/>
  <c r="AA60" i="37"/>
  <c r="AA59" i="37"/>
  <c r="AA58" i="37"/>
  <c r="AA57" i="37"/>
  <c r="AA56" i="37"/>
  <c r="AA55" i="37"/>
  <c r="AA54" i="37"/>
  <c r="AA53" i="37"/>
  <c r="AA52" i="37"/>
  <c r="AA51" i="37"/>
  <c r="AA50" i="37"/>
  <c r="AA49" i="37"/>
  <c r="AA48" i="37"/>
  <c r="AA47" i="37"/>
  <c r="AA46" i="37"/>
  <c r="AA45" i="37"/>
  <c r="AA44" i="37"/>
  <c r="AA43" i="37"/>
  <c r="AA42" i="37"/>
  <c r="AA41" i="37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65" i="36" l="1"/>
  <c r="AA64" i="36"/>
  <c r="AA63" i="36"/>
  <c r="AA62" i="36"/>
  <c r="AA61" i="36"/>
  <c r="AA60" i="36"/>
  <c r="AA59" i="36"/>
  <c r="AA58" i="36"/>
  <c r="AA57" i="36"/>
  <c r="AA56" i="36"/>
  <c r="AA55" i="36"/>
  <c r="AA54" i="36"/>
  <c r="AA53" i="36"/>
  <c r="AA52" i="36"/>
  <c r="AA51" i="36"/>
  <c r="AA50" i="36"/>
  <c r="AA49" i="36"/>
  <c r="AA48" i="36"/>
  <c r="AA47" i="36"/>
  <c r="AA46" i="36"/>
  <c r="AA45" i="36"/>
  <c r="AA44" i="36"/>
  <c r="AA43" i="36"/>
  <c r="AA42" i="36"/>
  <c r="AA41" i="36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65" i="35" l="1"/>
  <c r="AA64" i="35"/>
  <c r="AA63" i="35"/>
  <c r="AA62" i="35"/>
  <c r="AA61" i="35"/>
  <c r="AA60" i="35"/>
  <c r="AA59" i="35"/>
  <c r="AA58" i="35"/>
  <c r="AA57" i="35"/>
  <c r="AA56" i="35"/>
  <c r="AA55" i="35"/>
  <c r="AA54" i="35"/>
  <c r="AA53" i="35"/>
  <c r="AA52" i="35"/>
  <c r="AA51" i="35"/>
  <c r="AA50" i="35"/>
  <c r="AA49" i="35"/>
  <c r="AA48" i="35"/>
  <c r="AA47" i="35"/>
  <c r="AA46" i="35"/>
  <c r="AA45" i="35"/>
  <c r="AA44" i="35"/>
  <c r="AA43" i="35"/>
  <c r="AA42" i="35"/>
  <c r="AA41" i="35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65" i="34" l="1"/>
  <c r="AA64" i="34"/>
  <c r="AA63" i="34"/>
  <c r="AA62" i="34"/>
  <c r="AA61" i="34"/>
  <c r="AA60" i="34"/>
  <c r="AA59" i="34"/>
  <c r="AA58" i="34"/>
  <c r="AA57" i="34"/>
  <c r="AA56" i="34"/>
  <c r="AA55" i="34"/>
  <c r="AA54" i="34"/>
  <c r="AA53" i="34"/>
  <c r="AA52" i="34"/>
  <c r="AA51" i="34"/>
  <c r="AA50" i="34"/>
  <c r="AA49" i="34"/>
  <c r="AA48" i="34"/>
  <c r="AA47" i="34"/>
  <c r="AA46" i="34"/>
  <c r="AA45" i="34"/>
  <c r="AA44" i="34"/>
  <c r="AA43" i="34"/>
  <c r="AA42" i="34"/>
  <c r="AA41" i="34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65" i="33" l="1"/>
  <c r="AA64" i="33"/>
  <c r="AA63" i="33"/>
  <c r="AA62" i="33"/>
  <c r="AA61" i="33"/>
  <c r="AA60" i="33"/>
  <c r="AA59" i="33"/>
  <c r="AA58" i="33"/>
  <c r="AA57" i="33"/>
  <c r="AA56" i="33"/>
  <c r="AA55" i="33"/>
  <c r="AA54" i="33"/>
  <c r="AA53" i="33"/>
  <c r="AA52" i="33"/>
  <c r="AA51" i="33"/>
  <c r="AA50" i="33"/>
  <c r="AA49" i="33"/>
  <c r="AA48" i="33"/>
  <c r="AA47" i="33"/>
  <c r="AA46" i="33"/>
  <c r="AA45" i="33"/>
  <c r="AA44" i="33"/>
  <c r="AA43" i="33"/>
  <c r="AA42" i="33"/>
  <c r="AA41" i="33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65" i="32" l="1"/>
  <c r="AA64" i="32"/>
  <c r="AA63" i="32"/>
  <c r="AA62" i="32"/>
  <c r="AA61" i="32"/>
  <c r="AA60" i="32"/>
  <c r="AA59" i="32"/>
  <c r="AA58" i="32"/>
  <c r="AA57" i="32"/>
  <c r="AA56" i="32"/>
  <c r="AA55" i="32"/>
  <c r="AA54" i="32"/>
  <c r="AA53" i="32"/>
  <c r="AA52" i="32"/>
  <c r="AA51" i="32"/>
  <c r="AA50" i="32"/>
  <c r="AA49" i="32"/>
  <c r="AA48" i="32"/>
  <c r="AA47" i="32"/>
  <c r="AA46" i="32"/>
  <c r="AA45" i="32"/>
  <c r="AA44" i="32"/>
  <c r="AA43" i="32"/>
  <c r="AA42" i="32"/>
  <c r="AA41" i="32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65" i="31" l="1"/>
  <c r="AA64" i="31"/>
  <c r="AA63" i="31"/>
  <c r="AA62" i="31"/>
  <c r="AA61" i="31"/>
  <c r="AA60" i="31"/>
  <c r="AA59" i="31"/>
  <c r="AA58" i="31"/>
  <c r="AA57" i="31"/>
  <c r="AA56" i="31"/>
  <c r="AA55" i="31"/>
  <c r="AA54" i="31"/>
  <c r="AA53" i="31"/>
  <c r="AA52" i="31"/>
  <c r="AA51" i="31"/>
  <c r="AA50" i="31"/>
  <c r="AA49" i="31"/>
  <c r="AA48" i="31"/>
  <c r="AA47" i="31"/>
  <c r="AA46" i="31"/>
  <c r="AA45" i="31"/>
  <c r="AA44" i="31"/>
  <c r="AA43" i="31"/>
  <c r="AA42" i="31"/>
  <c r="AA41" i="31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65" i="30" l="1"/>
  <c r="AA64" i="30"/>
  <c r="AA63" i="30"/>
  <c r="AA62" i="30"/>
  <c r="AA61" i="30"/>
  <c r="AA60" i="30"/>
  <c r="AA59" i="30"/>
  <c r="AA58" i="30"/>
  <c r="AA57" i="30"/>
  <c r="AA56" i="30"/>
  <c r="AA55" i="30"/>
  <c r="AA54" i="30"/>
  <c r="AA53" i="30"/>
  <c r="AA52" i="30"/>
  <c r="AA51" i="30"/>
  <c r="AA50" i="30"/>
  <c r="AA49" i="30"/>
  <c r="AA48" i="30"/>
  <c r="AA47" i="30"/>
  <c r="AA46" i="30"/>
  <c r="AA45" i="30"/>
  <c r="AA44" i="30"/>
  <c r="AA43" i="30"/>
  <c r="AA42" i="30"/>
  <c r="AA41" i="30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65" i="29" l="1"/>
  <c r="AA64" i="29"/>
  <c r="AA63" i="29"/>
  <c r="AA62" i="29"/>
  <c r="AA61" i="29"/>
  <c r="AA60" i="29"/>
  <c r="AA59" i="29"/>
  <c r="AA58" i="29"/>
  <c r="AA57" i="29"/>
  <c r="AA56" i="29"/>
  <c r="AA55" i="29"/>
  <c r="AA54" i="29"/>
  <c r="AA53" i="29"/>
  <c r="AA52" i="29"/>
  <c r="AA51" i="29"/>
  <c r="AA50" i="29"/>
  <c r="AA49" i="29"/>
  <c r="AA48" i="29"/>
  <c r="AA47" i="29"/>
  <c r="AA46" i="29"/>
  <c r="AA45" i="29"/>
  <c r="AA44" i="29"/>
  <c r="AA43" i="29"/>
  <c r="AA42" i="29"/>
  <c r="AA41" i="29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65" i="27" l="1"/>
  <c r="AA64" i="27"/>
  <c r="AA63" i="27"/>
  <c r="AA62" i="27"/>
  <c r="AA61" i="27"/>
  <c r="AA60" i="27"/>
  <c r="AA59" i="27"/>
  <c r="AA58" i="27"/>
  <c r="AA57" i="27"/>
  <c r="AA56" i="27"/>
  <c r="AA55" i="27"/>
  <c r="AA54" i="27"/>
  <c r="AA53" i="27"/>
  <c r="AA52" i="27"/>
  <c r="AA51" i="27"/>
  <c r="AA50" i="27"/>
  <c r="AA49" i="27"/>
  <c r="AA48" i="27"/>
  <c r="AA47" i="27"/>
  <c r="AA46" i="27"/>
  <c r="AA45" i="27"/>
  <c r="AA44" i="27"/>
  <c r="AA43" i="27"/>
  <c r="AA42" i="27"/>
  <c r="AA41" i="27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65" i="26" l="1"/>
  <c r="AA64" i="26"/>
  <c r="AA63" i="26"/>
  <c r="AA62" i="26"/>
  <c r="AA61" i="26"/>
  <c r="AA60" i="26"/>
  <c r="AA59" i="26"/>
  <c r="AA58" i="26"/>
  <c r="AA57" i="26"/>
  <c r="AA56" i="26"/>
  <c r="AA55" i="26"/>
  <c r="AA54" i="26"/>
  <c r="AA53" i="26"/>
  <c r="AA52" i="26"/>
  <c r="AA51" i="26"/>
  <c r="AA50" i="26"/>
  <c r="AA49" i="26"/>
  <c r="AA48" i="26"/>
  <c r="AA47" i="26"/>
  <c r="AA46" i="26"/>
  <c r="AA45" i="26"/>
  <c r="AA44" i="26"/>
  <c r="AA43" i="26"/>
  <c r="AA42" i="26"/>
  <c r="AA41" i="26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65" i="25" l="1"/>
  <c r="AA64" i="25"/>
  <c r="AA63" i="25"/>
  <c r="AA62" i="25"/>
  <c r="AA61" i="25"/>
  <c r="AA60" i="25"/>
  <c r="AA59" i="25"/>
  <c r="AA58" i="25"/>
  <c r="AA57" i="25"/>
  <c r="AA56" i="25"/>
  <c r="AA55" i="25"/>
  <c r="AA54" i="25"/>
  <c r="AA53" i="25"/>
  <c r="AA52" i="25"/>
  <c r="AA51" i="25"/>
  <c r="AA50" i="25"/>
  <c r="AA49" i="25"/>
  <c r="AA48" i="25"/>
  <c r="AA47" i="25"/>
  <c r="AA46" i="25"/>
  <c r="AA45" i="25"/>
  <c r="AA44" i="25"/>
  <c r="AA43" i="25"/>
  <c r="AA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65" i="24" l="1"/>
  <c r="AA64" i="24"/>
  <c r="AA63" i="24"/>
  <c r="AA62" i="24"/>
  <c r="AA61" i="24"/>
  <c r="AA60" i="24"/>
  <c r="AA59" i="24"/>
  <c r="AA58" i="24"/>
  <c r="AA57" i="24"/>
  <c r="AA56" i="24"/>
  <c r="AA55" i="24"/>
  <c r="AA54" i="24"/>
  <c r="AA53" i="24"/>
  <c r="AA52" i="24"/>
  <c r="AA51" i="24"/>
  <c r="AA50" i="24"/>
  <c r="AA49" i="24"/>
  <c r="AA48" i="24"/>
  <c r="AA47" i="24"/>
  <c r="AA46" i="24"/>
  <c r="AA45" i="24"/>
  <c r="AA44" i="24"/>
  <c r="AA43" i="24"/>
  <c r="AA42" i="24"/>
  <c r="AA41" i="24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65" i="23" l="1"/>
  <c r="AA64" i="23"/>
  <c r="AA63" i="23"/>
  <c r="AA62" i="23"/>
  <c r="AA61" i="23"/>
  <c r="AA60" i="23"/>
  <c r="AA59" i="23"/>
  <c r="AA58" i="23"/>
  <c r="AA57" i="23"/>
  <c r="AA56" i="23"/>
  <c r="AA55" i="23"/>
  <c r="AA54" i="23"/>
  <c r="AA53" i="23"/>
  <c r="AA52" i="23"/>
  <c r="AA51" i="23"/>
  <c r="AA50" i="23"/>
  <c r="AA49" i="23"/>
  <c r="AA48" i="23"/>
  <c r="AA47" i="23"/>
  <c r="AA46" i="23"/>
  <c r="AA45" i="23"/>
  <c r="AA44" i="23"/>
  <c r="AA43" i="23"/>
  <c r="AA42" i="23"/>
  <c r="AA41" i="23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65" i="22" l="1"/>
  <c r="AA64" i="22"/>
  <c r="AA63" i="22"/>
  <c r="AA62" i="22"/>
  <c r="AA61" i="22"/>
  <c r="AA60" i="22"/>
  <c r="AA59" i="22"/>
  <c r="AA58" i="22"/>
  <c r="AA57" i="22"/>
  <c r="AA56" i="22"/>
  <c r="AA55" i="22"/>
  <c r="AA54" i="22"/>
  <c r="AA53" i="22"/>
  <c r="AA52" i="22"/>
  <c r="AA51" i="22"/>
  <c r="AA50" i="22"/>
  <c r="AA49" i="22"/>
  <c r="AA48" i="22"/>
  <c r="AA47" i="22"/>
  <c r="AA46" i="22"/>
  <c r="AA45" i="22"/>
  <c r="AA44" i="22"/>
  <c r="AA43" i="22"/>
  <c r="AA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65" i="21" l="1"/>
  <c r="AA64" i="21"/>
  <c r="AA63" i="21"/>
  <c r="AA62" i="21"/>
  <c r="AA61" i="21"/>
  <c r="AA60" i="21"/>
  <c r="AA59" i="21"/>
  <c r="AA58" i="21"/>
  <c r="AA57" i="21"/>
  <c r="AA56" i="21"/>
  <c r="AA55" i="21"/>
  <c r="AA54" i="21"/>
  <c r="AA53" i="21"/>
  <c r="AA52" i="21"/>
  <c r="AA51" i="21"/>
  <c r="AA50" i="21"/>
  <c r="AA49" i="21"/>
  <c r="AA48" i="21"/>
  <c r="AA47" i="21"/>
  <c r="AA46" i="21"/>
  <c r="AA45" i="21"/>
  <c r="AA44" i="21"/>
  <c r="AA43" i="21"/>
  <c r="AA42" i="21"/>
  <c r="AA41" i="21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65" i="20" l="1"/>
  <c r="AA64" i="20"/>
  <c r="AA63" i="20"/>
  <c r="AA62" i="20"/>
  <c r="AA61" i="20"/>
  <c r="AA60" i="20"/>
  <c r="AA59" i="20"/>
  <c r="AA58" i="20"/>
  <c r="AA57" i="20"/>
  <c r="AA56" i="20"/>
  <c r="AA55" i="20"/>
  <c r="AA54" i="20"/>
  <c r="AA53" i="20"/>
  <c r="AA52" i="20"/>
  <c r="AA51" i="20"/>
  <c r="AA50" i="20"/>
  <c r="AA49" i="20"/>
  <c r="AA48" i="20"/>
  <c r="AA47" i="20"/>
  <c r="AA46" i="20"/>
  <c r="AA45" i="20"/>
  <c r="AA44" i="20"/>
  <c r="AA43" i="20"/>
  <c r="AA42" i="20"/>
  <c r="AA41" i="20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65" i="19" l="1"/>
  <c r="AA64" i="19"/>
  <c r="AA63" i="19"/>
  <c r="AA62" i="19"/>
  <c r="AA6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46" i="19"/>
  <c r="AA45" i="19"/>
  <c r="AA44" i="19"/>
  <c r="AA43" i="19"/>
  <c r="AA42" i="19"/>
  <c r="AA41" i="19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65" i="18" l="1"/>
  <c r="AA64" i="18"/>
  <c r="AA63" i="18"/>
  <c r="AA62" i="18"/>
  <c r="AA61" i="18"/>
  <c r="AA60" i="18"/>
  <c r="AA59" i="18"/>
  <c r="AA58" i="18"/>
  <c r="AA57" i="18"/>
  <c r="AA56" i="18"/>
  <c r="AA55" i="18"/>
  <c r="AA54" i="18"/>
  <c r="AA53" i="18"/>
  <c r="AA52" i="18"/>
  <c r="AA51" i="18"/>
  <c r="AA50" i="18"/>
  <c r="AA49" i="18"/>
  <c r="AA48" i="18"/>
  <c r="AA47" i="18"/>
  <c r="AA46" i="18"/>
  <c r="AA45" i="18"/>
  <c r="AA44" i="18"/>
  <c r="AA43" i="18"/>
  <c r="AA42" i="18"/>
  <c r="AA41" i="18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65" i="17" l="1"/>
  <c r="AA64" i="17"/>
  <c r="AA63" i="17"/>
  <c r="AA62" i="17"/>
  <c r="AA61" i="17"/>
  <c r="AA60" i="17"/>
  <c r="AA59" i="17"/>
  <c r="AA58" i="17"/>
  <c r="AA57" i="17"/>
  <c r="AA56" i="17"/>
  <c r="AA55" i="17"/>
  <c r="AA54" i="17"/>
  <c r="AA53" i="17"/>
  <c r="AA52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65" i="16" l="1"/>
  <c r="AA64" i="16"/>
  <c r="AA63" i="16"/>
  <c r="AA62" i="16"/>
  <c r="AA61" i="16"/>
  <c r="AA60" i="16"/>
  <c r="AA59" i="16"/>
  <c r="AA58" i="16"/>
  <c r="AA57" i="16"/>
  <c r="AA56" i="16"/>
  <c r="AA55" i="16"/>
  <c r="AA54" i="16"/>
  <c r="AA53" i="16"/>
  <c r="AA52" i="16"/>
  <c r="AA51" i="16"/>
  <c r="AA50" i="16"/>
  <c r="AA49" i="16"/>
  <c r="AA48" i="16"/>
  <c r="AA47" i="16"/>
  <c r="AA46" i="16"/>
  <c r="AA45" i="16"/>
  <c r="AA44" i="16"/>
  <c r="AA43" i="16"/>
  <c r="AA42" i="16"/>
  <c r="AA41" i="16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65" i="15" l="1"/>
  <c r="AA64" i="15"/>
  <c r="AA63" i="15"/>
  <c r="AA62" i="15"/>
  <c r="AA61" i="15"/>
  <c r="AA60" i="15"/>
  <c r="AA59" i="15"/>
  <c r="AA58" i="15"/>
  <c r="AA57" i="15"/>
  <c r="AA56" i="15"/>
  <c r="AA55" i="15"/>
  <c r="AA54" i="15"/>
  <c r="AA53" i="15"/>
  <c r="AA52" i="15"/>
  <c r="AA51" i="15"/>
  <c r="AA50" i="15"/>
  <c r="AA49" i="15"/>
  <c r="AA48" i="15"/>
  <c r="AA47" i="15"/>
  <c r="AA46" i="15"/>
  <c r="AA45" i="15"/>
  <c r="AA44" i="15"/>
  <c r="AA43" i="15"/>
  <c r="AA42" i="15"/>
  <c r="AA41" i="15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65" i="14" l="1"/>
  <c r="AA64" i="14"/>
  <c r="AA63" i="14"/>
  <c r="AA62" i="14"/>
  <c r="AA61" i="14"/>
  <c r="AA60" i="14"/>
  <c r="AA59" i="14"/>
  <c r="AA58" i="14"/>
  <c r="AA57" i="14"/>
  <c r="AA56" i="14"/>
  <c r="AA55" i="14"/>
  <c r="AA54" i="14"/>
  <c r="AA53" i="14"/>
  <c r="AA52" i="14"/>
  <c r="AA51" i="14"/>
  <c r="AA50" i="14"/>
  <c r="AA49" i="14"/>
  <c r="AA48" i="14"/>
  <c r="AA47" i="14"/>
  <c r="AA46" i="14"/>
  <c r="AA45" i="14"/>
  <c r="AA44" i="14"/>
  <c r="AA43" i="14"/>
  <c r="AA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65" i="13" l="1"/>
  <c r="AA64" i="13"/>
  <c r="AA63" i="13"/>
  <c r="AA62" i="13"/>
  <c r="AA61" i="13"/>
  <c r="AA60" i="13"/>
  <c r="AA59" i="13"/>
  <c r="AA58" i="13"/>
  <c r="AA57" i="13"/>
  <c r="AA56" i="13"/>
  <c r="AA55" i="13"/>
  <c r="AA54" i="13"/>
  <c r="AA53" i="13"/>
  <c r="AA52" i="13"/>
  <c r="AA51" i="13"/>
  <c r="AA50" i="13"/>
  <c r="AA49" i="13"/>
  <c r="AA48" i="13"/>
  <c r="AA47" i="13"/>
  <c r="AA46" i="13"/>
  <c r="AA45" i="13"/>
  <c r="AA44" i="13"/>
  <c r="AA43" i="13"/>
  <c r="AA42" i="13"/>
  <c r="AA41" i="13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65" i="12" l="1"/>
  <c r="AA64" i="12"/>
  <c r="AA63" i="12"/>
  <c r="AA62" i="12"/>
  <c r="AA61" i="12"/>
  <c r="AA60" i="12"/>
  <c r="AA59" i="12"/>
  <c r="AA58" i="12"/>
  <c r="AA57" i="12"/>
  <c r="AA56" i="12"/>
  <c r="AA55" i="12"/>
  <c r="AA54" i="12"/>
  <c r="AA53" i="12"/>
  <c r="AA52" i="12"/>
  <c r="AA51" i="12"/>
  <c r="AA50" i="12"/>
  <c r="AA49" i="12"/>
  <c r="AA48" i="12"/>
  <c r="AA47" i="12"/>
  <c r="AA46" i="12"/>
  <c r="AA45" i="12"/>
  <c r="AA44" i="12"/>
  <c r="AA43" i="12"/>
  <c r="AA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65" i="11" l="1"/>
  <c r="AA64" i="11"/>
  <c r="AA63" i="11"/>
  <c r="AA62" i="11"/>
  <c r="AA61" i="11"/>
  <c r="AA60" i="11"/>
  <c r="AA59" i="11"/>
  <c r="AA58" i="11"/>
  <c r="AA57" i="11"/>
  <c r="AA56" i="11"/>
  <c r="AA55" i="11"/>
  <c r="AA54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65" i="10" l="1"/>
  <c r="AA64" i="10"/>
  <c r="AA63" i="10"/>
  <c r="AA62" i="10"/>
  <c r="AA61" i="10"/>
  <c r="AA60" i="10"/>
  <c r="AA59" i="10"/>
  <c r="AA58" i="10"/>
  <c r="AA57" i="10"/>
  <c r="AA56" i="10"/>
  <c r="AA55" i="10"/>
  <c r="AA54" i="10"/>
  <c r="AA53" i="10"/>
  <c r="AA52" i="10"/>
  <c r="AA51" i="10"/>
  <c r="AA50" i="10"/>
  <c r="AA49" i="10"/>
  <c r="AA48" i="10"/>
  <c r="AA47" i="10"/>
  <c r="AA46" i="10"/>
  <c r="AA45" i="10"/>
  <c r="AA44" i="10"/>
  <c r="AA43" i="10"/>
  <c r="AA42" i="10"/>
  <c r="AA41" i="10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65" i="9" l="1"/>
  <c r="AA64" i="9"/>
  <c r="AA63" i="9"/>
  <c r="AA62" i="9"/>
  <c r="AA61" i="9"/>
  <c r="AA60" i="9"/>
  <c r="AA59" i="9"/>
  <c r="AA58" i="9"/>
  <c r="AA57" i="9"/>
  <c r="AA56" i="9"/>
  <c r="AA55" i="9"/>
  <c r="AA54" i="9"/>
  <c r="AA53" i="9"/>
  <c r="AA52" i="9"/>
  <c r="AA51" i="9"/>
  <c r="AA50" i="9"/>
  <c r="AA49" i="9"/>
  <c r="AA48" i="9"/>
  <c r="AA47" i="9"/>
  <c r="AA46" i="9"/>
  <c r="AA45" i="9"/>
  <c r="AA44" i="9"/>
  <c r="AA43" i="9"/>
  <c r="AA42" i="9"/>
  <c r="AA41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65" i="8" l="1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65" i="7" l="1"/>
  <c r="AA64" i="7"/>
  <c r="AA63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65" i="6" l="1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65" i="5" l="1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65" i="4" l="1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65" i="3" l="1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33" i="2"/>
  <c r="AA32" i="2"/>
  <c r="AA31" i="2"/>
  <c r="AA30" i="2"/>
  <c r="AA29" i="2"/>
  <c r="AA28" i="2"/>
  <c r="AA27" i="2"/>
  <c r="AA26" i="2"/>
</calcChain>
</file>

<file path=xl/sharedStrings.xml><?xml version="1.0" encoding="utf-8"?>
<sst xmlns="http://schemas.openxmlformats.org/spreadsheetml/2006/main" count="4278" uniqueCount="1654">
  <si>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</si>
  <si>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</si>
  <si>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</si>
  <si>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</si>
  <si>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</si>
  <si>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</si>
  <si>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</si>
  <si>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</si>
  <si>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</si>
  <si>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</si>
  <si>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</si>
  <si>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</si>
  <si>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</si>
  <si>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</si>
  <si>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</si>
  <si>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</si>
  <si>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</si>
  <si>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</si>
  <si>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</si>
  <si>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</si>
  <si>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</si>
  <si>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</si>
  <si>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</si>
  <si>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</si>
  <si>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</si>
  <si>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</si>
  <si>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</si>
  <si>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</si>
  <si>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</si>
  <si>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</si>
  <si>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</si>
  <si>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</si>
  <si>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</si>
  <si>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</si>
  <si>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</si>
  <si>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</si>
  <si>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</si>
  <si>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</si>
  <si>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</si>
  <si>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</si>
  <si>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</si>
  <si>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</si>
  <si>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</si>
  <si>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</si>
  <si>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</si>
  <si>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</si>
  <si>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</si>
  <si>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</si>
  <si>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</si>
  <si>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</si>
  <si>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t>+</t>
    <phoneticPr fontId="10" type="noConversion"/>
  </si>
  <si>
    <t>-</t>
    <phoneticPr fontId="10" type="noConversion"/>
  </si>
  <si>
    <t>Ø</t>
    <phoneticPr fontId="10" type="noConversion"/>
  </si>
  <si>
    <t>R01-012</t>
    <phoneticPr fontId="10" type="noConversion"/>
  </si>
  <si>
    <t>過濾器本體 (BASE, ENTERPRISE FILTER)</t>
    <phoneticPr fontId="10" type="noConversion"/>
  </si>
  <si>
    <t>R1-8176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</si>
  <si>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</si>
  <si>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</si>
  <si>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</si>
  <si>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</si>
  <si>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</si>
  <si>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</si>
  <si>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</si>
  <si>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</si>
  <si>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</si>
  <si>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B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</si>
  <si>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</si>
  <si>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C</t>
    <phoneticPr fontId="10" type="noConversion"/>
  </si>
  <si>
    <t>2019-04-19</t>
    <phoneticPr fontId="10" type="noConversion"/>
  </si>
  <si>
    <t>R1-8176</t>
    <phoneticPr fontId="10" type="noConversion"/>
  </si>
  <si>
    <t>190605D</t>
    <phoneticPr fontId="10" type="noConversion"/>
  </si>
  <si>
    <t>P11</t>
    <phoneticPr fontId="10" type="noConversion"/>
  </si>
  <si>
    <t>(A): M15012， (B):M12002， (C): M15012</t>
    <phoneticPr fontId="10" type="noConversion"/>
  </si>
  <si>
    <t>OK</t>
    <phoneticPr fontId="10" type="noConversion"/>
  </si>
  <si>
    <t>品檢編號：</t>
    <phoneticPr fontId="10" type="noConversion"/>
  </si>
  <si>
    <t>品檢編號：</t>
    <phoneticPr fontId="10" type="noConversion"/>
  </si>
  <si>
    <t>R1-8176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</si>
  <si>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</si>
  <si>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</si>
  <si>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</si>
  <si>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</si>
  <si>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</si>
  <si>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</si>
  <si>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190605E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</si>
  <si>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</si>
  <si>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</si>
  <si>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</si>
  <si>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</si>
  <si>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</si>
  <si>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</si>
  <si>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</si>
  <si>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>量測單位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</si>
  <si>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</si>
  <si>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</si>
  <si>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</si>
  <si>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</si>
  <si>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</si>
  <si>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</si>
  <si>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</si>
  <si>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</si>
  <si>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</si>
  <si>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</si>
  <si>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</si>
  <si>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(B)</t>
    <phoneticPr fontId="10" type="noConversion"/>
  </si>
  <si>
    <t>-</t>
    <phoneticPr fontId="10" type="noConversion"/>
  </si>
  <si>
    <t>(C)</t>
    <phoneticPr fontId="10" type="noConversion"/>
  </si>
  <si>
    <t>C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</si>
  <si>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</si>
  <si>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</si>
  <si>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</si>
  <si>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</si>
  <si>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</si>
  <si>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</si>
  <si>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t>R1-8176</t>
    <phoneticPr fontId="10" type="noConversion"/>
  </si>
  <si>
    <t xml:space="preserve">■ </t>
    <phoneticPr fontId="10" type="noConversion"/>
  </si>
  <si>
    <t>巡檢</t>
    <phoneticPr fontId="10" type="noConversion"/>
  </si>
  <si>
    <t>190606D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</si>
  <si>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</si>
  <si>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</si>
  <si>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</si>
  <si>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(A)</t>
    <phoneticPr fontId="10" type="noConversion"/>
  </si>
  <si>
    <t>A</t>
    <phoneticPr fontId="10" type="noConversion"/>
  </si>
  <si>
    <t>-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</si>
  <si>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</si>
  <si>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</si>
  <si>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</si>
  <si>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</si>
  <si>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</si>
  <si>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</si>
  <si>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 xml:space="preserve">  INSPECTOR</t>
    <phoneticPr fontId="10" type="noConversion"/>
  </si>
  <si>
    <t>(A): M15002， (B):M12002， (C): M15002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</si>
  <si>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</si>
  <si>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</si>
  <si>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</si>
  <si>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</si>
  <si>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</si>
  <si>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</si>
  <si>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</si>
  <si>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</si>
  <si>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</si>
  <si>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190609E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</si>
  <si>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</si>
  <si>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</si>
  <si>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</si>
  <si>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</si>
  <si>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</si>
  <si>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+</t>
    <phoneticPr fontId="10" type="noConversion"/>
  </si>
  <si>
    <t>檢驗項目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</si>
  <si>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</si>
  <si>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</si>
  <si>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</si>
  <si>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</si>
  <si>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</si>
  <si>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C</t>
    <phoneticPr fontId="10" type="noConversion"/>
  </si>
  <si>
    <t>-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</si>
  <si>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</si>
  <si>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</si>
  <si>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</si>
  <si>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</si>
  <si>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</si>
  <si>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</si>
  <si>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</si>
  <si>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</si>
  <si>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</si>
  <si>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</si>
  <si>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</si>
  <si>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</si>
  <si>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</si>
  <si>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</si>
  <si>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</si>
  <si>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</si>
  <si>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</si>
  <si>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</si>
  <si>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</si>
  <si>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</si>
  <si>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</si>
  <si>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</si>
  <si>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190610D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</si>
  <si>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</si>
  <si>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</si>
  <si>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</si>
  <si>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</si>
  <si>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R1-8176</t>
    <phoneticPr fontId="10" type="noConversion"/>
  </si>
  <si>
    <t>量  測  代  碼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</si>
  <si>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</si>
  <si>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</si>
  <si>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</si>
  <si>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</si>
  <si>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</si>
  <si>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</si>
  <si>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</si>
  <si>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A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</si>
  <si>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</si>
  <si>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</si>
  <si>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</si>
  <si>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(C)</t>
    <phoneticPr fontId="10" type="noConversion"/>
  </si>
  <si>
    <t>+</t>
    <phoneticPr fontId="10" type="noConversion"/>
  </si>
  <si>
    <t>(D)</t>
    <phoneticPr fontId="10" type="noConversion"/>
  </si>
  <si>
    <t>F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</si>
  <si>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</si>
  <si>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</si>
  <si>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</si>
  <si>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</si>
  <si>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</si>
  <si>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</si>
  <si>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</si>
  <si>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B</t>
    <phoneticPr fontId="10" type="noConversion"/>
  </si>
  <si>
    <t>190610E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</si>
  <si>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</si>
  <si>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</si>
  <si>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</si>
  <si>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</si>
  <si>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</si>
  <si>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</si>
  <si>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</si>
  <si>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</si>
  <si>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</si>
  <si>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A</t>
    <phoneticPr fontId="10" type="noConversion"/>
  </si>
  <si>
    <t>(C)</t>
    <phoneticPr fontId="10" type="noConversion"/>
  </si>
  <si>
    <t>-</t>
    <phoneticPr fontId="10" type="noConversion"/>
  </si>
  <si>
    <t>(D)</t>
    <phoneticPr fontId="10" type="noConversion"/>
  </si>
  <si>
    <t>F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</si>
  <si>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</si>
  <si>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</si>
  <si>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</si>
  <si>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</si>
  <si>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</si>
  <si>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</si>
  <si>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</si>
  <si>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</si>
  <si>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</si>
  <si>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</si>
  <si>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</si>
  <si>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</si>
  <si>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</si>
  <si>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</si>
  <si>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</si>
  <si>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</si>
  <si>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</si>
  <si>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</si>
  <si>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</si>
  <si>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190611D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</si>
  <si>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</si>
  <si>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</si>
  <si>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</si>
  <si>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</si>
  <si>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</si>
  <si>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</si>
  <si>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</si>
  <si>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</si>
  <si>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</si>
  <si>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</si>
  <si>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</si>
  <si>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</si>
  <si>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</si>
  <si>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</si>
  <si>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</si>
  <si>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</si>
  <si>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</si>
  <si>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</si>
  <si>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</si>
  <si>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</si>
  <si>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</si>
  <si>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</si>
  <si>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</si>
  <si>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</si>
  <si>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</si>
  <si>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</si>
  <si>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</si>
  <si>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</si>
  <si>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</si>
  <si>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</si>
  <si>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</si>
  <si>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</si>
  <si>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</si>
  <si>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</si>
  <si>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</si>
  <si>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</si>
  <si>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</si>
  <si>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190611E</t>
    <phoneticPr fontId="10" type="noConversion"/>
  </si>
  <si>
    <t xml:space="preserve">INSP. MODE                  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</si>
  <si>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</si>
  <si>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</si>
  <si>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</si>
  <si>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</si>
  <si>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</si>
  <si>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</si>
  <si>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</si>
  <si>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</si>
  <si>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</si>
  <si>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</si>
  <si>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</si>
  <si>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</si>
  <si>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</si>
  <si>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</si>
  <si>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</si>
  <si>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(B)</t>
    <phoneticPr fontId="10" type="noConversion"/>
  </si>
  <si>
    <t>A</t>
    <phoneticPr fontId="10" type="noConversion"/>
  </si>
  <si>
    <t>-</t>
    <phoneticPr fontId="10" type="noConversion"/>
  </si>
  <si>
    <t>(C)</t>
    <phoneticPr fontId="10" type="noConversion"/>
  </si>
  <si>
    <t>C</t>
    <phoneticPr fontId="10" type="noConversion"/>
  </si>
  <si>
    <t>+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</si>
  <si>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</si>
  <si>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</si>
  <si>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</si>
  <si>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</si>
  <si>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</si>
  <si>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</si>
  <si>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C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</si>
  <si>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</si>
  <si>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</si>
  <si>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</si>
  <si>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 xml:space="preserve">□ </t>
    <phoneticPr fontId="10" type="noConversion"/>
  </si>
  <si>
    <t xml:space="preserve">■ </t>
    <phoneticPr fontId="10" type="noConversion"/>
  </si>
  <si>
    <t>巡檢</t>
    <phoneticPr fontId="10" type="noConversion"/>
  </si>
  <si>
    <t>190612D</t>
    <phoneticPr fontId="10" type="noConversion"/>
  </si>
  <si>
    <t>■</t>
    <phoneticPr fontId="10" type="noConversion"/>
  </si>
  <si>
    <t>SET UP INSP.</t>
    <phoneticPr fontId="10" type="noConversion"/>
  </si>
  <si>
    <t>PATROL</t>
    <phoneticPr fontId="10" type="noConversion"/>
  </si>
  <si>
    <t>R1-8176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</si>
  <si>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</si>
  <si>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</si>
  <si>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</si>
  <si>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t>Ø</t>
    <phoneticPr fontId="10" type="noConversion"/>
  </si>
  <si>
    <t>(A)</t>
    <phoneticPr fontId="10" type="noConversion"/>
  </si>
  <si>
    <t>-</t>
    <phoneticPr fontId="10" type="noConversion"/>
  </si>
  <si>
    <t>A</t>
    <phoneticPr fontId="10" type="noConversion"/>
  </si>
  <si>
    <t>(C)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</si>
  <si>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</si>
  <si>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</si>
  <si>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</si>
  <si>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</si>
  <si>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</si>
  <si>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</si>
  <si>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</si>
  <si>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</si>
  <si>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</si>
  <si>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</si>
  <si>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</si>
  <si>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</si>
  <si>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</si>
  <si>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</si>
  <si>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</si>
  <si>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</si>
  <si>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</si>
  <si>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</si>
  <si>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</si>
  <si>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190612E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</si>
  <si>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</si>
  <si>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</si>
  <si>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</si>
  <si>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</si>
  <si>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</si>
  <si>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</si>
  <si>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</si>
  <si>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</si>
  <si>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</si>
  <si>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</si>
  <si>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</si>
  <si>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</si>
  <si>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</si>
  <si>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</si>
  <si>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</si>
  <si>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</si>
  <si>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</si>
  <si>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</si>
  <si>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</si>
  <si>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</si>
  <si>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</si>
  <si>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</si>
  <si>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-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</si>
  <si>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</si>
  <si>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</si>
  <si>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</si>
  <si>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</si>
  <si>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</si>
  <si>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</si>
  <si>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</si>
  <si>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</si>
  <si>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</si>
  <si>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</si>
  <si>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</si>
  <si>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</si>
  <si>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</si>
  <si>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</si>
  <si>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</si>
  <si>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190613D</t>
    <phoneticPr fontId="10" type="noConversion"/>
  </si>
  <si>
    <t>R1-8176</t>
    <phoneticPr fontId="10" type="noConversion"/>
  </si>
  <si>
    <t>量  測  代  碼</t>
    <phoneticPr fontId="10" type="noConversion"/>
  </si>
  <si>
    <t>量測單位</t>
    <phoneticPr fontId="10" type="noConversion"/>
  </si>
  <si>
    <t>-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</si>
  <si>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</si>
  <si>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Ø</t>
    <phoneticPr fontId="10" type="noConversion"/>
  </si>
  <si>
    <t>C</t>
    <phoneticPr fontId="10" type="noConversion"/>
  </si>
  <si>
    <t>C</t>
    <phoneticPr fontId="10" type="noConversion"/>
  </si>
  <si>
    <t>F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</si>
  <si>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</si>
  <si>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</si>
  <si>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</si>
  <si>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</si>
  <si>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>2019-04-19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</si>
  <si>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</si>
  <si>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</si>
  <si>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</si>
  <si>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</si>
  <si>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</si>
  <si>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</si>
  <si>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</si>
  <si>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</si>
  <si>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</si>
  <si>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190613E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</si>
  <si>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</si>
  <si>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</si>
  <si>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</si>
  <si>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</si>
  <si>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</si>
  <si>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</si>
  <si>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</si>
  <si>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</si>
  <si>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</si>
  <si>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</si>
  <si>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</si>
  <si>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</si>
  <si>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</si>
  <si>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</si>
  <si>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</si>
  <si>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C</t>
    <phoneticPr fontId="10" type="noConversion"/>
  </si>
  <si>
    <t>Ø</t>
    <phoneticPr fontId="10" type="noConversion"/>
  </si>
  <si>
    <t>-</t>
    <phoneticPr fontId="10" type="noConversion"/>
  </si>
  <si>
    <t>A</t>
    <phoneticPr fontId="10" type="noConversion"/>
  </si>
  <si>
    <t>Ø</t>
    <phoneticPr fontId="10" type="noConversion"/>
  </si>
  <si>
    <t>(C)</t>
    <phoneticPr fontId="10" type="noConversion"/>
  </si>
  <si>
    <t>C</t>
    <phoneticPr fontId="10" type="noConversion"/>
  </si>
  <si>
    <t>+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</si>
  <si>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</si>
  <si>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</si>
  <si>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</si>
  <si>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</si>
  <si>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</si>
  <si>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</si>
  <si>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</si>
  <si>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</si>
  <si>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</si>
  <si>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</si>
  <si>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</si>
  <si>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</si>
  <si>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</si>
  <si>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</si>
  <si>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</si>
  <si>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</si>
  <si>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</si>
  <si>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</si>
  <si>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>SET UP 檢驗</t>
    <phoneticPr fontId="10" type="noConversion"/>
  </si>
  <si>
    <t xml:space="preserve">■ </t>
    <phoneticPr fontId="10" type="noConversion"/>
  </si>
  <si>
    <t>190614D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</si>
  <si>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</si>
  <si>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</si>
  <si>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</si>
  <si>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</si>
  <si>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+</t>
    <phoneticPr fontId="10" type="noConversion"/>
  </si>
  <si>
    <t>-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</si>
  <si>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</si>
  <si>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</si>
  <si>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</si>
  <si>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C</t>
    <phoneticPr fontId="10" type="noConversion"/>
  </si>
  <si>
    <t>Ø</t>
    <phoneticPr fontId="10" type="noConversion"/>
  </si>
  <si>
    <t>(B)</t>
    <phoneticPr fontId="10" type="noConversion"/>
  </si>
  <si>
    <t>(C)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</si>
  <si>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</si>
  <si>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</si>
  <si>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</si>
  <si>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</si>
  <si>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</si>
  <si>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</si>
  <si>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</si>
  <si>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</si>
  <si>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>2019-04-19</t>
    <phoneticPr fontId="10" type="noConversion"/>
  </si>
  <si>
    <t>B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</si>
  <si>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</si>
  <si>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</si>
  <si>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</si>
  <si>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</si>
  <si>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</si>
  <si>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</si>
  <si>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</si>
  <si>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</si>
  <si>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</si>
  <si>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</si>
  <si>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</si>
  <si>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190616E</t>
    <phoneticPr fontId="10" type="noConversion"/>
  </si>
  <si>
    <t>■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</si>
  <si>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</si>
  <si>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</si>
  <si>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</si>
  <si>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</si>
  <si>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</si>
  <si>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</si>
  <si>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</si>
  <si>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</si>
  <si>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</si>
  <si>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</si>
  <si>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</si>
  <si>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</si>
  <si>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</si>
  <si>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</si>
  <si>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</si>
  <si>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</si>
  <si>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</si>
  <si>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</si>
  <si>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</si>
  <si>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</si>
  <si>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</si>
  <si>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+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</si>
  <si>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</si>
  <si>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</si>
  <si>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</si>
  <si>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</si>
  <si>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</si>
  <si>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</si>
  <si>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</si>
  <si>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</si>
  <si>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</si>
  <si>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</si>
  <si>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</si>
  <si>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</si>
  <si>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</si>
  <si>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</si>
  <si>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</si>
  <si>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</si>
  <si>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</si>
  <si>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</si>
  <si>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</si>
  <si>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</si>
  <si>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</si>
  <si>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</si>
  <si>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</si>
  <si>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</si>
  <si>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</si>
  <si>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</si>
  <si>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190617D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</si>
  <si>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</si>
  <si>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</si>
  <si>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</si>
  <si>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</si>
  <si>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</si>
  <si>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</si>
  <si>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</si>
  <si>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</si>
  <si>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</si>
  <si>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</si>
  <si>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</si>
  <si>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</si>
  <si>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</si>
  <si>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</si>
  <si>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</si>
  <si>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</si>
  <si>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</si>
  <si>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</si>
  <si>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</si>
  <si>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+</t>
    <phoneticPr fontId="10" type="noConversion"/>
  </si>
  <si>
    <t>(C)</t>
    <phoneticPr fontId="10" type="noConversion"/>
  </si>
  <si>
    <t>C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</si>
  <si>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</si>
  <si>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</si>
  <si>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</si>
  <si>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</si>
  <si>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</si>
  <si>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</si>
  <si>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</si>
  <si>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</si>
  <si>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</si>
  <si>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</si>
  <si>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</si>
  <si>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</si>
  <si>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</si>
  <si>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</si>
  <si>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</si>
  <si>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</si>
  <si>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</si>
  <si>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</si>
  <si>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</si>
  <si>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</si>
  <si>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</si>
  <si>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</si>
  <si>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</si>
  <si>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</si>
  <si>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</si>
  <si>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190617E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</si>
  <si>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</si>
  <si>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</si>
  <si>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</si>
  <si>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</si>
  <si>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</si>
  <si>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</si>
  <si>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</si>
  <si>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</si>
  <si>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</si>
  <si>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</si>
  <si>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</si>
  <si>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</si>
  <si>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</si>
  <si>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</si>
  <si>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</si>
  <si>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</si>
  <si>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</si>
  <si>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</si>
  <si>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</si>
  <si>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Ø</t>
    <phoneticPr fontId="10" type="noConversion"/>
  </si>
  <si>
    <t>-</t>
    <phoneticPr fontId="10" type="noConversion"/>
  </si>
  <si>
    <t>(C)</t>
    <phoneticPr fontId="10" type="noConversion"/>
  </si>
  <si>
    <t>C</t>
    <phoneticPr fontId="10" type="noConversion"/>
  </si>
  <si>
    <t>-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</si>
  <si>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</si>
  <si>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</si>
  <si>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</si>
  <si>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</si>
  <si>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</si>
  <si>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</si>
  <si>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</si>
  <si>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</si>
  <si>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2019-04-19</t>
    <phoneticPr fontId="10" type="noConversion"/>
  </si>
  <si>
    <t>檢驗員：</t>
    <phoneticPr fontId="10" type="noConversion"/>
  </si>
  <si>
    <t xml:space="preserve">  INSPECTOR</t>
    <phoneticPr fontId="10" type="noConversion"/>
  </si>
  <si>
    <t>SET UP 檢驗</t>
    <phoneticPr fontId="10" type="noConversion"/>
  </si>
  <si>
    <t>190618D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</si>
  <si>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</si>
  <si>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</si>
  <si>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</si>
  <si>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</si>
  <si>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</si>
  <si>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MEASURING TOOLS</t>
    <phoneticPr fontId="10" type="noConversion"/>
  </si>
  <si>
    <t>Ø</t>
    <phoneticPr fontId="10" type="noConversion"/>
  </si>
  <si>
    <t>(C)</t>
    <phoneticPr fontId="10" type="noConversion"/>
  </si>
  <si>
    <t>(D)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</si>
  <si>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</si>
  <si>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</si>
  <si>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</si>
  <si>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</si>
  <si>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</si>
  <si>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B</t>
    <phoneticPr fontId="10" type="noConversion"/>
  </si>
  <si>
    <t xml:space="preserve">  INSPECTOR</t>
    <phoneticPr fontId="10" type="noConversion"/>
  </si>
  <si>
    <t>R1-8176</t>
    <phoneticPr fontId="10" type="noConversion"/>
  </si>
  <si>
    <t>□</t>
    <phoneticPr fontId="10" type="noConversion"/>
  </si>
  <si>
    <t xml:space="preserve">□ </t>
    <phoneticPr fontId="10" type="noConversion"/>
  </si>
  <si>
    <t>SET UP 檢驗</t>
    <phoneticPr fontId="10" type="noConversion"/>
  </si>
  <si>
    <t>190618E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</si>
  <si>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</si>
  <si>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</si>
  <si>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</si>
  <si>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</si>
  <si>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R1-8176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</si>
  <si>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</si>
  <si>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</si>
  <si>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</si>
  <si>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</si>
  <si>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</si>
  <si>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</si>
  <si>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</si>
  <si>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</si>
  <si>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</si>
  <si>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</si>
  <si>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</si>
  <si>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</si>
  <si>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</si>
  <si>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</si>
  <si>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</si>
  <si>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</si>
  <si>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</si>
  <si>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</si>
  <si>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</si>
  <si>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</si>
  <si>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</si>
  <si>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</si>
  <si>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</si>
  <si>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</si>
  <si>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</si>
  <si>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</si>
  <si>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</si>
  <si>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</si>
  <si>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</si>
  <si>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</si>
  <si>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</si>
  <si>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</si>
  <si>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</si>
  <si>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</si>
  <si>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</si>
  <si>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</si>
  <si>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</si>
  <si>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</si>
  <si>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190619D</t>
    <phoneticPr fontId="10" type="noConversion"/>
  </si>
  <si>
    <t>■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</si>
  <si>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</si>
  <si>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</si>
  <si>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</si>
  <si>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</si>
  <si>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</si>
  <si>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</si>
  <si>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</si>
  <si>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</si>
  <si>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</si>
  <si>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</si>
  <si>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</si>
  <si>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</si>
  <si>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</si>
  <si>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</si>
  <si>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</si>
  <si>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</si>
  <si>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</si>
  <si>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</si>
  <si>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</si>
  <si>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</si>
  <si>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</si>
  <si>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</si>
  <si>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</si>
  <si>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</si>
  <si>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</si>
  <si>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</si>
  <si>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</si>
  <si>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</si>
  <si>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</si>
  <si>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</si>
  <si>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</si>
  <si>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</si>
  <si>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</si>
  <si>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</si>
  <si>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</si>
  <si>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過濾器本體 (BASE, ENTERPRISE FILTER)</t>
    <phoneticPr fontId="10" type="noConversion"/>
  </si>
  <si>
    <t>□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</si>
  <si>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</si>
  <si>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</si>
  <si>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</si>
  <si>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</si>
  <si>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</si>
  <si>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 xml:space="preserve">■ </t>
    <phoneticPr fontId="10" type="noConversion"/>
  </si>
  <si>
    <t>巡檢</t>
    <phoneticPr fontId="10" type="noConversion"/>
  </si>
  <si>
    <t>巡檢</t>
    <phoneticPr fontId="10" type="noConversion"/>
  </si>
  <si>
    <t>190619E</t>
    <phoneticPr fontId="10" type="noConversion"/>
  </si>
  <si>
    <t>■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</si>
  <si>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</si>
  <si>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</si>
  <si>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</si>
  <si>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</si>
  <si>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</si>
  <si>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</si>
  <si>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</si>
  <si>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</si>
  <si>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</si>
  <si>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</si>
  <si>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</si>
  <si>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</si>
  <si>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</si>
  <si>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</si>
  <si>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</si>
  <si>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</si>
  <si>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</si>
  <si>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</si>
  <si>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</si>
  <si>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</si>
  <si>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</si>
  <si>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</si>
  <si>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</si>
  <si>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</si>
  <si>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</si>
  <si>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</si>
  <si>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Ø</t>
    <phoneticPr fontId="10" type="noConversion"/>
  </si>
  <si>
    <t>+</t>
    <phoneticPr fontId="10" type="noConversion"/>
  </si>
  <si>
    <t>(C)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</si>
  <si>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</si>
  <si>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</si>
  <si>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</si>
  <si>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</si>
  <si>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</si>
  <si>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</si>
  <si>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</si>
  <si>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</si>
  <si>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</si>
  <si>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</si>
  <si>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</si>
  <si>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</si>
  <si>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</si>
  <si>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</si>
  <si>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</si>
  <si>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</si>
  <si>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</si>
  <si>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</si>
  <si>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</si>
  <si>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</si>
  <si>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</si>
  <si>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</si>
  <si>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</si>
  <si>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</si>
  <si>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</si>
  <si>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190620D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</si>
  <si>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</si>
  <si>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</si>
  <si>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</si>
  <si>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</si>
  <si>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</si>
  <si>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</si>
  <si>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</si>
  <si>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</si>
  <si>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</si>
  <si>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</si>
  <si>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</si>
  <si>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</si>
  <si>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</si>
  <si>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-</t>
    <phoneticPr fontId="10" type="noConversion"/>
  </si>
  <si>
    <t>(C)</t>
    <phoneticPr fontId="10" type="noConversion"/>
  </si>
  <si>
    <t>-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</si>
  <si>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</si>
  <si>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</si>
  <si>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</si>
  <si>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</si>
  <si>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</si>
  <si>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</si>
  <si>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</si>
  <si>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R1-8176</t>
    <phoneticPr fontId="10" type="noConversion"/>
  </si>
  <si>
    <t>過濾器本體 (BASE, ENTERPRISE FILTER)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</si>
  <si>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</si>
  <si>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</si>
  <si>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</si>
  <si>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</si>
  <si>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</si>
  <si>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</si>
  <si>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 xml:space="preserve">■ </t>
    <phoneticPr fontId="10" type="noConversion"/>
  </si>
  <si>
    <t>巡檢</t>
    <phoneticPr fontId="10" type="noConversion"/>
  </si>
  <si>
    <t>190620E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</si>
  <si>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</si>
  <si>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</si>
  <si>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</si>
  <si>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</si>
  <si>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</si>
  <si>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</si>
  <si>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</si>
  <si>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</si>
  <si>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</si>
  <si>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</si>
  <si>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</si>
  <si>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</si>
  <si>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</si>
  <si>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</si>
  <si>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</si>
  <si>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</si>
  <si>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</si>
  <si>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</si>
  <si>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</si>
  <si>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</si>
  <si>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</si>
  <si>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</si>
  <si>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</si>
  <si>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</si>
  <si>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</si>
  <si>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(C)</t>
    <phoneticPr fontId="10" type="noConversion"/>
  </si>
  <si>
    <t>C</t>
    <phoneticPr fontId="10" type="noConversion"/>
  </si>
  <si>
    <t>(D)</t>
    <phoneticPr fontId="10" type="noConversion"/>
  </si>
  <si>
    <t>F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</si>
  <si>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</si>
  <si>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</si>
  <si>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</si>
  <si>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</si>
  <si>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</si>
  <si>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</si>
  <si>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</si>
  <si>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</si>
  <si>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</si>
  <si>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</si>
  <si>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</si>
  <si>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</si>
  <si>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</si>
  <si>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</si>
  <si>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</si>
  <si>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</si>
  <si>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</si>
  <si>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 xml:space="preserve">  INSPECTOR</t>
    <phoneticPr fontId="10" type="noConversion"/>
  </si>
  <si>
    <t>R01-012</t>
    <phoneticPr fontId="10" type="noConversion"/>
  </si>
  <si>
    <t>SET UP 檢驗</t>
    <phoneticPr fontId="10" type="noConversion"/>
  </si>
  <si>
    <t>巡檢</t>
    <phoneticPr fontId="10" type="noConversion"/>
  </si>
  <si>
    <t>190621D</t>
    <phoneticPr fontId="10" type="noConversion"/>
  </si>
  <si>
    <t xml:space="preserve">INSP. MODE                  </t>
    <phoneticPr fontId="10" type="noConversion"/>
  </si>
  <si>
    <t>量  測  代  碼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</si>
  <si>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</si>
  <si>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</si>
  <si>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</si>
  <si>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</si>
  <si>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</si>
  <si>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</si>
  <si>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</si>
  <si>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</si>
  <si>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</si>
  <si>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</si>
  <si>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(D)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</si>
  <si>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</si>
  <si>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</si>
  <si>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</si>
  <si>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</si>
  <si>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</si>
  <si>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</si>
  <si>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</si>
  <si>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</si>
  <si>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</si>
  <si>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</si>
  <si>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190623E</t>
    <phoneticPr fontId="10" type="noConversion"/>
  </si>
  <si>
    <t>■</t>
    <phoneticPr fontId="10" type="noConversion"/>
  </si>
  <si>
    <t>SET UP INSP.</t>
    <phoneticPr fontId="10" type="noConversion"/>
  </si>
  <si>
    <t>PATROL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</si>
  <si>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</si>
  <si>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</si>
  <si>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</si>
  <si>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</si>
  <si>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</si>
  <si>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</si>
  <si>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</si>
  <si>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</si>
  <si>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</si>
  <si>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</si>
  <si>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</si>
  <si>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</si>
  <si>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</si>
  <si>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</si>
  <si>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</si>
  <si>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Ø</t>
    <phoneticPr fontId="10" type="noConversion"/>
  </si>
  <si>
    <t>(C)</t>
    <phoneticPr fontId="10" type="noConversion"/>
  </si>
  <si>
    <t>+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</si>
  <si>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</si>
  <si>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</si>
  <si>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</si>
  <si>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</si>
  <si>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</si>
  <si>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</si>
  <si>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</si>
  <si>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</si>
  <si>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</si>
  <si>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</si>
  <si>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</si>
  <si>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</si>
  <si>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</si>
  <si>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</si>
  <si>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</si>
  <si>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</si>
  <si>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</si>
  <si>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</si>
  <si>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</si>
  <si>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</si>
  <si>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t>190624D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</si>
  <si>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</si>
  <si>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</si>
  <si>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</si>
  <si>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</si>
  <si>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</si>
  <si>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</si>
  <si>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</si>
  <si>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</si>
  <si>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</si>
  <si>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</si>
  <si>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</si>
  <si>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</si>
  <si>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</si>
  <si>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(B)</t>
    <phoneticPr fontId="10" type="noConversion"/>
  </si>
  <si>
    <t>-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</si>
  <si>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</si>
  <si>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</si>
  <si>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</si>
  <si>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t>OK</t>
    <phoneticPr fontId="10" type="noConversion"/>
  </si>
  <si>
    <t>OK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</si>
  <si>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</si>
  <si>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</si>
  <si>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</si>
  <si>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</si>
  <si>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</si>
  <si>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</si>
  <si>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</si>
  <si>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</si>
  <si>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</si>
  <si>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■ </t>
    <phoneticPr fontId="10" type="noConversion"/>
  </si>
  <si>
    <t>190624E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</si>
  <si>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</si>
  <si>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</si>
  <si>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</si>
  <si>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</si>
  <si>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</si>
  <si>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</si>
  <si>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</si>
  <si>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</si>
  <si>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</si>
  <si>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</si>
  <si>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</si>
  <si>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</si>
  <si>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</si>
  <si>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</si>
  <si>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</si>
  <si>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</si>
  <si>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</si>
  <si>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</si>
  <si>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</si>
  <si>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</si>
  <si>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Ø</t>
    <phoneticPr fontId="10" type="noConversion"/>
  </si>
  <si>
    <t>C</t>
    <phoneticPr fontId="10" type="noConversion"/>
  </si>
  <si>
    <t>+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</si>
  <si>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</si>
  <si>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</si>
  <si>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</si>
  <si>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</si>
  <si>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</si>
  <si>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</si>
  <si>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</si>
  <si>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</si>
  <si>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</si>
  <si>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</si>
  <si>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</si>
  <si>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</si>
  <si>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</si>
  <si>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</si>
  <si>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</si>
  <si>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MEASURING TOOLS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</si>
  <si>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</si>
  <si>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</si>
  <si>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</si>
  <si>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</si>
  <si>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</si>
  <si>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□</t>
    <phoneticPr fontId="10" type="noConversion"/>
  </si>
  <si>
    <t xml:space="preserve">□ </t>
    <phoneticPr fontId="10" type="noConversion"/>
  </si>
  <si>
    <t>巡檢</t>
    <phoneticPr fontId="10" type="noConversion"/>
  </si>
  <si>
    <t>190625D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</si>
  <si>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</si>
  <si>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</si>
  <si>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</si>
  <si>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</si>
  <si>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</si>
  <si>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</si>
  <si>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</si>
  <si>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</si>
  <si>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</si>
  <si>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</si>
  <si>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</si>
  <si>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Ø</t>
    <phoneticPr fontId="10" type="noConversion"/>
  </si>
  <si>
    <t>(A)</t>
    <phoneticPr fontId="10" type="noConversion"/>
  </si>
  <si>
    <t>+</t>
    <phoneticPr fontId="10" type="noConversion"/>
  </si>
  <si>
    <t>(B)</t>
    <phoneticPr fontId="10" type="noConversion"/>
  </si>
  <si>
    <t>(C)</t>
    <phoneticPr fontId="10" type="noConversion"/>
  </si>
  <si>
    <t>C</t>
    <phoneticPr fontId="10" type="noConversion"/>
  </si>
  <si>
    <t>(D)</t>
    <phoneticPr fontId="10" type="noConversion"/>
  </si>
  <si>
    <t>F</t>
    <phoneticPr fontId="10" type="noConversion"/>
  </si>
  <si>
    <t>OK</t>
    <phoneticPr fontId="10" type="noConversion"/>
  </si>
  <si>
    <t>OK</t>
    <phoneticPr fontId="10" type="noConversion"/>
  </si>
  <si>
    <t>2019-04-19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</si>
  <si>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</si>
  <si>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</si>
  <si>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</si>
  <si>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</si>
  <si>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190625E</t>
    <phoneticPr fontId="10" type="noConversion"/>
  </si>
  <si>
    <t>■</t>
    <phoneticPr fontId="10" type="noConversion"/>
  </si>
  <si>
    <t>SET UP INSP.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</si>
  <si>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</si>
  <si>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</si>
  <si>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</si>
  <si>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</si>
  <si>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</si>
  <si>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</si>
  <si>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</si>
  <si>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Ø</t>
    <phoneticPr fontId="10" type="noConversion"/>
  </si>
  <si>
    <t>(B)</t>
    <phoneticPr fontId="10" type="noConversion"/>
  </si>
  <si>
    <t>+</t>
    <phoneticPr fontId="10" type="noConversion"/>
  </si>
  <si>
    <t>C</t>
    <phoneticPr fontId="10" type="noConversion"/>
  </si>
  <si>
    <t>(D)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</si>
  <si>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</si>
  <si>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</si>
  <si>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</si>
  <si>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</si>
  <si>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2019-04-19</t>
    <phoneticPr fontId="10" type="noConversion"/>
  </si>
  <si>
    <t xml:space="preserve">  INSPECTOR</t>
    <phoneticPr fontId="10" type="noConversion"/>
  </si>
  <si>
    <t>R1-8176</t>
    <phoneticPr fontId="10" type="noConversion"/>
  </si>
  <si>
    <t>過濾器本體 (BASE, ENTERPRISE FILTER)</t>
    <phoneticPr fontId="10" type="noConversion"/>
  </si>
  <si>
    <t>190626D</t>
    <phoneticPr fontId="10" type="noConversion"/>
  </si>
  <si>
    <t>■</t>
    <phoneticPr fontId="10" type="noConversion"/>
  </si>
  <si>
    <t>SET UP INSP.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</si>
  <si>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</si>
  <si>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</si>
  <si>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</si>
  <si>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</si>
  <si>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</si>
  <si>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</si>
  <si>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</si>
  <si>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</si>
  <si>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A</t>
    <phoneticPr fontId="10" type="noConversion"/>
  </si>
  <si>
    <t>+</t>
    <phoneticPr fontId="10" type="noConversion"/>
  </si>
  <si>
    <t>-</t>
    <phoneticPr fontId="10" type="noConversion"/>
  </si>
  <si>
    <t>(C)</t>
    <phoneticPr fontId="10" type="noConversion"/>
  </si>
  <si>
    <t>C</t>
    <phoneticPr fontId="10" type="noConversion"/>
  </si>
  <si>
    <t>(D)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</si>
  <si>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</si>
  <si>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</si>
  <si>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</si>
  <si>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</si>
  <si>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</si>
  <si>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2.各項不良之缺點, 請參考缺點代碼表(M10001-R01)。</t>
    <phoneticPr fontId="10" type="noConversion"/>
  </si>
  <si>
    <t>190626E</t>
    <phoneticPr fontId="10" type="noConversion"/>
  </si>
  <si>
    <t>C</t>
    <phoneticPr fontId="10" type="noConversion"/>
  </si>
  <si>
    <t>+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</si>
  <si>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</si>
  <si>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</si>
  <si>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</si>
  <si>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</si>
  <si>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</si>
  <si>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</si>
  <si>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</si>
  <si>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</si>
  <si>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</si>
  <si>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</si>
  <si>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</si>
  <si>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</si>
  <si>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</si>
  <si>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</si>
  <si>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</si>
  <si>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</si>
  <si>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190627D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</si>
  <si>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</si>
  <si>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</si>
  <si>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</si>
  <si>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</si>
  <si>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</si>
  <si>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</si>
  <si>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</si>
  <si>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</si>
  <si>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</si>
  <si>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</si>
  <si>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</si>
  <si>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</si>
  <si>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</si>
  <si>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</si>
  <si>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</si>
  <si>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</si>
  <si>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</si>
  <si>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(B)</t>
    <phoneticPr fontId="10" type="noConversion"/>
  </si>
  <si>
    <t>A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</si>
  <si>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</si>
  <si>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</si>
  <si>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</si>
  <si>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(C)</t>
    <phoneticPr fontId="10" type="noConversion"/>
  </si>
  <si>
    <t>C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</si>
  <si>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</si>
  <si>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</si>
  <si>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</si>
  <si>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</si>
  <si>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</si>
  <si>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</si>
  <si>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</si>
  <si>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</si>
  <si>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</si>
  <si>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</si>
  <si>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</si>
  <si>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</si>
  <si>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</si>
  <si>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</si>
  <si>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</si>
  <si>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</si>
  <si>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</si>
  <si>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</si>
  <si>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</si>
  <si>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</si>
  <si>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190627E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</si>
  <si>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</si>
  <si>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</si>
  <si>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</si>
  <si>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</si>
  <si>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</si>
  <si>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</si>
  <si>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</si>
  <si>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</si>
  <si>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</si>
  <si>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</si>
  <si>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</si>
  <si>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</si>
  <si>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</si>
  <si>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</si>
  <si>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</si>
  <si>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</si>
  <si>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</si>
  <si>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</si>
  <si>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</si>
  <si>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Ø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</si>
  <si>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</si>
  <si>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</si>
  <si>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</si>
  <si>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</si>
  <si>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</si>
  <si>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</si>
  <si>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</si>
  <si>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</si>
  <si>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</si>
  <si>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</si>
  <si>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</si>
  <si>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</si>
  <si>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</si>
  <si>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</si>
  <si>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</si>
  <si>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</si>
  <si>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</si>
  <si>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</si>
  <si>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</si>
  <si>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</si>
  <si>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</si>
  <si>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</si>
  <si>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</si>
  <si>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</si>
  <si>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190628D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</si>
  <si>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</si>
  <si>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</si>
  <si>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</si>
  <si>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</si>
  <si>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</si>
  <si>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</si>
  <si>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</si>
  <si>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</si>
  <si>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</si>
  <si>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</si>
  <si>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</si>
  <si>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</si>
  <si>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</si>
  <si>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</si>
  <si>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</si>
  <si>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</si>
  <si>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</si>
  <si>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</si>
  <si>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Ø</t>
    <phoneticPr fontId="10" type="noConversion"/>
  </si>
  <si>
    <t>+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</si>
  <si>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</si>
  <si>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</si>
  <si>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</si>
  <si>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</si>
  <si>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</si>
  <si>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</si>
  <si>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</si>
  <si>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</si>
  <si>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</si>
  <si>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</si>
  <si>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</si>
  <si>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</si>
  <si>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</si>
  <si>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</si>
  <si>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</si>
  <si>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</si>
  <si>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>品檢編號：</t>
    <phoneticPr fontId="10" type="noConversion"/>
  </si>
  <si>
    <t>R01-012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</si>
  <si>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</si>
  <si>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</si>
  <si>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</si>
  <si>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190630E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</si>
  <si>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</si>
  <si>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</si>
  <si>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</si>
  <si>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</si>
  <si>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</si>
  <si>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</si>
  <si>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</si>
  <si>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</si>
  <si>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</si>
  <si>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</si>
  <si>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</si>
  <si>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</si>
  <si>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</si>
  <si>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</si>
  <si>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</si>
  <si>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</si>
  <si>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</si>
  <si>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</si>
  <si>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</si>
  <si>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</si>
  <si>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</si>
  <si>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</si>
  <si>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</si>
  <si>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Ø</t>
    <phoneticPr fontId="10" type="noConversion"/>
  </si>
  <si>
    <t>+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</si>
  <si>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</si>
  <si>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</si>
  <si>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</si>
  <si>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</si>
  <si>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</si>
  <si>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</si>
  <si>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</si>
  <si>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</si>
  <si>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</si>
  <si>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</si>
  <si>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</si>
  <si>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</si>
  <si>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</si>
  <si>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</si>
  <si>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</si>
  <si>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</si>
  <si>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</si>
  <si>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</si>
  <si>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</si>
  <si>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</si>
  <si>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</si>
  <si>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</si>
  <si>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</si>
  <si>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</si>
  <si>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190701D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</si>
  <si>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</si>
  <si>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</si>
  <si>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</si>
  <si>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</si>
  <si>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R1-8176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</si>
  <si>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</si>
  <si>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</si>
  <si>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</si>
  <si>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</si>
  <si>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</si>
  <si>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檢驗項目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</si>
  <si>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</si>
  <si>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(A)</t>
    <phoneticPr fontId="10" type="noConversion"/>
  </si>
  <si>
    <t>C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</si>
  <si>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</si>
  <si>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</si>
  <si>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</si>
  <si>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</si>
  <si>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</si>
  <si>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+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</si>
  <si>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</si>
  <si>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</si>
  <si>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</si>
  <si>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</si>
  <si>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</si>
  <si>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</si>
  <si>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</si>
  <si>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</si>
  <si>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</si>
  <si>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</si>
  <si>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</si>
  <si>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</si>
  <si>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>品檢編號：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</si>
  <si>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</si>
  <si>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</si>
  <si>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</si>
  <si>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</si>
  <si>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</si>
  <si>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190701E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</si>
  <si>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</si>
  <si>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</si>
  <si>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</si>
  <si>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t>R1-8176</t>
    <phoneticPr fontId="10" type="noConversion"/>
  </si>
  <si>
    <t>量  測  代  碼</t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</si>
  <si>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</si>
  <si>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</si>
  <si>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</si>
  <si>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</si>
  <si>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t>Ø</t>
    <phoneticPr fontId="10" type="noConversion"/>
  </si>
  <si>
    <t>(A)</t>
    <phoneticPr fontId="10" type="noConversion"/>
  </si>
  <si>
    <t>Ø</t>
    <phoneticPr fontId="10" type="noConversion"/>
  </si>
  <si>
    <t>+</t>
    <phoneticPr fontId="10" type="noConversion"/>
  </si>
  <si>
    <t>(C)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</si>
  <si>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</si>
  <si>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</si>
  <si>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</si>
  <si>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</si>
  <si>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</si>
  <si>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</si>
  <si>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</si>
  <si>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</si>
  <si>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</si>
  <si>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</si>
  <si>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</si>
  <si>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</si>
  <si>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</si>
  <si>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</si>
  <si>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</si>
  <si>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</si>
  <si>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</si>
  <si>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</si>
  <si>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</si>
  <si>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</si>
  <si>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190702D</t>
    <phoneticPr fontId="10" type="noConversion"/>
  </si>
  <si>
    <t>R1-8176</t>
    <phoneticPr fontId="10" type="noConversion"/>
  </si>
  <si>
    <t>-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</si>
  <si>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</si>
  <si>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</si>
  <si>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</si>
  <si>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</si>
  <si>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</si>
  <si>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</si>
  <si>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</si>
  <si>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</si>
  <si>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</si>
  <si>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C</t>
    <phoneticPr fontId="10" type="noConversion"/>
  </si>
  <si>
    <t>2019-04-19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</si>
  <si>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</si>
  <si>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</si>
  <si>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</si>
  <si>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</si>
  <si>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</si>
  <si>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</si>
  <si>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</si>
  <si>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</si>
  <si>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</si>
  <si>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</si>
  <si>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</si>
  <si>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</si>
  <si>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190702E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</si>
  <si>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</si>
  <si>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</si>
  <si>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</si>
  <si>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</si>
  <si>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</si>
  <si>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</si>
  <si>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</si>
  <si>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</si>
  <si>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</si>
  <si>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t>Ø</t>
    <phoneticPr fontId="10" type="noConversion"/>
  </si>
  <si>
    <t>C</t>
    <phoneticPr fontId="10" type="noConversion"/>
  </si>
  <si>
    <t>(B)</t>
    <phoneticPr fontId="10" type="noConversion"/>
  </si>
  <si>
    <t>A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</si>
  <si>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</si>
  <si>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</si>
  <si>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</si>
  <si>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(C)</t>
    <phoneticPr fontId="10" type="noConversion"/>
  </si>
  <si>
    <t>(D)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</si>
  <si>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</si>
  <si>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</si>
  <si>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</si>
  <si>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</si>
  <si>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</si>
  <si>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B</t>
    <phoneticPr fontId="10" type="noConversion"/>
  </si>
  <si>
    <t>R1-8176</t>
    <phoneticPr fontId="10" type="noConversion"/>
  </si>
  <si>
    <t>過濾器本體 (BASE, ENTERPRISE FILTER)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</si>
  <si>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</si>
  <si>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</si>
  <si>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190703D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</si>
  <si>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</si>
  <si>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</si>
  <si>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</si>
  <si>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</si>
  <si>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R1-8176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</si>
  <si>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</si>
  <si>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</si>
  <si>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</si>
  <si>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</si>
  <si>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</si>
  <si>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Ø</t>
    <phoneticPr fontId="10" type="noConversion"/>
  </si>
  <si>
    <t>+</t>
    <phoneticPr fontId="10" type="noConversion"/>
  </si>
  <si>
    <t>A</t>
    <phoneticPr fontId="10" type="noConversion"/>
  </si>
  <si>
    <t>(D)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</si>
  <si>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</si>
  <si>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</si>
  <si>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</si>
  <si>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B</t>
    <phoneticPr fontId="10" type="noConversion"/>
  </si>
  <si>
    <t xml:space="preserve">  INSPECTOR</t>
    <phoneticPr fontId="10" type="noConversion"/>
  </si>
  <si>
    <t>過濾器本體 (BASE, ENTERPRISE FILTER)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</si>
  <si>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</si>
  <si>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</si>
  <si>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</si>
  <si>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</si>
  <si>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190704E</t>
    <phoneticPr fontId="10" type="noConversion"/>
  </si>
  <si>
    <t>PATROL</t>
    <phoneticPr fontId="10" type="noConversion"/>
  </si>
  <si>
    <t>R1-8176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</si>
  <si>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</si>
  <si>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</si>
  <si>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</si>
  <si>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</si>
  <si>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</si>
  <si>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</si>
  <si>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</si>
  <si>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</si>
  <si>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(B)</t>
    <phoneticPr fontId="10" type="noConversion"/>
  </si>
  <si>
    <t>A</t>
    <phoneticPr fontId="10" type="noConversion"/>
  </si>
  <si>
    <t>+</t>
    <phoneticPr fontId="10" type="noConversion"/>
  </si>
  <si>
    <t>-</t>
    <phoneticPr fontId="10" type="noConversion"/>
  </si>
  <si>
    <t>+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</si>
  <si>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</si>
  <si>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</si>
  <si>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</si>
  <si>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</si>
  <si>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</si>
  <si>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</si>
  <si>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</si>
  <si>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B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</si>
  <si>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</si>
  <si>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</si>
  <si>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</si>
  <si>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</si>
  <si>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□</t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</si>
  <si>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</si>
  <si>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</si>
  <si>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</si>
  <si>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190705D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</si>
  <si>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</si>
  <si>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</si>
  <si>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</si>
  <si>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</si>
  <si>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</si>
  <si>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</si>
  <si>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</si>
  <si>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</si>
  <si>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</si>
  <si>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</si>
  <si>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</si>
  <si>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</si>
  <si>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</si>
  <si>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</si>
  <si>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+</t>
    <phoneticPr fontId="10" type="noConversion"/>
  </si>
  <si>
    <t>(C)</t>
    <phoneticPr fontId="10" type="noConversion"/>
  </si>
  <si>
    <t>(D)</t>
    <phoneticPr fontId="10" type="noConversion"/>
  </si>
  <si>
    <t>F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</si>
  <si>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</si>
  <si>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</si>
  <si>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</si>
  <si>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</si>
  <si>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</si>
  <si>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</si>
  <si>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</si>
  <si>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</si>
  <si>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</si>
  <si>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</si>
  <si>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</si>
  <si>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</si>
  <si>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</si>
  <si>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</si>
  <si>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 xml:space="preserve">■ </t>
    <phoneticPr fontId="10" type="noConversion"/>
  </si>
  <si>
    <t>巡檢</t>
    <phoneticPr fontId="10" type="noConversion"/>
  </si>
  <si>
    <t>190707E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</si>
  <si>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</si>
  <si>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</si>
  <si>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</si>
  <si>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</si>
  <si>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</si>
  <si>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</si>
  <si>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</si>
  <si>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</si>
  <si>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</si>
  <si>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</si>
  <si>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</si>
  <si>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</si>
  <si>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</si>
  <si>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</si>
  <si>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</si>
  <si>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</si>
  <si>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</si>
  <si>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C</t>
    <phoneticPr fontId="10" type="noConversion"/>
  </si>
  <si>
    <t>Ø</t>
    <phoneticPr fontId="10" type="noConversion"/>
  </si>
  <si>
    <t>(B)</t>
    <phoneticPr fontId="10" type="noConversion"/>
  </si>
  <si>
    <t>A</t>
    <phoneticPr fontId="10" type="noConversion"/>
  </si>
  <si>
    <t>+</t>
    <phoneticPr fontId="10" type="noConversion"/>
  </si>
  <si>
    <t>-</t>
    <phoneticPr fontId="10" type="noConversion"/>
  </si>
  <si>
    <t>(C)</t>
    <phoneticPr fontId="10" type="noConversion"/>
  </si>
  <si>
    <t>C</t>
    <phoneticPr fontId="10" type="noConversion"/>
  </si>
  <si>
    <t>-</t>
    <phoneticPr fontId="10" type="noConversion"/>
  </si>
  <si>
    <t>(D)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</si>
  <si>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</si>
  <si>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</si>
  <si>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</si>
  <si>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</si>
  <si>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</si>
  <si>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</si>
  <si>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</si>
  <si>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</si>
  <si>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</si>
  <si>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</si>
  <si>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</si>
  <si>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</si>
  <si>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品檢編號：</t>
    <phoneticPr fontId="10" type="noConversion"/>
  </si>
  <si>
    <t>R01-012</t>
    <phoneticPr fontId="10" type="noConversion"/>
  </si>
  <si>
    <t>R1-8176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</si>
  <si>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</si>
  <si>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</si>
  <si>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</si>
  <si>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190708D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</si>
  <si>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</si>
  <si>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</si>
  <si>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</si>
  <si>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</si>
  <si>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</si>
  <si>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</si>
  <si>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</si>
  <si>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</si>
  <si>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</si>
  <si>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</si>
  <si>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C</t>
    <phoneticPr fontId="10" type="noConversion"/>
  </si>
  <si>
    <t>Ø</t>
    <phoneticPr fontId="10" type="noConversion"/>
  </si>
  <si>
    <t>(B)</t>
    <phoneticPr fontId="10" type="noConversion"/>
  </si>
  <si>
    <t>A</t>
    <phoneticPr fontId="10" type="noConversion"/>
  </si>
  <si>
    <t>+</t>
    <phoneticPr fontId="10" type="noConversion"/>
  </si>
  <si>
    <t>(D)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</si>
  <si>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</si>
  <si>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</si>
  <si>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</si>
  <si>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</si>
  <si>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</si>
  <si>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</si>
  <si>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</si>
  <si>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</si>
  <si>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</si>
  <si>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</si>
  <si>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</si>
  <si>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190703E</t>
    <phoneticPr fontId="10" type="noConversion"/>
  </si>
  <si>
    <t>SET UP INSP.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</si>
  <si>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</si>
  <si>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</si>
  <si>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b/>
        <sz val="8"/>
        <color theme="1"/>
        <rFont val="細明體"/>
        <family val="3"/>
        <charset val="136"/>
      </rPr>
      <t>單位：</t>
    </r>
    <r>
      <rPr>
        <b/>
        <sz val="8"/>
        <color theme="1"/>
        <rFont val="Times New Roman"/>
        <family val="1"/>
      </rPr>
      <t xml:space="preserve">Inch </t>
    </r>
    <phoneticPr fontId="10" type="noConversion"/>
  </si>
  <si>
    <t>-</t>
    <phoneticPr fontId="10" type="noConversion"/>
  </si>
  <si>
    <t>檢驗項目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</si>
  <si>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</si>
  <si>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</si>
  <si>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+</t>
    <phoneticPr fontId="10" type="noConversion"/>
  </si>
  <si>
    <t>-</t>
    <phoneticPr fontId="10" type="noConversion"/>
  </si>
  <si>
    <t>Ø</t>
    <phoneticPr fontId="10" type="noConversion"/>
  </si>
  <si>
    <t>(C)</t>
    <phoneticPr fontId="10" type="noConversion"/>
  </si>
  <si>
    <t>OK</t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</si>
  <si>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</si>
  <si>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</si>
  <si>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</si>
  <si>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</si>
  <si>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</si>
  <si>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C</t>
    <phoneticPr fontId="10" type="noConversion"/>
  </si>
  <si>
    <t>2019-04-19</t>
    <phoneticPr fontId="10" type="noConversion"/>
  </si>
  <si>
    <t>R01-012</t>
    <phoneticPr fontId="10" type="noConversion"/>
  </si>
  <si>
    <t>R1-8176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</si>
  <si>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</si>
  <si>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</si>
  <si>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</si>
  <si>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巡檢</t>
    <phoneticPr fontId="10" type="noConversion"/>
  </si>
  <si>
    <t>190704D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</si>
  <si>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</si>
  <si>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</si>
  <si>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</si>
  <si>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</si>
  <si>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</si>
  <si>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</si>
  <si>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</si>
  <si>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</si>
  <si>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</si>
  <si>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</si>
  <si>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</si>
  <si>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(A)</t>
    <phoneticPr fontId="10" type="noConversion"/>
  </si>
  <si>
    <t>A</t>
    <phoneticPr fontId="10" type="noConversion"/>
  </si>
  <si>
    <t>C</t>
    <phoneticPr fontId="10" type="noConversion"/>
  </si>
  <si>
    <t>+</t>
    <phoneticPr fontId="10" type="noConversion"/>
  </si>
  <si>
    <t>-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</si>
  <si>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</si>
  <si>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</si>
  <si>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OK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</si>
  <si>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</si>
  <si>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</si>
  <si>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</si>
  <si>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</si>
  <si>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2019-04-19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</si>
  <si>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</si>
  <si>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</si>
  <si>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</si>
  <si>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R01-012</t>
    <phoneticPr fontId="10" type="noConversion"/>
  </si>
  <si>
    <t>R1-8176</t>
    <phoneticPr fontId="10" type="noConversion"/>
  </si>
  <si>
    <t>過濾器本體 (BASE, ENTERPRISE FILTER)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</si>
  <si>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</si>
  <si>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</si>
  <si>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</si>
  <si>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190708E</t>
    <phoneticPr fontId="10" type="noConversion"/>
  </si>
  <si>
    <t>(A): M15004， (B):M12002， (C): M15004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</si>
</sst>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.000_ "/>
    <numFmt numFmtId="178" formatCode="0.0000_ "/>
    <numFmt numFmtId="179" formatCode="0.000;_؀"/>
  </numFmts>
  <fonts count="2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17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4" fillId="0" borderId="4" xfId="0" applyFont="1" applyBorder="1" applyAlignment="1" applyProtection="1">
      <alignment horizontal="left"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4" fillId="0" borderId="5" xfId="0" applyFont="1" applyBorder="1" applyAlignment="1" applyProtection="1">
      <alignment vertical="top"/>
      <protection locked="0"/>
    </xf>
    <xf numFmtId="0" fontId="23" fillId="0" borderId="10" xfId="0" applyFont="1" applyBorder="1" applyAlignment="1" applyProtection="1">
      <alignment horizontal="left"/>
      <protection locked="0"/>
    </xf>
    <xf numFmtId="178" fontId="6" fillId="0" borderId="0" xfId="0" applyNumberFormat="1" applyFont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179" fontId="3" fillId="0" borderId="5" xfId="0" applyNumberFormat="1" applyFont="1" applyBorder="1" applyAlignment="1" applyProtection="1">
      <alignment horizontal="left" vertical="center"/>
    </xf>
    <xf numFmtId="179" fontId="0" fillId="0" borderId="5" xfId="0" applyNumberFormat="1" applyBorder="1" applyAlignment="1" applyProtection="1">
      <alignment horizontal="left" vertical="center"/>
    </xf>
    <xf numFmtId="179" fontId="0" fillId="0" borderId="10" xfId="0" applyNumberForma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8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vertical="center"/>
      <protection locked="0"/>
    </xf>
    <xf numFmtId="0" fontId="0" fillId="0" borderId="9" xfId="0" applyBorder="1" applyAlignment="1" applyProtection="1">
      <alignment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5" fillId="0" borderId="9" xfId="0" applyFont="1" applyBorder="1" applyAlignment="1" applyProtection="1">
      <alignment horizontal="center" vertical="top"/>
    </xf>
    <xf numFmtId="0" fontId="27" fillId="0" borderId="11" xfId="0" applyFont="1" applyBorder="1" applyAlignment="1" applyProtection="1">
      <alignment horizontal="center" vertical="top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vertical="center" wrapText="1"/>
    </xf>
    <xf numFmtId="0" fontId="7" fillId="0" borderId="10" xfId="0" applyFont="1" applyBorder="1" applyAlignment="1" applyProtection="1">
      <alignment vertical="center" wrapText="1"/>
    </xf>
    <xf numFmtId="0" fontId="7" fillId="0" borderId="11" xfId="0" applyFont="1" applyBorder="1" applyAlignment="1" applyProtection="1">
      <alignment vertical="center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</cellXfs>
  <cellStyles count="1">
    <cellStyle name="一般" xfId="0" builtinId="0"/>
  </cellStyles>
  <dxfs count="27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8" name="圖片 7" descr="R1-8176_r04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1163" y="738709"/>
          <a:ext cx="2011208" cy="2437085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11" name="圖片 10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1460" y="9905999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44155" y="9914327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396" y="9583332"/>
          <a:ext cx="400707" cy="226388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2725" y="9630103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11</xdr:col>
      <xdr:colOff>85396</xdr:colOff>
      <xdr:row>77</xdr:row>
      <xdr:rowOff>12644</xdr:rowOff>
    </xdr:from>
    <xdr:to>
      <xdr:col>12</xdr:col>
      <xdr:colOff>157655</xdr:colOff>
      <xdr:row>78</xdr:row>
      <xdr:rowOff>85394</xdr:rowOff>
    </xdr:to>
    <xdr:pic>
      <xdr:nvPicPr>
        <xdr:cNvPr id="14" name="圖片 13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317327" y="10417885"/>
          <a:ext cx="459828" cy="236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223344</xdr:colOff>
      <xdr:row>76</xdr:row>
      <xdr:rowOff>32846</xdr:rowOff>
    </xdr:from>
    <xdr:to>
      <xdr:col>12</xdr:col>
      <xdr:colOff>65730</xdr:colOff>
      <xdr:row>78</xdr:row>
      <xdr:rowOff>85397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965" y="10313277"/>
          <a:ext cx="545265" cy="3415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262758</xdr:colOff>
      <xdr:row>76</xdr:row>
      <xdr:rowOff>13138</xdr:rowOff>
    </xdr:from>
    <xdr:to>
      <xdr:col>12</xdr:col>
      <xdr:colOff>105144</xdr:colOff>
      <xdr:row>78</xdr:row>
      <xdr:rowOff>65689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9379" y="10293569"/>
          <a:ext cx="545265" cy="3415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11</xdr:col>
      <xdr:colOff>6569</xdr:colOff>
      <xdr:row>76</xdr:row>
      <xdr:rowOff>61676</xdr:rowOff>
    </xdr:from>
    <xdr:to>
      <xdr:col>12</xdr:col>
      <xdr:colOff>118241</xdr:colOff>
      <xdr:row>78</xdr:row>
      <xdr:rowOff>85395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342107"/>
          <a:ext cx="499241" cy="3127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289034</xdr:colOff>
      <xdr:row>76</xdr:row>
      <xdr:rowOff>44423</xdr:rowOff>
    </xdr:from>
    <xdr:to>
      <xdr:col>12</xdr:col>
      <xdr:colOff>91966</xdr:colOff>
      <xdr:row>78</xdr:row>
      <xdr:rowOff>72258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5655" y="10324854"/>
          <a:ext cx="505811" cy="3168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216776</xdr:colOff>
      <xdr:row>76</xdr:row>
      <xdr:rowOff>39414</xdr:rowOff>
    </xdr:from>
    <xdr:to>
      <xdr:col>12</xdr:col>
      <xdr:colOff>19708</xdr:colOff>
      <xdr:row>78</xdr:row>
      <xdr:rowOff>67249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397" y="10319845"/>
          <a:ext cx="505811" cy="3168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262758</xdr:colOff>
      <xdr:row>76</xdr:row>
      <xdr:rowOff>32844</xdr:rowOff>
    </xdr:from>
    <xdr:to>
      <xdr:col>12</xdr:col>
      <xdr:colOff>65690</xdr:colOff>
      <xdr:row>78</xdr:row>
      <xdr:rowOff>60679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9379" y="10313275"/>
          <a:ext cx="505811" cy="3168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289034</xdr:colOff>
      <xdr:row>76</xdr:row>
      <xdr:rowOff>52552</xdr:rowOff>
    </xdr:from>
    <xdr:to>
      <xdr:col>12</xdr:col>
      <xdr:colOff>91966</xdr:colOff>
      <xdr:row>78</xdr:row>
      <xdr:rowOff>80387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5655" y="10332983"/>
          <a:ext cx="505811" cy="3168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269327</xdr:colOff>
      <xdr:row>76</xdr:row>
      <xdr:rowOff>52552</xdr:rowOff>
    </xdr:from>
    <xdr:to>
      <xdr:col>12</xdr:col>
      <xdr:colOff>72259</xdr:colOff>
      <xdr:row>78</xdr:row>
      <xdr:rowOff>80387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5948" y="10332983"/>
          <a:ext cx="505811" cy="3168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269327</xdr:colOff>
      <xdr:row>76</xdr:row>
      <xdr:rowOff>52552</xdr:rowOff>
    </xdr:from>
    <xdr:to>
      <xdr:col>12</xdr:col>
      <xdr:colOff>72259</xdr:colOff>
      <xdr:row>78</xdr:row>
      <xdr:rowOff>80387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5948" y="10332983"/>
          <a:ext cx="505811" cy="3168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262758</xdr:colOff>
      <xdr:row>76</xdr:row>
      <xdr:rowOff>26275</xdr:rowOff>
    </xdr:from>
    <xdr:to>
      <xdr:col>12</xdr:col>
      <xdr:colOff>65690</xdr:colOff>
      <xdr:row>78</xdr:row>
      <xdr:rowOff>54110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9379" y="10306706"/>
          <a:ext cx="505811" cy="3168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76</xdr:row>
      <xdr:rowOff>59120</xdr:rowOff>
    </xdr:from>
    <xdr:to>
      <xdr:col>12</xdr:col>
      <xdr:colOff>105104</xdr:colOff>
      <xdr:row>78</xdr:row>
      <xdr:rowOff>86955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8793" y="10339551"/>
          <a:ext cx="505811" cy="3168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65690</xdr:rowOff>
    </xdr:from>
    <xdr:to>
      <xdr:col>12</xdr:col>
      <xdr:colOff>39415</xdr:colOff>
      <xdr:row>78</xdr:row>
      <xdr:rowOff>93525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3104" y="10346121"/>
          <a:ext cx="505811" cy="3168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289034</xdr:colOff>
      <xdr:row>76</xdr:row>
      <xdr:rowOff>65690</xdr:rowOff>
    </xdr:from>
    <xdr:to>
      <xdr:col>12</xdr:col>
      <xdr:colOff>91966</xdr:colOff>
      <xdr:row>78</xdr:row>
      <xdr:rowOff>93525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5655" y="10346121"/>
          <a:ext cx="505811" cy="3168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262758</xdr:colOff>
      <xdr:row>76</xdr:row>
      <xdr:rowOff>59121</xdr:rowOff>
    </xdr:from>
    <xdr:to>
      <xdr:col>12</xdr:col>
      <xdr:colOff>65690</xdr:colOff>
      <xdr:row>78</xdr:row>
      <xdr:rowOff>86956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9379" y="10339552"/>
          <a:ext cx="505811" cy="3168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229913</xdr:colOff>
      <xdr:row>76</xdr:row>
      <xdr:rowOff>45983</xdr:rowOff>
    </xdr:from>
    <xdr:to>
      <xdr:col>12</xdr:col>
      <xdr:colOff>32845</xdr:colOff>
      <xdr:row>78</xdr:row>
      <xdr:rowOff>73818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6534" y="10326414"/>
          <a:ext cx="505811" cy="3168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256189</xdr:colOff>
      <xdr:row>76</xdr:row>
      <xdr:rowOff>72259</xdr:rowOff>
    </xdr:from>
    <xdr:to>
      <xdr:col>12</xdr:col>
      <xdr:colOff>59121</xdr:colOff>
      <xdr:row>78</xdr:row>
      <xdr:rowOff>100094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2810" y="10352690"/>
          <a:ext cx="505811" cy="3168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229913</xdr:colOff>
      <xdr:row>76</xdr:row>
      <xdr:rowOff>59120</xdr:rowOff>
    </xdr:from>
    <xdr:to>
      <xdr:col>12</xdr:col>
      <xdr:colOff>32845</xdr:colOff>
      <xdr:row>78</xdr:row>
      <xdr:rowOff>86955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6534" y="10339551"/>
          <a:ext cx="505811" cy="3168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76</xdr:row>
      <xdr:rowOff>32845</xdr:rowOff>
    </xdr:from>
    <xdr:to>
      <xdr:col>12</xdr:col>
      <xdr:colOff>78828</xdr:colOff>
      <xdr:row>78</xdr:row>
      <xdr:rowOff>60680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517" y="10313276"/>
          <a:ext cx="505811" cy="31687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289034</xdr:colOff>
      <xdr:row>76</xdr:row>
      <xdr:rowOff>32845</xdr:rowOff>
    </xdr:from>
    <xdr:to>
      <xdr:col>12</xdr:col>
      <xdr:colOff>91966</xdr:colOff>
      <xdr:row>78</xdr:row>
      <xdr:rowOff>60680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5655" y="10313276"/>
          <a:ext cx="505811" cy="31687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216775</xdr:colOff>
      <xdr:row>76</xdr:row>
      <xdr:rowOff>39414</xdr:rowOff>
    </xdr:from>
    <xdr:to>
      <xdr:col>12</xdr:col>
      <xdr:colOff>19707</xdr:colOff>
      <xdr:row>78</xdr:row>
      <xdr:rowOff>67249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396" y="10319845"/>
          <a:ext cx="505811" cy="31687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76</xdr:row>
      <xdr:rowOff>59120</xdr:rowOff>
    </xdr:from>
    <xdr:to>
      <xdr:col>12</xdr:col>
      <xdr:colOff>85397</xdr:colOff>
      <xdr:row>78</xdr:row>
      <xdr:rowOff>86955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9086" y="10339551"/>
          <a:ext cx="505811" cy="31687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197068</xdr:colOff>
      <xdr:row>76</xdr:row>
      <xdr:rowOff>45982</xdr:rowOff>
    </xdr:from>
    <xdr:to>
      <xdr:col>12</xdr:col>
      <xdr:colOff>0</xdr:colOff>
      <xdr:row>78</xdr:row>
      <xdr:rowOff>73817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3689" y="10326413"/>
          <a:ext cx="505811" cy="31687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262758</xdr:colOff>
      <xdr:row>76</xdr:row>
      <xdr:rowOff>65690</xdr:rowOff>
    </xdr:from>
    <xdr:to>
      <xdr:col>12</xdr:col>
      <xdr:colOff>65690</xdr:colOff>
      <xdr:row>78</xdr:row>
      <xdr:rowOff>93525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9379" y="10346121"/>
          <a:ext cx="505811" cy="31687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216775</xdr:colOff>
      <xdr:row>76</xdr:row>
      <xdr:rowOff>59120</xdr:rowOff>
    </xdr:from>
    <xdr:to>
      <xdr:col>12</xdr:col>
      <xdr:colOff>19707</xdr:colOff>
      <xdr:row>78</xdr:row>
      <xdr:rowOff>86955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396" y="10339551"/>
          <a:ext cx="505811" cy="31687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282465</xdr:colOff>
      <xdr:row>76</xdr:row>
      <xdr:rowOff>45982</xdr:rowOff>
    </xdr:from>
    <xdr:to>
      <xdr:col>12</xdr:col>
      <xdr:colOff>85397</xdr:colOff>
      <xdr:row>78</xdr:row>
      <xdr:rowOff>73817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9086" y="10326413"/>
          <a:ext cx="505811" cy="31687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256189</xdr:colOff>
      <xdr:row>76</xdr:row>
      <xdr:rowOff>65689</xdr:rowOff>
    </xdr:from>
    <xdr:to>
      <xdr:col>12</xdr:col>
      <xdr:colOff>59121</xdr:colOff>
      <xdr:row>78</xdr:row>
      <xdr:rowOff>93524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2810" y="10346120"/>
          <a:ext cx="505811" cy="31687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223344</xdr:colOff>
      <xdr:row>76</xdr:row>
      <xdr:rowOff>52552</xdr:rowOff>
    </xdr:from>
    <xdr:to>
      <xdr:col>12</xdr:col>
      <xdr:colOff>26276</xdr:colOff>
      <xdr:row>78</xdr:row>
      <xdr:rowOff>80387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965" y="10332983"/>
          <a:ext cx="505811" cy="31687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256189</xdr:colOff>
      <xdr:row>76</xdr:row>
      <xdr:rowOff>32845</xdr:rowOff>
    </xdr:from>
    <xdr:to>
      <xdr:col>12</xdr:col>
      <xdr:colOff>59121</xdr:colOff>
      <xdr:row>78</xdr:row>
      <xdr:rowOff>60680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2810" y="10313276"/>
          <a:ext cx="505811" cy="31687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223345</xdr:colOff>
      <xdr:row>76</xdr:row>
      <xdr:rowOff>19707</xdr:rowOff>
    </xdr:from>
    <xdr:to>
      <xdr:col>12</xdr:col>
      <xdr:colOff>26277</xdr:colOff>
      <xdr:row>78</xdr:row>
      <xdr:rowOff>47542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966" y="10300138"/>
          <a:ext cx="505811" cy="31687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216775</xdr:colOff>
      <xdr:row>76</xdr:row>
      <xdr:rowOff>26276</xdr:rowOff>
    </xdr:from>
    <xdr:to>
      <xdr:col>12</xdr:col>
      <xdr:colOff>19707</xdr:colOff>
      <xdr:row>78</xdr:row>
      <xdr:rowOff>54111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396" y="10306707"/>
          <a:ext cx="505811" cy="31687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236482</xdr:colOff>
      <xdr:row>76</xdr:row>
      <xdr:rowOff>59120</xdr:rowOff>
    </xdr:from>
    <xdr:to>
      <xdr:col>12</xdr:col>
      <xdr:colOff>39414</xdr:colOff>
      <xdr:row>78</xdr:row>
      <xdr:rowOff>86955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3103" y="10339551"/>
          <a:ext cx="505811" cy="31687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183931</xdr:colOff>
      <xdr:row>76</xdr:row>
      <xdr:rowOff>59121</xdr:rowOff>
    </xdr:from>
    <xdr:to>
      <xdr:col>11</xdr:col>
      <xdr:colOff>374432</xdr:colOff>
      <xdr:row>78</xdr:row>
      <xdr:rowOff>86956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0552" y="10339552"/>
          <a:ext cx="505811" cy="31687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223345</xdr:colOff>
      <xdr:row>76</xdr:row>
      <xdr:rowOff>65689</xdr:rowOff>
    </xdr:from>
    <xdr:to>
      <xdr:col>12</xdr:col>
      <xdr:colOff>26277</xdr:colOff>
      <xdr:row>78</xdr:row>
      <xdr:rowOff>93524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966" y="10346120"/>
          <a:ext cx="505811" cy="31687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236482</xdr:colOff>
      <xdr:row>76</xdr:row>
      <xdr:rowOff>52551</xdr:rowOff>
    </xdr:from>
    <xdr:to>
      <xdr:col>12</xdr:col>
      <xdr:colOff>39414</xdr:colOff>
      <xdr:row>78</xdr:row>
      <xdr:rowOff>80386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3103" y="10332982"/>
          <a:ext cx="505811" cy="31687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76</xdr:row>
      <xdr:rowOff>45983</xdr:rowOff>
    </xdr:from>
    <xdr:to>
      <xdr:col>12</xdr:col>
      <xdr:colOff>52552</xdr:colOff>
      <xdr:row>78</xdr:row>
      <xdr:rowOff>73818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6241" y="10326414"/>
          <a:ext cx="505811" cy="31687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243051</xdr:colOff>
      <xdr:row>76</xdr:row>
      <xdr:rowOff>39414</xdr:rowOff>
    </xdr:from>
    <xdr:to>
      <xdr:col>12</xdr:col>
      <xdr:colOff>45983</xdr:colOff>
      <xdr:row>78</xdr:row>
      <xdr:rowOff>67249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9672" y="10319845"/>
          <a:ext cx="505811" cy="31687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76</xdr:row>
      <xdr:rowOff>52552</xdr:rowOff>
    </xdr:from>
    <xdr:to>
      <xdr:col>12</xdr:col>
      <xdr:colOff>52552</xdr:colOff>
      <xdr:row>78</xdr:row>
      <xdr:rowOff>80387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6241" y="10332983"/>
          <a:ext cx="505811" cy="31687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236482</xdr:colOff>
      <xdr:row>76</xdr:row>
      <xdr:rowOff>72258</xdr:rowOff>
    </xdr:from>
    <xdr:to>
      <xdr:col>12</xdr:col>
      <xdr:colOff>39414</xdr:colOff>
      <xdr:row>78</xdr:row>
      <xdr:rowOff>100093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3103" y="10352689"/>
          <a:ext cx="505811" cy="31687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243051</xdr:colOff>
      <xdr:row>76</xdr:row>
      <xdr:rowOff>52552</xdr:rowOff>
    </xdr:from>
    <xdr:to>
      <xdr:col>12</xdr:col>
      <xdr:colOff>45983</xdr:colOff>
      <xdr:row>78</xdr:row>
      <xdr:rowOff>80387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9672" y="10332983"/>
          <a:ext cx="505811" cy="31687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308741</xdr:colOff>
      <xdr:row>76</xdr:row>
      <xdr:rowOff>52551</xdr:rowOff>
    </xdr:from>
    <xdr:to>
      <xdr:col>12</xdr:col>
      <xdr:colOff>111673</xdr:colOff>
      <xdr:row>78</xdr:row>
      <xdr:rowOff>80386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5362" y="10332982"/>
          <a:ext cx="505811" cy="31687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256189</xdr:colOff>
      <xdr:row>76</xdr:row>
      <xdr:rowOff>45983</xdr:rowOff>
    </xdr:from>
    <xdr:to>
      <xdr:col>12</xdr:col>
      <xdr:colOff>59121</xdr:colOff>
      <xdr:row>78</xdr:row>
      <xdr:rowOff>73818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2810" y="10326414"/>
          <a:ext cx="505811" cy="31687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203637</xdr:colOff>
      <xdr:row>76</xdr:row>
      <xdr:rowOff>26276</xdr:rowOff>
    </xdr:from>
    <xdr:to>
      <xdr:col>12</xdr:col>
      <xdr:colOff>6569</xdr:colOff>
      <xdr:row>78</xdr:row>
      <xdr:rowOff>54111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0258" y="10306707"/>
          <a:ext cx="505811" cy="31687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76</xdr:row>
      <xdr:rowOff>52552</xdr:rowOff>
    </xdr:from>
    <xdr:to>
      <xdr:col>12</xdr:col>
      <xdr:colOff>52552</xdr:colOff>
      <xdr:row>78</xdr:row>
      <xdr:rowOff>80387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6241" y="10332983"/>
          <a:ext cx="505811" cy="31687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249620</xdr:colOff>
      <xdr:row>76</xdr:row>
      <xdr:rowOff>52551</xdr:rowOff>
    </xdr:from>
    <xdr:to>
      <xdr:col>12</xdr:col>
      <xdr:colOff>52552</xdr:colOff>
      <xdr:row>78</xdr:row>
      <xdr:rowOff>80386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6241" y="10332982"/>
          <a:ext cx="505811" cy="31687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xmlns="" id="{00000000-0008-0000-0000-000006080000}"/>
            </a:ext>
          </a:extLst>
        </xdr:cNvPr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xmlns="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5</xdr:row>
      <xdr:rowOff>25424</xdr:rowOff>
    </xdr:from>
    <xdr:to>
      <xdr:col>13</xdr:col>
      <xdr:colOff>190499</xdr:colOff>
      <xdr:row>20</xdr:row>
      <xdr:rowOff>111925</xdr:rowOff>
    </xdr:to>
    <xdr:pic>
      <xdr:nvPicPr>
        <xdr:cNvPr id="7" name="圖片 6" descr="R1-8176_r04.JPG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904612" y="730662"/>
          <a:ext cx="2001026" cy="2438399"/>
        </a:xfrm>
        <a:prstGeom prst="rect">
          <a:avLst/>
        </a:prstGeom>
      </xdr:spPr>
    </xdr:pic>
    <xdr:clientData/>
  </xdr:twoCellAnchor>
  <xdr:twoCellAnchor editAs="oneCell">
    <xdr:from>
      <xdr:col>22</xdr:col>
      <xdr:colOff>90701</xdr:colOff>
      <xdr:row>73</xdr:row>
      <xdr:rowOff>78827</xdr:rowOff>
    </xdr:from>
    <xdr:to>
      <xdr:col>23</xdr:col>
      <xdr:colOff>237240</xdr:colOff>
      <xdr:row>74</xdr:row>
      <xdr:rowOff>81136</xdr:rowOff>
    </xdr:to>
    <xdr:pic>
      <xdr:nvPicPr>
        <xdr:cNvPr id="8" name="圖片 7" descr="Evan.PNG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6351" y="9832427"/>
          <a:ext cx="498964" cy="164234"/>
        </a:xfrm>
        <a:prstGeom prst="rect">
          <a:avLst/>
        </a:prstGeom>
      </xdr:spPr>
    </xdr:pic>
    <xdr:clientData/>
  </xdr:twoCellAnchor>
  <xdr:twoCellAnchor editAs="oneCell">
    <xdr:from>
      <xdr:col>20</xdr:col>
      <xdr:colOff>32845</xdr:colOff>
      <xdr:row>73</xdr:row>
      <xdr:rowOff>87155</xdr:rowOff>
    </xdr:from>
    <xdr:to>
      <xdr:col>21</xdr:col>
      <xdr:colOff>274634</xdr:colOff>
      <xdr:row>74</xdr:row>
      <xdr:rowOff>86947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33645" y="9840755"/>
          <a:ext cx="594214" cy="161717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151086</xdr:colOff>
      <xdr:row>71</xdr:row>
      <xdr:rowOff>45194</xdr:rowOff>
    </xdr:from>
    <xdr:to>
      <xdr:col>21</xdr:col>
      <xdr:colOff>197069</xdr:colOff>
      <xdr:row>72</xdr:row>
      <xdr:rowOff>107358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1886" y="9513044"/>
          <a:ext cx="398408" cy="224089"/>
        </a:xfrm>
        <a:prstGeom prst="rect">
          <a:avLst/>
        </a:prstGeom>
      </xdr:spPr>
    </xdr:pic>
    <xdr:clientData/>
  </xdr:twoCellAnchor>
  <xdr:twoCellAnchor editAs="oneCell">
    <xdr:from>
      <xdr:col>22</xdr:col>
      <xdr:colOff>91966</xdr:colOff>
      <xdr:row>71</xdr:row>
      <xdr:rowOff>91965</xdr:rowOff>
    </xdr:from>
    <xdr:to>
      <xdr:col>23</xdr:col>
      <xdr:colOff>238505</xdr:colOff>
      <xdr:row>72</xdr:row>
      <xdr:rowOff>94275</xdr:rowOff>
    </xdr:to>
    <xdr:pic>
      <xdr:nvPicPr>
        <xdr:cNvPr id="11" name="圖片 10" descr="Evan.PNG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97616" y="9559815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275897</xdr:colOff>
      <xdr:row>76</xdr:row>
      <xdr:rowOff>118241</xdr:rowOff>
    </xdr:from>
    <xdr:to>
      <xdr:col>12</xdr:col>
      <xdr:colOff>65690</xdr:colOff>
      <xdr:row>78</xdr:row>
      <xdr:rowOff>63017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518" y="10398672"/>
          <a:ext cx="492672" cy="233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80"/>
  <sheetViews>
    <sheetView showGridLines="0" zoomScale="145" zoomScaleNormal="145" workbookViewId="0">
      <selection activeCell="W4" sqref="W4:X5"/>
    </sheetView>
  </sheetViews>
  <sheetFormatPr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30</v>
      </c>
      <c r="B2" s="496"/>
      <c r="C2" s="465" t="s">
        <v>53</v>
      </c>
      <c r="D2" s="2" t="s">
        <v>2</v>
      </c>
      <c r="E2" s="43"/>
      <c r="F2" s="369" t="s">
        <v>69</v>
      </c>
      <c r="G2" s="369"/>
      <c r="H2" s="369"/>
      <c r="I2" s="369"/>
      <c r="J2" s="369"/>
      <c r="K2" s="370"/>
      <c r="L2" s="2" t="s">
        <v>4</v>
      </c>
      <c r="M2" s="369">
        <v>4</v>
      </c>
      <c r="N2" s="499"/>
      <c r="O2" s="2" t="s">
        <v>6</v>
      </c>
      <c r="P2" s="502" t="s">
        <v>54</v>
      </c>
      <c r="Q2" s="502"/>
      <c r="R2" s="502"/>
      <c r="S2" s="502"/>
      <c r="T2" s="502"/>
      <c r="U2" s="502"/>
      <c r="V2" s="503"/>
      <c r="W2" s="2" t="s">
        <v>34</v>
      </c>
      <c r="X2" s="32">
        <v>1</v>
      </c>
      <c r="Z2" s="34" t="s">
        <v>48</v>
      </c>
    </row>
    <row r="3" spans="1:26" ht="9.9499999999999993" customHeight="1" x14ac:dyDescent="0.25">
      <c r="A3" s="497" t="s">
        <v>1</v>
      </c>
      <c r="B3" s="498"/>
      <c r="C3" s="486"/>
      <c r="D3" s="25" t="s">
        <v>3</v>
      </c>
      <c r="E3" s="44"/>
      <c r="F3" s="371"/>
      <c r="G3" s="371"/>
      <c r="H3" s="371"/>
      <c r="I3" s="371"/>
      <c r="J3" s="371"/>
      <c r="K3" s="372"/>
      <c r="L3" s="25" t="s">
        <v>5</v>
      </c>
      <c r="M3" s="500"/>
      <c r="N3" s="501"/>
      <c r="O3" s="25" t="s">
        <v>7</v>
      </c>
      <c r="P3" s="504"/>
      <c r="Q3" s="504"/>
      <c r="R3" s="504"/>
      <c r="S3" s="504"/>
      <c r="T3" s="504"/>
      <c r="U3" s="504"/>
      <c r="V3" s="505"/>
      <c r="W3" s="25" t="s">
        <v>8</v>
      </c>
      <c r="X3" s="36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34" t="s">
        <v>49</v>
      </c>
      <c r="F4" s="5" t="s">
        <v>32</v>
      </c>
      <c r="G4" s="5"/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442" t="s">
        <v>70</v>
      </c>
      <c r="R4" s="443"/>
      <c r="S4" s="443"/>
      <c r="T4" s="444"/>
      <c r="U4" s="2" t="s">
        <v>11</v>
      </c>
      <c r="V4" s="7"/>
      <c r="W4" s="369" t="s">
        <v>71</v>
      </c>
      <c r="X4" s="499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45"/>
      <c r="R5" s="445"/>
      <c r="S5" s="445"/>
      <c r="T5" s="446"/>
      <c r="U5" s="25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36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55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35</v>
      </c>
      <c r="B22" s="487"/>
      <c r="C22" s="488"/>
      <c r="D22" s="466" t="s">
        <v>40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37</v>
      </c>
      <c r="X22" s="492"/>
      <c r="Z22" s="65" t="s">
        <v>50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66</v>
      </c>
      <c r="X23" s="494"/>
      <c r="Z23" s="66" t="s">
        <v>51</v>
      </c>
    </row>
    <row r="24" spans="1:28" ht="14.25" customHeight="1" x14ac:dyDescent="0.25">
      <c r="A24" s="447" t="s">
        <v>29</v>
      </c>
      <c r="B24" s="473"/>
      <c r="C24" s="33" t="s">
        <v>16</v>
      </c>
      <c r="D24" s="476" t="s">
        <v>38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9" t="s">
        <v>46</v>
      </c>
      <c r="D25" s="479" t="s">
        <v>41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52</v>
      </c>
    </row>
    <row r="26" spans="1:28" s="19" customFormat="1" ht="9.9499999999999993" customHeight="1" x14ac:dyDescent="0.25">
      <c r="A26" s="384" t="s">
        <v>56</v>
      </c>
      <c r="B26" s="384"/>
      <c r="C26" s="386" t="s">
        <v>57</v>
      </c>
      <c r="D26" s="391" t="s">
        <v>52</v>
      </c>
      <c r="E26" s="373">
        <v>0.92100000000000004</v>
      </c>
      <c r="F26" s="374"/>
      <c r="G26" s="51" t="s">
        <v>50</v>
      </c>
      <c r="H26" s="68">
        <v>3.0000000000000001E-3</v>
      </c>
      <c r="I26" s="423">
        <v>0.92200000000000004</v>
      </c>
      <c r="J26" s="423"/>
      <c r="K26" s="423">
        <v>0.92200000000000004</v>
      </c>
      <c r="L26" s="423"/>
      <c r="M26" s="423">
        <v>0.92300000000000004</v>
      </c>
      <c r="N26" s="423"/>
      <c r="O26" s="423">
        <v>0.92200000000000004</v>
      </c>
      <c r="P26" s="423"/>
      <c r="Q26" s="423">
        <v>0.92249999999999999</v>
      </c>
      <c r="R26" s="423"/>
      <c r="S26" s="423">
        <v>0.92249999999999999</v>
      </c>
      <c r="T26" s="423"/>
      <c r="U26" s="423">
        <v>0.92300000000000004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51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58</v>
      </c>
      <c r="B28" s="384"/>
      <c r="C28" s="386" t="s">
        <v>59</v>
      </c>
      <c r="D28" s="391" t="s">
        <v>52</v>
      </c>
      <c r="E28" s="373">
        <v>0.27300000000000002</v>
      </c>
      <c r="F28" s="374"/>
      <c r="G28" s="51" t="s">
        <v>50</v>
      </c>
      <c r="H28" s="68">
        <v>2E-3</v>
      </c>
      <c r="I28" s="423">
        <v>0.27200000000000002</v>
      </c>
      <c r="J28" s="423"/>
      <c r="K28" s="423">
        <v>0.27189999999999998</v>
      </c>
      <c r="L28" s="423"/>
      <c r="M28" s="423">
        <v>0.27200000000000002</v>
      </c>
      <c r="N28" s="423"/>
      <c r="O28" s="423">
        <v>0.27239999999999998</v>
      </c>
      <c r="P28" s="423"/>
      <c r="Q28" s="423">
        <v>0.27229999999999999</v>
      </c>
      <c r="R28" s="423"/>
      <c r="S28" s="423">
        <v>0.27200000000000002</v>
      </c>
      <c r="T28" s="423"/>
      <c r="U28" s="423">
        <v>0.27250000000000002</v>
      </c>
      <c r="V28" s="423"/>
      <c r="W28" s="423">
        <v>0.27239999999999998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51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60</v>
      </c>
      <c r="B30" s="384"/>
      <c r="C30" s="386" t="s">
        <v>57</v>
      </c>
      <c r="D30" s="391"/>
      <c r="E30" s="373">
        <v>1.2999999999999999E-2</v>
      </c>
      <c r="F30" s="374"/>
      <c r="G30" s="51" t="s">
        <v>50</v>
      </c>
      <c r="H30" s="68">
        <v>2E-3</v>
      </c>
      <c r="I30" s="423">
        <v>1.4E-2</v>
      </c>
      <c r="J30" s="423"/>
      <c r="K30" s="423">
        <v>1.2E-2</v>
      </c>
      <c r="L30" s="423"/>
      <c r="M30" s="423">
        <v>1.2999999999999999E-2</v>
      </c>
      <c r="N30" s="423"/>
      <c r="O30" s="423">
        <v>1.4500000000000001E-2</v>
      </c>
      <c r="P30" s="423"/>
      <c r="Q30" s="423">
        <v>1.35E-2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1.4500000000000001E-2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51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61</v>
      </c>
      <c r="B32" s="384"/>
      <c r="C32" s="386" t="s">
        <v>62</v>
      </c>
      <c r="D32" s="59" t="s">
        <v>63</v>
      </c>
      <c r="E32" s="60"/>
      <c r="F32" s="60"/>
      <c r="G32" s="60"/>
      <c r="H32" s="61"/>
      <c r="I32" s="379" t="s">
        <v>73</v>
      </c>
      <c r="J32" s="379"/>
      <c r="K32" s="379" t="s">
        <v>73</v>
      </c>
      <c r="L32" s="379"/>
      <c r="M32" s="379" t="s">
        <v>73</v>
      </c>
      <c r="N32" s="379"/>
      <c r="O32" s="379" t="s">
        <v>73</v>
      </c>
      <c r="P32" s="379"/>
      <c r="Q32" s="379" t="s">
        <v>73</v>
      </c>
      <c r="R32" s="379"/>
      <c r="S32" s="379" t="s">
        <v>73</v>
      </c>
      <c r="T32" s="379"/>
      <c r="U32" s="379" t="s">
        <v>73</v>
      </c>
      <c r="V32" s="379"/>
      <c r="W32" s="379" t="s">
        <v>73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62" t="s">
        <v>64</v>
      </c>
      <c r="E33" s="63"/>
      <c r="F33" s="63"/>
      <c r="G33" s="63"/>
      <c r="H33" s="64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62"/>
      <c r="E35" s="63"/>
      <c r="F35" s="63"/>
      <c r="G35" s="63"/>
      <c r="H35" s="64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59"/>
      <c r="E36" s="60"/>
      <c r="F36" s="60"/>
      <c r="G36" s="60"/>
      <c r="H36" s="61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62"/>
      <c r="E37" s="63"/>
      <c r="F37" s="63"/>
      <c r="G37" s="63"/>
      <c r="H37" s="64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59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62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59"/>
      <c r="E40" s="56"/>
      <c r="F40" s="57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62"/>
      <c r="E41" s="58"/>
      <c r="F41" s="58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59"/>
      <c r="E42" s="56"/>
      <c r="F42" s="57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62"/>
      <c r="E43" s="58"/>
      <c r="F43" s="58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59"/>
      <c r="E44" s="60"/>
      <c r="F44" s="60"/>
      <c r="G44" s="60"/>
      <c r="H44" s="61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62"/>
      <c r="E45" s="63"/>
      <c r="F45" s="63"/>
      <c r="G45" s="63"/>
      <c r="H45" s="64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59"/>
      <c r="E48" s="60"/>
      <c r="F48" s="60"/>
      <c r="G48" s="60"/>
      <c r="H48" s="61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62"/>
      <c r="E49" s="63"/>
      <c r="F49" s="63"/>
      <c r="G49" s="63"/>
      <c r="H49" s="64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42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43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 t="s">
        <v>72</v>
      </c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67</v>
      </c>
      <c r="R72" s="401"/>
      <c r="S72" s="409" t="s">
        <v>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/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47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45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J79:K79"/>
    <mergeCell ref="C40:C41"/>
    <mergeCell ref="C42:C43"/>
    <mergeCell ref="C44:C45"/>
    <mergeCell ref="C46:C47"/>
    <mergeCell ref="Q28:R29"/>
    <mergeCell ref="K26:L27"/>
    <mergeCell ref="O26:P27"/>
    <mergeCell ref="Q26:R27"/>
    <mergeCell ref="S26:T27"/>
    <mergeCell ref="A36:B37"/>
    <mergeCell ref="A38:B39"/>
    <mergeCell ref="A40:B41"/>
    <mergeCell ref="J78:K78"/>
    <mergeCell ref="V18:X18"/>
    <mergeCell ref="V19:X19"/>
    <mergeCell ref="V20:X20"/>
    <mergeCell ref="V21:X21"/>
    <mergeCell ref="Z25:Z26"/>
    <mergeCell ref="D26:D27"/>
    <mergeCell ref="E26:F27"/>
    <mergeCell ref="D46:D47"/>
    <mergeCell ref="E46:F47"/>
    <mergeCell ref="A1:X1"/>
    <mergeCell ref="C2:C3"/>
    <mergeCell ref="A22:C22"/>
    <mergeCell ref="A23:C23"/>
    <mergeCell ref="W22:X22"/>
    <mergeCell ref="W23:X23"/>
    <mergeCell ref="K30:L31"/>
    <mergeCell ref="M30:N31"/>
    <mergeCell ref="O30:P31"/>
    <mergeCell ref="K34:L35"/>
    <mergeCell ref="C32:C33"/>
    <mergeCell ref="Q32:R33"/>
    <mergeCell ref="I34:J35"/>
    <mergeCell ref="Q34:R35"/>
    <mergeCell ref="A2:B2"/>
    <mergeCell ref="A3:B3"/>
    <mergeCell ref="M2:N3"/>
    <mergeCell ref="P2:V3"/>
    <mergeCell ref="W4:X5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30:B31"/>
    <mergeCell ref="Q30:R31"/>
    <mergeCell ref="A34:B35"/>
    <mergeCell ref="M34:N35"/>
    <mergeCell ref="O34:P35"/>
    <mergeCell ref="I30:J31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S64:T65"/>
    <mergeCell ref="U64:V65"/>
    <mergeCell ref="S62:T63"/>
    <mergeCell ref="U62:V63"/>
    <mergeCell ref="Q4:T5"/>
    <mergeCell ref="S6:X6"/>
    <mergeCell ref="A50:B51"/>
    <mergeCell ref="I36:J37"/>
    <mergeCell ref="K36:L37"/>
    <mergeCell ref="M36:N37"/>
    <mergeCell ref="O36:P37"/>
    <mergeCell ref="Q36:R37"/>
    <mergeCell ref="W46:X47"/>
    <mergeCell ref="I48:J49"/>
    <mergeCell ref="K48:L49"/>
    <mergeCell ref="M48:N49"/>
    <mergeCell ref="S8:X8"/>
    <mergeCell ref="S9:X9"/>
    <mergeCell ref="S10:X10"/>
    <mergeCell ref="S15:U15"/>
    <mergeCell ref="U34:V35"/>
    <mergeCell ref="C30:C31"/>
    <mergeCell ref="W34:X35"/>
    <mergeCell ref="U50:V51"/>
    <mergeCell ref="K38:L39"/>
    <mergeCell ref="M38:N39"/>
    <mergeCell ref="O38:P39"/>
    <mergeCell ref="Q38:R39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Q79:R79"/>
    <mergeCell ref="O52:P53"/>
    <mergeCell ref="Q62:R63"/>
    <mergeCell ref="I62:J63"/>
    <mergeCell ref="K62:L63"/>
    <mergeCell ref="M62:N63"/>
    <mergeCell ref="O62:P63"/>
    <mergeCell ref="A77:P77"/>
    <mergeCell ref="A75:P75"/>
    <mergeCell ref="A76:P76"/>
    <mergeCell ref="A60:B61"/>
    <mergeCell ref="D62:H62"/>
    <mergeCell ref="A69:P69"/>
    <mergeCell ref="A74:P74"/>
    <mergeCell ref="O56:P57"/>
    <mergeCell ref="D53:H53"/>
    <mergeCell ref="S32:T33"/>
    <mergeCell ref="U32:V33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M52:N53"/>
    <mergeCell ref="S46:T47"/>
    <mergeCell ref="K44:L45"/>
    <mergeCell ref="I40:J41"/>
    <mergeCell ref="K40:L41"/>
    <mergeCell ref="M40:N41"/>
    <mergeCell ref="S52:T53"/>
    <mergeCell ref="U52:V53"/>
    <mergeCell ref="S78:T78"/>
    <mergeCell ref="U78:V78"/>
    <mergeCell ref="W78:X78"/>
    <mergeCell ref="S7:X7"/>
    <mergeCell ref="S79:T79"/>
    <mergeCell ref="U79:V79"/>
    <mergeCell ref="W79:X79"/>
    <mergeCell ref="S28:T29"/>
    <mergeCell ref="U28:V29"/>
    <mergeCell ref="W30:X31"/>
    <mergeCell ref="S30:T31"/>
    <mergeCell ref="U30:V31"/>
    <mergeCell ref="U26:V27"/>
    <mergeCell ref="W38:X39"/>
    <mergeCell ref="S40:T41"/>
    <mergeCell ref="U40:V41"/>
    <mergeCell ref="W36:X37"/>
    <mergeCell ref="V14:X14"/>
    <mergeCell ref="V15:X15"/>
    <mergeCell ref="V16:X16"/>
    <mergeCell ref="V17:X17"/>
    <mergeCell ref="S38:T39"/>
    <mergeCell ref="U42:V43"/>
    <mergeCell ref="W42:X43"/>
    <mergeCell ref="I42:J43"/>
    <mergeCell ref="K24:L25"/>
    <mergeCell ref="M24:N25"/>
    <mergeCell ref="O24:P25"/>
    <mergeCell ref="Q24:R25"/>
    <mergeCell ref="S24:T25"/>
    <mergeCell ref="U24:V25"/>
    <mergeCell ref="I26:J27"/>
    <mergeCell ref="I28:J29"/>
    <mergeCell ref="K28:L29"/>
    <mergeCell ref="M28:N29"/>
    <mergeCell ref="O28:P29"/>
    <mergeCell ref="O40:P41"/>
    <mergeCell ref="Q40:R41"/>
    <mergeCell ref="S58:T59"/>
    <mergeCell ref="U58:V59"/>
    <mergeCell ref="W58:X59"/>
    <mergeCell ref="D60:H60"/>
    <mergeCell ref="I60:J61"/>
    <mergeCell ref="D58:H58"/>
    <mergeCell ref="D59:H59"/>
    <mergeCell ref="S60:T61"/>
    <mergeCell ref="U60:V61"/>
    <mergeCell ref="W60:X61"/>
    <mergeCell ref="Q58:R59"/>
    <mergeCell ref="K60:L61"/>
    <mergeCell ref="O60:P61"/>
    <mergeCell ref="D61:H61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U72:V73"/>
    <mergeCell ref="W72:X73"/>
    <mergeCell ref="Q74:R75"/>
    <mergeCell ref="S74:T75"/>
    <mergeCell ref="U74:V75"/>
    <mergeCell ref="W74:X75"/>
    <mergeCell ref="Q72:R73"/>
    <mergeCell ref="Q76:R77"/>
    <mergeCell ref="A70:P70"/>
    <mergeCell ref="A71:P71"/>
    <mergeCell ref="A72:P72"/>
    <mergeCell ref="A73:P73"/>
    <mergeCell ref="Q60:R61"/>
    <mergeCell ref="C60:C61"/>
    <mergeCell ref="Q46:R47"/>
    <mergeCell ref="Q42:R43"/>
    <mergeCell ref="A46:B47"/>
    <mergeCell ref="A48:B49"/>
    <mergeCell ref="A42:B43"/>
    <mergeCell ref="C48:C49"/>
    <mergeCell ref="A44:B45"/>
    <mergeCell ref="I44:J45"/>
    <mergeCell ref="I54:J55"/>
    <mergeCell ref="K54:L55"/>
    <mergeCell ref="M54:N55"/>
    <mergeCell ref="O54:P55"/>
    <mergeCell ref="Q54:R55"/>
    <mergeCell ref="A58:B59"/>
    <mergeCell ref="I58:J59"/>
    <mergeCell ref="K58:L59"/>
    <mergeCell ref="M58:N59"/>
    <mergeCell ref="I46:J47"/>
    <mergeCell ref="A54:B55"/>
    <mergeCell ref="A52:B53"/>
    <mergeCell ref="A56:B57"/>
    <mergeCell ref="C56:C57"/>
    <mergeCell ref="I56:J57"/>
    <mergeCell ref="K56:L57"/>
    <mergeCell ref="M56:N57"/>
    <mergeCell ref="S11:X11"/>
    <mergeCell ref="S12:X12"/>
    <mergeCell ref="S13:X13"/>
    <mergeCell ref="D56:D57"/>
    <mergeCell ref="D28:D29"/>
    <mergeCell ref="D54:D55"/>
    <mergeCell ref="D30:D31"/>
    <mergeCell ref="U38:V39"/>
    <mergeCell ref="S34:T35"/>
    <mergeCell ref="S36:T37"/>
    <mergeCell ref="U36:V37"/>
    <mergeCell ref="I52:J53"/>
    <mergeCell ref="K52:L53"/>
    <mergeCell ref="M50:N51"/>
    <mergeCell ref="K42:L43"/>
    <mergeCell ref="S16:U16"/>
    <mergeCell ref="W32:X33"/>
    <mergeCell ref="F2:K3"/>
    <mergeCell ref="E28:F29"/>
    <mergeCell ref="E54:F55"/>
    <mergeCell ref="E56:F57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S50:T51"/>
    <mergeCell ref="S14:U14"/>
    <mergeCell ref="U46:V47"/>
    <mergeCell ref="M42:N43"/>
    <mergeCell ref="I24:J25"/>
    <mergeCell ref="E30:F31"/>
    <mergeCell ref="W50:X51"/>
    <mergeCell ref="W52:X53"/>
    <mergeCell ref="W44:X45"/>
    <mergeCell ref="W40:X41"/>
    <mergeCell ref="I38:J39"/>
  </mergeCells>
  <phoneticPr fontId="10" type="noConversion"/>
  <conditionalFormatting sqref="I26:X27">
    <cfRule type="cellIs" dxfId="275" priority="7" operator="greaterThan">
      <formula>$AA$26</formula>
    </cfRule>
    <cfRule type="cellIs" dxfId="274" priority="8" operator="lessThan">
      <formula>$AA$27</formula>
    </cfRule>
  </conditionalFormatting>
  <conditionalFormatting sqref="I28:X29">
    <cfRule type="cellIs" dxfId="273" priority="3" operator="greaterThan">
      <formula>$AA$28</formula>
    </cfRule>
    <cfRule type="cellIs" dxfId="272" priority="4" operator="lessThan">
      <formula>$AA$29</formula>
    </cfRule>
  </conditionalFormatting>
  <conditionalFormatting sqref="I30:X31">
    <cfRule type="cellIs" dxfId="271" priority="1" operator="greaterThan">
      <formula>$AA$30</formula>
    </cfRule>
    <cfRule type="cellIs" dxfId="27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75</v>
      </c>
      <c r="B2" s="496"/>
      <c r="C2" s="465" t="s">
        <v>53</v>
      </c>
      <c r="D2" s="73" t="s">
        <v>2</v>
      </c>
      <c r="E2" s="43"/>
      <c r="F2" s="369" t="s">
        <v>76</v>
      </c>
      <c r="G2" s="369"/>
      <c r="H2" s="369"/>
      <c r="I2" s="369"/>
      <c r="J2" s="369"/>
      <c r="K2" s="370"/>
      <c r="L2" s="73" t="s">
        <v>4</v>
      </c>
      <c r="M2" s="369">
        <v>4</v>
      </c>
      <c r="N2" s="499"/>
      <c r="O2" s="73" t="s">
        <v>6</v>
      </c>
      <c r="P2" s="502" t="s">
        <v>54</v>
      </c>
      <c r="Q2" s="502"/>
      <c r="R2" s="502"/>
      <c r="S2" s="502"/>
      <c r="T2" s="502"/>
      <c r="U2" s="502"/>
      <c r="V2" s="503"/>
      <c r="W2" s="73" t="s">
        <v>34</v>
      </c>
      <c r="X2" s="32">
        <v>1</v>
      </c>
      <c r="Z2" s="34" t="s">
        <v>48</v>
      </c>
    </row>
    <row r="3" spans="1:26" ht="9.9499999999999993" customHeight="1" x14ac:dyDescent="0.25">
      <c r="A3" s="497" t="s">
        <v>1</v>
      </c>
      <c r="B3" s="498"/>
      <c r="C3" s="486"/>
      <c r="D3" s="74" t="s">
        <v>3</v>
      </c>
      <c r="E3" s="44"/>
      <c r="F3" s="371"/>
      <c r="G3" s="371"/>
      <c r="H3" s="371"/>
      <c r="I3" s="371"/>
      <c r="J3" s="371"/>
      <c r="K3" s="372"/>
      <c r="L3" s="74" t="s">
        <v>5</v>
      </c>
      <c r="M3" s="500"/>
      <c r="N3" s="501"/>
      <c r="O3" s="74" t="s">
        <v>7</v>
      </c>
      <c r="P3" s="504"/>
      <c r="Q3" s="504"/>
      <c r="R3" s="504"/>
      <c r="S3" s="504"/>
      <c r="T3" s="504"/>
      <c r="U3" s="504"/>
      <c r="V3" s="505"/>
      <c r="W3" s="74" t="s">
        <v>8</v>
      </c>
      <c r="X3" s="82">
        <v>1</v>
      </c>
      <c r="Z3" s="35"/>
    </row>
    <row r="4" spans="1:26" ht="14.25" customHeight="1" x14ac:dyDescent="0.25">
      <c r="A4" s="3" t="s">
        <v>78</v>
      </c>
      <c r="B4" s="4"/>
      <c r="C4" s="4"/>
      <c r="D4" s="48"/>
      <c r="E4" s="28" t="s">
        <v>80</v>
      </c>
      <c r="F4" s="5" t="s">
        <v>81</v>
      </c>
      <c r="G4" s="5"/>
      <c r="H4" s="5"/>
      <c r="I4" s="4"/>
      <c r="J4" s="4"/>
      <c r="K4" s="34" t="s">
        <v>49</v>
      </c>
      <c r="L4" s="5" t="s">
        <v>82</v>
      </c>
      <c r="M4" s="4"/>
      <c r="N4" s="4"/>
      <c r="O4" s="73" t="s">
        <v>9</v>
      </c>
      <c r="P4" s="6"/>
      <c r="Q4" s="442" t="s">
        <v>83</v>
      </c>
      <c r="R4" s="443"/>
      <c r="S4" s="443"/>
      <c r="T4" s="444"/>
      <c r="U4" s="73" t="s">
        <v>11</v>
      </c>
      <c r="V4" s="7"/>
      <c r="W4" s="369" t="s">
        <v>71</v>
      </c>
      <c r="X4" s="499"/>
      <c r="Z4" s="34" t="s">
        <v>49</v>
      </c>
    </row>
    <row r="5" spans="1:26" ht="9.9499999999999993" customHeight="1" x14ac:dyDescent="0.2">
      <c r="A5" s="26" t="s">
        <v>84</v>
      </c>
      <c r="B5" s="8"/>
      <c r="C5" s="8"/>
      <c r="D5" s="8"/>
      <c r="E5" s="8"/>
      <c r="F5" s="27" t="s">
        <v>86</v>
      </c>
      <c r="G5" s="27"/>
      <c r="H5" s="27"/>
      <c r="I5" s="8"/>
      <c r="J5" s="8"/>
      <c r="K5" s="8"/>
      <c r="L5" s="27" t="s">
        <v>87</v>
      </c>
      <c r="M5" s="8"/>
      <c r="N5" s="9"/>
      <c r="O5" s="26" t="s">
        <v>10</v>
      </c>
      <c r="P5" s="10"/>
      <c r="Q5" s="445"/>
      <c r="R5" s="445"/>
      <c r="S5" s="445"/>
      <c r="T5" s="446"/>
      <c r="U5" s="74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88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89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40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92</v>
      </c>
      <c r="X22" s="492"/>
      <c r="Z22" s="65" t="s">
        <v>50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93</v>
      </c>
      <c r="X23" s="494"/>
      <c r="Z23" s="66" t="s">
        <v>94</v>
      </c>
    </row>
    <row r="24" spans="1:28" ht="14.25" customHeight="1" x14ac:dyDescent="0.25">
      <c r="A24" s="447" t="s">
        <v>96</v>
      </c>
      <c r="B24" s="473"/>
      <c r="C24" s="33" t="s">
        <v>16</v>
      </c>
      <c r="D24" s="476" t="s">
        <v>97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81" t="s">
        <v>98</v>
      </c>
      <c r="D25" s="479" t="s">
        <v>99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52</v>
      </c>
    </row>
    <row r="26" spans="1:28" s="19" customFormat="1" ht="9.9499999999999993" customHeight="1" x14ac:dyDescent="0.25">
      <c r="A26" s="384" t="s">
        <v>56</v>
      </c>
      <c r="B26" s="384"/>
      <c r="C26" s="386" t="s">
        <v>100</v>
      </c>
      <c r="D26" s="391" t="s">
        <v>101</v>
      </c>
      <c r="E26" s="373">
        <v>0.92100000000000004</v>
      </c>
      <c r="F26" s="374"/>
      <c r="G26" s="51" t="s">
        <v>102</v>
      </c>
      <c r="H26" s="68">
        <v>3.0000000000000001E-3</v>
      </c>
      <c r="I26" s="423">
        <v>0.92300000000000004</v>
      </c>
      <c r="J26" s="423"/>
      <c r="K26" s="423">
        <v>0.92400000000000004</v>
      </c>
      <c r="L26" s="423"/>
      <c r="M26" s="423">
        <v>0.92400000000000004</v>
      </c>
      <c r="N26" s="423"/>
      <c r="O26" s="423">
        <v>0.92300000000000004</v>
      </c>
      <c r="P26" s="423"/>
      <c r="Q26" s="423">
        <v>0.92300000000000004</v>
      </c>
      <c r="R26" s="423"/>
      <c r="S26" s="423">
        <v>0.92300000000000004</v>
      </c>
      <c r="T26" s="423"/>
      <c r="U26" s="423">
        <v>0.92300000000000004</v>
      </c>
      <c r="V26" s="423"/>
      <c r="W26" s="423">
        <v>0.92300000000000004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94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103</v>
      </c>
      <c r="B28" s="384"/>
      <c r="C28" s="386" t="s">
        <v>59</v>
      </c>
      <c r="D28" s="391" t="s">
        <v>101</v>
      </c>
      <c r="E28" s="373">
        <v>0.27300000000000002</v>
      </c>
      <c r="F28" s="374"/>
      <c r="G28" s="51" t="s">
        <v>50</v>
      </c>
      <c r="H28" s="68">
        <v>2E-3</v>
      </c>
      <c r="I28" s="423">
        <v>0.27300000000000002</v>
      </c>
      <c r="J28" s="423"/>
      <c r="K28" s="423">
        <v>0.27329999999999999</v>
      </c>
      <c r="L28" s="423"/>
      <c r="M28" s="423">
        <v>0.27300000000000002</v>
      </c>
      <c r="N28" s="423"/>
      <c r="O28" s="423">
        <v>0.27379999999999999</v>
      </c>
      <c r="P28" s="423"/>
      <c r="Q28" s="423">
        <v>0.27339999999999998</v>
      </c>
      <c r="R28" s="423"/>
      <c r="S28" s="423">
        <v>0.27289999999999998</v>
      </c>
      <c r="T28" s="423"/>
      <c r="U28" s="423">
        <v>0.27229999999999999</v>
      </c>
      <c r="V28" s="423"/>
      <c r="W28" s="423">
        <v>0.27300000000000002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104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105</v>
      </c>
      <c r="B30" s="384"/>
      <c r="C30" s="386" t="s">
        <v>106</v>
      </c>
      <c r="D30" s="391"/>
      <c r="E30" s="373">
        <v>1.2999999999999999E-2</v>
      </c>
      <c r="F30" s="374"/>
      <c r="G30" s="51" t="s">
        <v>102</v>
      </c>
      <c r="H30" s="68">
        <v>2E-3</v>
      </c>
      <c r="I30" s="423">
        <v>1.4E-2</v>
      </c>
      <c r="J30" s="423"/>
      <c r="K30" s="423">
        <v>1.2999999999999999E-2</v>
      </c>
      <c r="L30" s="423"/>
      <c r="M30" s="423">
        <v>1.4E-2</v>
      </c>
      <c r="N30" s="423"/>
      <c r="O30" s="423">
        <v>1.4E-2</v>
      </c>
      <c r="P30" s="423"/>
      <c r="Q30" s="423">
        <v>1.4E-2</v>
      </c>
      <c r="R30" s="423"/>
      <c r="S30" s="423">
        <v>1.4E-2</v>
      </c>
      <c r="T30" s="423"/>
      <c r="U30" s="423">
        <v>1.4E-2</v>
      </c>
      <c r="V30" s="423"/>
      <c r="W30" s="423">
        <v>1.4E-2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104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107</v>
      </c>
      <c r="B32" s="384"/>
      <c r="C32" s="386" t="s">
        <v>108</v>
      </c>
      <c r="D32" s="75" t="s">
        <v>109</v>
      </c>
      <c r="E32" s="76"/>
      <c r="F32" s="76"/>
      <c r="G32" s="76"/>
      <c r="H32" s="77"/>
      <c r="I32" s="379" t="s">
        <v>110</v>
      </c>
      <c r="J32" s="379"/>
      <c r="K32" s="379" t="s">
        <v>110</v>
      </c>
      <c r="L32" s="379"/>
      <c r="M32" s="379" t="s">
        <v>110</v>
      </c>
      <c r="N32" s="379"/>
      <c r="O32" s="379" t="s">
        <v>110</v>
      </c>
      <c r="P32" s="379"/>
      <c r="Q32" s="379" t="s">
        <v>110</v>
      </c>
      <c r="R32" s="379"/>
      <c r="S32" s="379" t="s">
        <v>110</v>
      </c>
      <c r="T32" s="379"/>
      <c r="U32" s="379" t="s">
        <v>110</v>
      </c>
      <c r="V32" s="379"/>
      <c r="W32" s="379" t="s">
        <v>111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78" t="s">
        <v>112</v>
      </c>
      <c r="E33" s="79"/>
      <c r="F33" s="79"/>
      <c r="G33" s="79"/>
      <c r="H33" s="80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78"/>
      <c r="E35" s="79"/>
      <c r="F35" s="79"/>
      <c r="G35" s="79"/>
      <c r="H35" s="80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75"/>
      <c r="E36" s="76"/>
      <c r="F36" s="76"/>
      <c r="G36" s="76"/>
      <c r="H36" s="77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78"/>
      <c r="E37" s="79"/>
      <c r="F37" s="79"/>
      <c r="G37" s="79"/>
      <c r="H37" s="80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75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78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75"/>
      <c r="E40" s="70"/>
      <c r="F40" s="71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78"/>
      <c r="E41" s="72"/>
      <c r="F41" s="72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75"/>
      <c r="E42" s="70"/>
      <c r="F42" s="71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78"/>
      <c r="E43" s="72"/>
      <c r="F43" s="72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75"/>
      <c r="E44" s="76"/>
      <c r="F44" s="76"/>
      <c r="G44" s="76"/>
      <c r="H44" s="77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78"/>
      <c r="E45" s="79"/>
      <c r="F45" s="79"/>
      <c r="G45" s="79"/>
      <c r="H45" s="80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75"/>
      <c r="E48" s="76"/>
      <c r="F48" s="76"/>
      <c r="G48" s="76"/>
      <c r="H48" s="77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78"/>
      <c r="E49" s="79"/>
      <c r="F49" s="79"/>
      <c r="G49" s="79"/>
      <c r="H49" s="80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42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43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57</v>
      </c>
      <c r="R72" s="401"/>
      <c r="S72" s="409" t="s">
        <v>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47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45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9">
    <cfRule type="cellIs" dxfId="267" priority="3" operator="greaterThan">
      <formula>$AA$28</formula>
    </cfRule>
    <cfRule type="cellIs" dxfId="266" priority="4" operator="lessThan">
      <formula>$AA$29</formula>
    </cfRule>
  </conditionalFormatting>
  <conditionalFormatting sqref="I30:X31">
    <cfRule type="cellIs" dxfId="265" priority="1" operator="greaterThan">
      <formula>$AA$30</formula>
    </cfRule>
    <cfRule type="cellIs" dxfId="26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74</v>
      </c>
      <c r="B2" s="496"/>
      <c r="C2" s="465" t="s">
        <v>53</v>
      </c>
      <c r="D2" s="73" t="s">
        <v>2</v>
      </c>
      <c r="E2" s="43"/>
      <c r="F2" s="369" t="s">
        <v>113</v>
      </c>
      <c r="G2" s="369"/>
      <c r="H2" s="369"/>
      <c r="I2" s="369"/>
      <c r="J2" s="369"/>
      <c r="K2" s="370"/>
      <c r="L2" s="73" t="s">
        <v>4</v>
      </c>
      <c r="M2" s="369">
        <v>4</v>
      </c>
      <c r="N2" s="499"/>
      <c r="O2" s="73" t="s">
        <v>6</v>
      </c>
      <c r="P2" s="502" t="s">
        <v>54</v>
      </c>
      <c r="Q2" s="502"/>
      <c r="R2" s="502"/>
      <c r="S2" s="502"/>
      <c r="T2" s="502"/>
      <c r="U2" s="502"/>
      <c r="V2" s="503"/>
      <c r="W2" s="73" t="s">
        <v>34</v>
      </c>
      <c r="X2" s="32">
        <v>1</v>
      </c>
      <c r="Z2" s="34" t="s">
        <v>48</v>
      </c>
    </row>
    <row r="3" spans="1:26" ht="9.9499999999999993" customHeight="1" x14ac:dyDescent="0.25">
      <c r="A3" s="497" t="s">
        <v>1</v>
      </c>
      <c r="B3" s="498"/>
      <c r="C3" s="486"/>
      <c r="D3" s="74" t="s">
        <v>3</v>
      </c>
      <c r="E3" s="44"/>
      <c r="F3" s="371"/>
      <c r="G3" s="371"/>
      <c r="H3" s="371"/>
      <c r="I3" s="371"/>
      <c r="J3" s="371"/>
      <c r="K3" s="372"/>
      <c r="L3" s="74" t="s">
        <v>5</v>
      </c>
      <c r="M3" s="500"/>
      <c r="N3" s="501"/>
      <c r="O3" s="74" t="s">
        <v>7</v>
      </c>
      <c r="P3" s="504"/>
      <c r="Q3" s="504"/>
      <c r="R3" s="504"/>
      <c r="S3" s="504"/>
      <c r="T3" s="504"/>
      <c r="U3" s="504"/>
      <c r="V3" s="505"/>
      <c r="W3" s="74" t="s">
        <v>8</v>
      </c>
      <c r="X3" s="82">
        <v>1</v>
      </c>
      <c r="Z3" s="35"/>
    </row>
    <row r="4" spans="1:26" ht="14.25" customHeight="1" x14ac:dyDescent="0.25">
      <c r="A4" s="3" t="s">
        <v>77</v>
      </c>
      <c r="B4" s="4"/>
      <c r="C4" s="4"/>
      <c r="D4" s="48"/>
      <c r="E4" s="28" t="s">
        <v>79</v>
      </c>
      <c r="F4" s="5" t="s">
        <v>81</v>
      </c>
      <c r="G4" s="5"/>
      <c r="H4" s="5"/>
      <c r="I4" s="4"/>
      <c r="J4" s="4"/>
      <c r="K4" s="28" t="s">
        <v>114</v>
      </c>
      <c r="L4" s="5" t="s">
        <v>115</v>
      </c>
      <c r="M4" s="4"/>
      <c r="N4" s="4"/>
      <c r="O4" s="73" t="s">
        <v>9</v>
      </c>
      <c r="P4" s="6"/>
      <c r="Q4" s="442" t="s">
        <v>116</v>
      </c>
      <c r="R4" s="443"/>
      <c r="S4" s="443"/>
      <c r="T4" s="444"/>
      <c r="U4" s="73" t="s">
        <v>11</v>
      </c>
      <c r="V4" s="7"/>
      <c r="W4" s="369" t="s">
        <v>71</v>
      </c>
      <c r="X4" s="499"/>
      <c r="Z4" s="34" t="s">
        <v>49</v>
      </c>
    </row>
    <row r="5" spans="1:26" ht="9.9499999999999993" customHeight="1" x14ac:dyDescent="0.2">
      <c r="A5" s="26" t="s">
        <v>117</v>
      </c>
      <c r="B5" s="8"/>
      <c r="C5" s="8"/>
      <c r="D5" s="8"/>
      <c r="E5" s="8"/>
      <c r="F5" s="27" t="s">
        <v>85</v>
      </c>
      <c r="G5" s="27"/>
      <c r="H5" s="27"/>
      <c r="I5" s="8"/>
      <c r="J5" s="8"/>
      <c r="K5" s="8"/>
      <c r="L5" s="27" t="s">
        <v>118</v>
      </c>
      <c r="M5" s="8"/>
      <c r="N5" s="9"/>
      <c r="O5" s="26" t="s">
        <v>10</v>
      </c>
      <c r="P5" s="10"/>
      <c r="Q5" s="445"/>
      <c r="R5" s="445"/>
      <c r="S5" s="445"/>
      <c r="T5" s="446"/>
      <c r="U5" s="74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88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55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40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91</v>
      </c>
      <c r="X22" s="492"/>
      <c r="Z22" s="65" t="s">
        <v>50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66</v>
      </c>
      <c r="X23" s="494"/>
      <c r="Z23" s="66" t="s">
        <v>51</v>
      </c>
    </row>
    <row r="24" spans="1:28" ht="14.25" customHeight="1" x14ac:dyDescent="0.25">
      <c r="A24" s="447" t="s">
        <v>95</v>
      </c>
      <c r="B24" s="473"/>
      <c r="C24" s="33" t="s">
        <v>16</v>
      </c>
      <c r="D24" s="476" t="s">
        <v>119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81" t="s">
        <v>46</v>
      </c>
      <c r="D25" s="479" t="s">
        <v>41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52</v>
      </c>
    </row>
    <row r="26" spans="1:28" s="19" customFormat="1" ht="9.9499999999999993" customHeight="1" x14ac:dyDescent="0.25">
      <c r="A26" s="384" t="s">
        <v>120</v>
      </c>
      <c r="B26" s="384"/>
      <c r="C26" s="386" t="s">
        <v>57</v>
      </c>
      <c r="D26" s="391" t="s">
        <v>52</v>
      </c>
      <c r="E26" s="373">
        <v>0.92100000000000004</v>
      </c>
      <c r="F26" s="374"/>
      <c r="G26" s="51" t="s">
        <v>50</v>
      </c>
      <c r="H26" s="68">
        <v>3.0000000000000001E-3</v>
      </c>
      <c r="I26" s="423">
        <v>0.92300000000000004</v>
      </c>
      <c r="J26" s="423"/>
      <c r="K26" s="423">
        <v>0.92300000000000004</v>
      </c>
      <c r="L26" s="423"/>
      <c r="M26" s="423">
        <v>0.92300000000000004</v>
      </c>
      <c r="N26" s="423"/>
      <c r="O26" s="423">
        <v>0.92300000000000004</v>
      </c>
      <c r="P26" s="423"/>
      <c r="Q26" s="423">
        <v>0.92400000000000004</v>
      </c>
      <c r="R26" s="423"/>
      <c r="S26" s="423">
        <v>0.92300000000000004</v>
      </c>
      <c r="T26" s="423"/>
      <c r="U26" s="423">
        <v>0.92400000000000004</v>
      </c>
      <c r="V26" s="423"/>
      <c r="W26" s="423">
        <v>0.92400000000000004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51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58</v>
      </c>
      <c r="B28" s="384"/>
      <c r="C28" s="386" t="s">
        <v>121</v>
      </c>
      <c r="D28" s="391" t="s">
        <v>101</v>
      </c>
      <c r="E28" s="373">
        <v>0.27300000000000002</v>
      </c>
      <c r="F28" s="374"/>
      <c r="G28" s="51" t="s">
        <v>50</v>
      </c>
      <c r="H28" s="68">
        <v>2E-3</v>
      </c>
      <c r="I28" s="423">
        <v>0.27310000000000001</v>
      </c>
      <c r="J28" s="423"/>
      <c r="K28" s="423">
        <v>0.27350000000000002</v>
      </c>
      <c r="L28" s="423"/>
      <c r="M28" s="423">
        <v>0.27300000000000002</v>
      </c>
      <c r="N28" s="423"/>
      <c r="O28" s="423">
        <v>0.27360000000000001</v>
      </c>
      <c r="P28" s="423"/>
      <c r="Q28" s="423">
        <v>0.27339999999999998</v>
      </c>
      <c r="R28" s="423"/>
      <c r="S28" s="423">
        <v>0.27289999999999998</v>
      </c>
      <c r="T28" s="423"/>
      <c r="U28" s="423">
        <v>0.27300000000000002</v>
      </c>
      <c r="V28" s="423"/>
      <c r="W28" s="423">
        <v>0.27300000000000002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122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60</v>
      </c>
      <c r="B30" s="384"/>
      <c r="C30" s="386" t="s">
        <v>57</v>
      </c>
      <c r="D30" s="391"/>
      <c r="E30" s="373">
        <v>1.2999999999999999E-2</v>
      </c>
      <c r="F30" s="374"/>
      <c r="G30" s="51" t="s">
        <v>50</v>
      </c>
      <c r="H30" s="68">
        <v>2E-3</v>
      </c>
      <c r="I30" s="423">
        <v>1.4E-2</v>
      </c>
      <c r="J30" s="423"/>
      <c r="K30" s="423">
        <v>1.4E-2</v>
      </c>
      <c r="L30" s="423"/>
      <c r="M30" s="423">
        <v>1.2999999999999999E-2</v>
      </c>
      <c r="N30" s="423"/>
      <c r="O30" s="423">
        <v>1.2999999999999999E-2</v>
      </c>
      <c r="P30" s="423"/>
      <c r="Q30" s="423">
        <v>1.2999999999999999E-2</v>
      </c>
      <c r="R30" s="423"/>
      <c r="S30" s="423">
        <v>1.2999999999999999E-2</v>
      </c>
      <c r="T30" s="423"/>
      <c r="U30" s="423">
        <v>1.4E-2</v>
      </c>
      <c r="V30" s="423"/>
      <c r="W30" s="423">
        <v>1.4E-2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104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61</v>
      </c>
      <c r="B32" s="384"/>
      <c r="C32" s="386" t="s">
        <v>62</v>
      </c>
      <c r="D32" s="75" t="s">
        <v>63</v>
      </c>
      <c r="E32" s="76"/>
      <c r="F32" s="76"/>
      <c r="G32" s="76"/>
      <c r="H32" s="77"/>
      <c r="I32" s="379" t="s">
        <v>110</v>
      </c>
      <c r="J32" s="379"/>
      <c r="K32" s="379" t="s">
        <v>73</v>
      </c>
      <c r="L32" s="379"/>
      <c r="M32" s="379" t="s">
        <v>110</v>
      </c>
      <c r="N32" s="379"/>
      <c r="O32" s="379" t="s">
        <v>110</v>
      </c>
      <c r="P32" s="379"/>
      <c r="Q32" s="379" t="s">
        <v>73</v>
      </c>
      <c r="R32" s="379"/>
      <c r="S32" s="379" t="s">
        <v>73</v>
      </c>
      <c r="T32" s="379"/>
      <c r="U32" s="379" t="s">
        <v>73</v>
      </c>
      <c r="V32" s="379"/>
      <c r="W32" s="379" t="s">
        <v>110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78" t="s">
        <v>64</v>
      </c>
      <c r="E33" s="79"/>
      <c r="F33" s="79"/>
      <c r="G33" s="79"/>
      <c r="H33" s="80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78"/>
      <c r="E35" s="79"/>
      <c r="F35" s="79"/>
      <c r="G35" s="79"/>
      <c r="H35" s="80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75"/>
      <c r="E36" s="76"/>
      <c r="F36" s="76"/>
      <c r="G36" s="76"/>
      <c r="H36" s="77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78"/>
      <c r="E37" s="79"/>
      <c r="F37" s="79"/>
      <c r="G37" s="79"/>
      <c r="H37" s="80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75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78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75"/>
      <c r="E40" s="70"/>
      <c r="F40" s="71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78"/>
      <c r="E41" s="72"/>
      <c r="F41" s="72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75"/>
      <c r="E42" s="70"/>
      <c r="F42" s="71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78"/>
      <c r="E43" s="72"/>
      <c r="F43" s="72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75"/>
      <c r="E44" s="76"/>
      <c r="F44" s="76"/>
      <c r="G44" s="76"/>
      <c r="H44" s="77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78"/>
      <c r="E45" s="79"/>
      <c r="F45" s="79"/>
      <c r="G45" s="79"/>
      <c r="H45" s="80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75"/>
      <c r="E48" s="76"/>
      <c r="F48" s="76"/>
      <c r="G48" s="76"/>
      <c r="H48" s="77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78"/>
      <c r="E49" s="79"/>
      <c r="F49" s="79"/>
      <c r="G49" s="79"/>
      <c r="H49" s="80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123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124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125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126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127</v>
      </c>
      <c r="R72" s="401"/>
      <c r="S72" s="409" t="s">
        <v>128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47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129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63" priority="5" operator="greaterThan">
      <formula>$AA$26</formula>
    </cfRule>
    <cfRule type="cellIs" dxfId="262" priority="6" operator="lessThan">
      <formula>$AA$27</formula>
    </cfRule>
  </conditionalFormatting>
  <conditionalFormatting sqref="I28:X29">
    <cfRule type="cellIs" dxfId="261" priority="3" operator="greaterThan">
      <formula>$AA$28</formula>
    </cfRule>
    <cfRule type="cellIs" dxfId="260" priority="4" operator="lessThan">
      <formula>$AA$29</formula>
    </cfRule>
  </conditionalFormatting>
  <conditionalFormatting sqref="I30:X31">
    <cfRule type="cellIs" dxfId="259" priority="1" operator="greaterThan">
      <formula>$AA$30</formula>
    </cfRule>
    <cfRule type="cellIs" dxfId="25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131</v>
      </c>
      <c r="B2" s="496"/>
      <c r="C2" s="465" t="s">
        <v>132</v>
      </c>
      <c r="D2" s="94" t="s">
        <v>2</v>
      </c>
      <c r="E2" s="43"/>
      <c r="F2" s="369" t="s">
        <v>133</v>
      </c>
      <c r="G2" s="369"/>
      <c r="H2" s="369"/>
      <c r="I2" s="369"/>
      <c r="J2" s="369"/>
      <c r="K2" s="370"/>
      <c r="L2" s="94" t="s">
        <v>4</v>
      </c>
      <c r="M2" s="369">
        <v>4</v>
      </c>
      <c r="N2" s="499"/>
      <c r="O2" s="94" t="s">
        <v>6</v>
      </c>
      <c r="P2" s="502" t="s">
        <v>134</v>
      </c>
      <c r="Q2" s="502"/>
      <c r="R2" s="502"/>
      <c r="S2" s="502"/>
      <c r="T2" s="502"/>
      <c r="U2" s="502"/>
      <c r="V2" s="503"/>
      <c r="W2" s="94" t="s">
        <v>34</v>
      </c>
      <c r="X2" s="32">
        <v>1</v>
      </c>
      <c r="Z2" s="34" t="s">
        <v>135</v>
      </c>
    </row>
    <row r="3" spans="1:26" ht="9.9499999999999993" customHeight="1" x14ac:dyDescent="0.25">
      <c r="A3" s="497" t="s">
        <v>1</v>
      </c>
      <c r="B3" s="498"/>
      <c r="C3" s="486"/>
      <c r="D3" s="95" t="s">
        <v>3</v>
      </c>
      <c r="E3" s="44"/>
      <c r="F3" s="371"/>
      <c r="G3" s="371"/>
      <c r="H3" s="371"/>
      <c r="I3" s="371"/>
      <c r="J3" s="371"/>
      <c r="K3" s="372"/>
      <c r="L3" s="95" t="s">
        <v>5</v>
      </c>
      <c r="M3" s="500"/>
      <c r="N3" s="501"/>
      <c r="O3" s="95" t="s">
        <v>7</v>
      </c>
      <c r="P3" s="504"/>
      <c r="Q3" s="504"/>
      <c r="R3" s="504"/>
      <c r="S3" s="504"/>
      <c r="T3" s="504"/>
      <c r="U3" s="504"/>
      <c r="V3" s="505"/>
      <c r="W3" s="95" t="s">
        <v>8</v>
      </c>
      <c r="X3" s="83">
        <v>1</v>
      </c>
      <c r="Z3" s="35"/>
    </row>
    <row r="4" spans="1:26" ht="14.25" customHeight="1" x14ac:dyDescent="0.25">
      <c r="A4" s="3" t="s">
        <v>136</v>
      </c>
      <c r="B4" s="4"/>
      <c r="C4" s="4"/>
      <c r="D4" s="48"/>
      <c r="E4" s="28" t="s">
        <v>137</v>
      </c>
      <c r="F4" s="5" t="s">
        <v>138</v>
      </c>
      <c r="G4" s="5"/>
      <c r="H4" s="5"/>
      <c r="I4" s="4"/>
      <c r="J4" s="4"/>
      <c r="K4" s="28" t="s">
        <v>139</v>
      </c>
      <c r="L4" s="5" t="s">
        <v>82</v>
      </c>
      <c r="M4" s="4"/>
      <c r="N4" s="4"/>
      <c r="O4" s="94" t="s">
        <v>9</v>
      </c>
      <c r="P4" s="6"/>
      <c r="Q4" s="442" t="s">
        <v>140</v>
      </c>
      <c r="R4" s="443"/>
      <c r="S4" s="443"/>
      <c r="T4" s="444"/>
      <c r="U4" s="94" t="s">
        <v>11</v>
      </c>
      <c r="V4" s="7"/>
      <c r="W4" s="369" t="s">
        <v>71</v>
      </c>
      <c r="X4" s="499"/>
      <c r="Z4" s="34" t="s">
        <v>141</v>
      </c>
    </row>
    <row r="5" spans="1:26" ht="9.9499999999999993" customHeight="1" x14ac:dyDescent="0.2">
      <c r="A5" s="26" t="s">
        <v>142</v>
      </c>
      <c r="B5" s="8"/>
      <c r="C5" s="8"/>
      <c r="D5" s="8"/>
      <c r="E5" s="8"/>
      <c r="F5" s="27" t="s">
        <v>143</v>
      </c>
      <c r="G5" s="27"/>
      <c r="H5" s="27"/>
      <c r="I5" s="8"/>
      <c r="J5" s="8"/>
      <c r="K5" s="8"/>
      <c r="L5" s="27" t="s">
        <v>87</v>
      </c>
      <c r="M5" s="8"/>
      <c r="N5" s="9"/>
      <c r="O5" s="26" t="s">
        <v>10</v>
      </c>
      <c r="P5" s="10"/>
      <c r="Q5" s="445"/>
      <c r="R5" s="445"/>
      <c r="S5" s="445"/>
      <c r="T5" s="446"/>
      <c r="U5" s="95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88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89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145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91</v>
      </c>
      <c r="X22" s="492"/>
      <c r="Z22" s="65" t="s">
        <v>146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93</v>
      </c>
      <c r="X23" s="494"/>
      <c r="Z23" s="66" t="s">
        <v>94</v>
      </c>
    </row>
    <row r="24" spans="1:28" ht="14.25" customHeight="1" x14ac:dyDescent="0.25">
      <c r="A24" s="447" t="s">
        <v>147</v>
      </c>
      <c r="B24" s="473"/>
      <c r="C24" s="33" t="s">
        <v>16</v>
      </c>
      <c r="D24" s="476" t="s">
        <v>97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93" t="s">
        <v>98</v>
      </c>
      <c r="D25" s="479" t="s">
        <v>148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101</v>
      </c>
    </row>
    <row r="26" spans="1:28" s="19" customFormat="1" ht="9.9499999999999993" customHeight="1" x14ac:dyDescent="0.25">
      <c r="A26" s="384" t="s">
        <v>149</v>
      </c>
      <c r="B26" s="384"/>
      <c r="C26" s="386" t="s">
        <v>150</v>
      </c>
      <c r="D26" s="391" t="s">
        <v>101</v>
      </c>
      <c r="E26" s="373">
        <v>0.92100000000000004</v>
      </c>
      <c r="F26" s="374"/>
      <c r="G26" s="51" t="s">
        <v>151</v>
      </c>
      <c r="H26" s="68">
        <v>3.0000000000000001E-3</v>
      </c>
      <c r="I26" s="423">
        <v>0.92149999999999999</v>
      </c>
      <c r="J26" s="423"/>
      <c r="K26" s="423">
        <v>0.92200000000000004</v>
      </c>
      <c r="L26" s="423"/>
      <c r="M26" s="423">
        <v>0.92400000000000004</v>
      </c>
      <c r="N26" s="423"/>
      <c r="O26" s="423">
        <v>0.92200000000000004</v>
      </c>
      <c r="P26" s="423"/>
      <c r="Q26" s="423">
        <v>0.92249999999999999</v>
      </c>
      <c r="R26" s="423"/>
      <c r="S26" s="423">
        <v>0.92200000000000004</v>
      </c>
      <c r="T26" s="423"/>
      <c r="U26" s="423">
        <v>0.92200000000000004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152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103</v>
      </c>
      <c r="B28" s="384"/>
      <c r="C28" s="386" t="s">
        <v>121</v>
      </c>
      <c r="D28" s="391" t="s">
        <v>101</v>
      </c>
      <c r="E28" s="373">
        <v>0.27300000000000002</v>
      </c>
      <c r="F28" s="374"/>
      <c r="G28" s="51" t="s">
        <v>102</v>
      </c>
      <c r="H28" s="68">
        <v>2E-3</v>
      </c>
      <c r="I28" s="423">
        <v>0.27300000000000002</v>
      </c>
      <c r="J28" s="423"/>
      <c r="K28" s="423">
        <v>0.27300000000000002</v>
      </c>
      <c r="L28" s="423"/>
      <c r="M28" s="423">
        <v>0.27450000000000002</v>
      </c>
      <c r="N28" s="423"/>
      <c r="O28" s="423">
        <v>0.27400000000000002</v>
      </c>
      <c r="P28" s="423"/>
      <c r="Q28" s="423">
        <v>0.27350000000000002</v>
      </c>
      <c r="R28" s="423"/>
      <c r="S28" s="423">
        <v>0.27400000000000002</v>
      </c>
      <c r="T28" s="423"/>
      <c r="U28" s="423">
        <v>0.27450000000000002</v>
      </c>
      <c r="V28" s="423"/>
      <c r="W28" s="423">
        <v>0.27400000000000002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94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105</v>
      </c>
      <c r="B30" s="384"/>
      <c r="C30" s="386" t="s">
        <v>153</v>
      </c>
      <c r="D30" s="391"/>
      <c r="E30" s="373">
        <v>1.2999999999999999E-2</v>
      </c>
      <c r="F30" s="374"/>
      <c r="G30" s="51" t="s">
        <v>151</v>
      </c>
      <c r="H30" s="68">
        <v>2E-3</v>
      </c>
      <c r="I30" s="423">
        <v>1.35E-2</v>
      </c>
      <c r="J30" s="423"/>
      <c r="K30" s="423">
        <v>1.4E-2</v>
      </c>
      <c r="L30" s="423"/>
      <c r="M30" s="423">
        <v>1.4E-2</v>
      </c>
      <c r="N30" s="423"/>
      <c r="O30" s="423">
        <v>1.4E-2</v>
      </c>
      <c r="P30" s="423"/>
      <c r="Q30" s="423">
        <v>1.4999999999999999E-2</v>
      </c>
      <c r="R30" s="423"/>
      <c r="S30" s="423">
        <v>1.4500000000000001E-2</v>
      </c>
      <c r="T30" s="423"/>
      <c r="U30" s="423">
        <v>1.4E-2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154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107</v>
      </c>
      <c r="B32" s="384"/>
      <c r="C32" s="386" t="s">
        <v>155</v>
      </c>
      <c r="D32" s="87" t="s">
        <v>156</v>
      </c>
      <c r="E32" s="88"/>
      <c r="F32" s="88"/>
      <c r="G32" s="88"/>
      <c r="H32" s="89"/>
      <c r="I32" s="379" t="s">
        <v>157</v>
      </c>
      <c r="J32" s="379"/>
      <c r="K32" s="379" t="s">
        <v>110</v>
      </c>
      <c r="L32" s="379"/>
      <c r="M32" s="379" t="s">
        <v>158</v>
      </c>
      <c r="N32" s="379"/>
      <c r="O32" s="379" t="s">
        <v>110</v>
      </c>
      <c r="P32" s="379"/>
      <c r="Q32" s="379" t="s">
        <v>158</v>
      </c>
      <c r="R32" s="379"/>
      <c r="S32" s="379" t="s">
        <v>157</v>
      </c>
      <c r="T32" s="379"/>
      <c r="U32" s="379" t="s">
        <v>110</v>
      </c>
      <c r="V32" s="379"/>
      <c r="W32" s="379" t="s">
        <v>159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90" t="s">
        <v>160</v>
      </c>
      <c r="E33" s="91"/>
      <c r="F33" s="91"/>
      <c r="G33" s="91"/>
      <c r="H33" s="92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90"/>
      <c r="E35" s="91"/>
      <c r="F35" s="91"/>
      <c r="G35" s="91"/>
      <c r="H35" s="92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87"/>
      <c r="E36" s="88"/>
      <c r="F36" s="88"/>
      <c r="G36" s="88"/>
      <c r="H36" s="8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90"/>
      <c r="E37" s="91"/>
      <c r="F37" s="91"/>
      <c r="G37" s="91"/>
      <c r="H37" s="92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87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90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87"/>
      <c r="E40" s="84"/>
      <c r="F40" s="85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90"/>
      <c r="E41" s="86"/>
      <c r="F41" s="86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87"/>
      <c r="E42" s="84"/>
      <c r="F42" s="85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90"/>
      <c r="E43" s="86"/>
      <c r="F43" s="86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87"/>
      <c r="E44" s="88"/>
      <c r="F44" s="88"/>
      <c r="G44" s="88"/>
      <c r="H44" s="8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90"/>
      <c r="E45" s="91"/>
      <c r="F45" s="91"/>
      <c r="G45" s="91"/>
      <c r="H45" s="92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87"/>
      <c r="E48" s="88"/>
      <c r="F48" s="88"/>
      <c r="G48" s="88"/>
      <c r="H48" s="8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90"/>
      <c r="E49" s="91"/>
      <c r="F49" s="91"/>
      <c r="G49" s="91"/>
      <c r="H49" s="92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161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124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162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163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100</v>
      </c>
      <c r="R72" s="401"/>
      <c r="S72" s="409" t="s">
        <v>164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167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168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57" priority="5" operator="greaterThan">
      <formula>$AA$26</formula>
    </cfRule>
    <cfRule type="cellIs" dxfId="256" priority="6" operator="lessThan">
      <formula>$AA$27</formula>
    </cfRule>
  </conditionalFormatting>
  <conditionalFormatting sqref="I28:X29">
    <cfRule type="cellIs" dxfId="255" priority="3" operator="greaterThan">
      <formula>$AA$28</formula>
    </cfRule>
    <cfRule type="cellIs" dxfId="254" priority="4" operator="lessThan">
      <formula>$AA$29</formula>
    </cfRule>
  </conditionalFormatting>
  <conditionalFormatting sqref="I30:X31">
    <cfRule type="cellIs" dxfId="253" priority="1" operator="greaterThan">
      <formula>$AA$30</formula>
    </cfRule>
    <cfRule type="cellIs" dxfId="25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169</v>
      </c>
      <c r="B2" s="496"/>
      <c r="C2" s="465" t="s">
        <v>132</v>
      </c>
      <c r="D2" s="94" t="s">
        <v>2</v>
      </c>
      <c r="E2" s="43"/>
      <c r="F2" s="369" t="s">
        <v>170</v>
      </c>
      <c r="G2" s="369"/>
      <c r="H2" s="369"/>
      <c r="I2" s="369"/>
      <c r="J2" s="369"/>
      <c r="K2" s="370"/>
      <c r="L2" s="94" t="s">
        <v>4</v>
      </c>
      <c r="M2" s="369">
        <v>4</v>
      </c>
      <c r="N2" s="499"/>
      <c r="O2" s="94" t="s">
        <v>6</v>
      </c>
      <c r="P2" s="502" t="s">
        <v>171</v>
      </c>
      <c r="Q2" s="502"/>
      <c r="R2" s="502"/>
      <c r="S2" s="502"/>
      <c r="T2" s="502"/>
      <c r="U2" s="502"/>
      <c r="V2" s="503"/>
      <c r="W2" s="94" t="s">
        <v>34</v>
      </c>
      <c r="X2" s="32">
        <v>1</v>
      </c>
      <c r="Z2" s="34" t="s">
        <v>172</v>
      </c>
    </row>
    <row r="3" spans="1:26" ht="9.9499999999999993" customHeight="1" x14ac:dyDescent="0.25">
      <c r="A3" s="497" t="s">
        <v>1</v>
      </c>
      <c r="B3" s="498"/>
      <c r="C3" s="486"/>
      <c r="D3" s="95" t="s">
        <v>3</v>
      </c>
      <c r="E3" s="44"/>
      <c r="F3" s="371"/>
      <c r="G3" s="371"/>
      <c r="H3" s="371"/>
      <c r="I3" s="371"/>
      <c r="J3" s="371"/>
      <c r="K3" s="372"/>
      <c r="L3" s="95" t="s">
        <v>5</v>
      </c>
      <c r="M3" s="500"/>
      <c r="N3" s="501"/>
      <c r="O3" s="95" t="s">
        <v>7</v>
      </c>
      <c r="P3" s="504"/>
      <c r="Q3" s="504"/>
      <c r="R3" s="504"/>
      <c r="S3" s="504"/>
      <c r="T3" s="504"/>
      <c r="U3" s="504"/>
      <c r="V3" s="505"/>
      <c r="W3" s="95" t="s">
        <v>8</v>
      </c>
      <c r="X3" s="83">
        <v>1</v>
      </c>
      <c r="Z3" s="35"/>
    </row>
    <row r="4" spans="1:26" ht="14.25" customHeight="1" x14ac:dyDescent="0.25">
      <c r="A4" s="3" t="s">
        <v>173</v>
      </c>
      <c r="B4" s="4"/>
      <c r="C4" s="4"/>
      <c r="D4" s="48"/>
      <c r="E4" s="28" t="s">
        <v>174</v>
      </c>
      <c r="F4" s="5" t="s">
        <v>175</v>
      </c>
      <c r="G4" s="5"/>
      <c r="H4" s="5"/>
      <c r="I4" s="4"/>
      <c r="J4" s="4"/>
      <c r="K4" s="28" t="s">
        <v>114</v>
      </c>
      <c r="L4" s="5" t="s">
        <v>176</v>
      </c>
      <c r="M4" s="4"/>
      <c r="N4" s="4"/>
      <c r="O4" s="94" t="s">
        <v>9</v>
      </c>
      <c r="P4" s="6"/>
      <c r="Q4" s="442" t="s">
        <v>177</v>
      </c>
      <c r="R4" s="443"/>
      <c r="S4" s="443"/>
      <c r="T4" s="444"/>
      <c r="U4" s="94" t="s">
        <v>11</v>
      </c>
      <c r="V4" s="7"/>
      <c r="W4" s="369" t="s">
        <v>71</v>
      </c>
      <c r="X4" s="499"/>
      <c r="Z4" s="34" t="s">
        <v>178</v>
      </c>
    </row>
    <row r="5" spans="1:26" ht="9.9499999999999993" customHeight="1" x14ac:dyDescent="0.2">
      <c r="A5" s="26" t="s">
        <v>179</v>
      </c>
      <c r="B5" s="8"/>
      <c r="C5" s="8"/>
      <c r="D5" s="8"/>
      <c r="E5" s="8"/>
      <c r="F5" s="27" t="s">
        <v>180</v>
      </c>
      <c r="G5" s="27"/>
      <c r="H5" s="27"/>
      <c r="I5" s="8"/>
      <c r="J5" s="8"/>
      <c r="K5" s="8"/>
      <c r="L5" s="27" t="s">
        <v>181</v>
      </c>
      <c r="M5" s="8"/>
      <c r="N5" s="9"/>
      <c r="O5" s="26" t="s">
        <v>10</v>
      </c>
      <c r="P5" s="10"/>
      <c r="Q5" s="445"/>
      <c r="R5" s="445"/>
      <c r="S5" s="445"/>
      <c r="T5" s="446"/>
      <c r="U5" s="95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88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182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183</v>
      </c>
      <c r="B22" s="487"/>
      <c r="C22" s="488"/>
      <c r="D22" s="466" t="s">
        <v>144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184</v>
      </c>
      <c r="X22" s="492"/>
      <c r="Z22" s="65" t="s">
        <v>185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186</v>
      </c>
      <c r="X23" s="494"/>
      <c r="Z23" s="66" t="s">
        <v>187</v>
      </c>
    </row>
    <row r="24" spans="1:28" ht="14.25" customHeight="1" x14ac:dyDescent="0.25">
      <c r="A24" s="447" t="s">
        <v>188</v>
      </c>
      <c r="B24" s="473"/>
      <c r="C24" s="33" t="s">
        <v>16</v>
      </c>
      <c r="D24" s="476" t="s">
        <v>97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93" t="s">
        <v>98</v>
      </c>
      <c r="D25" s="479" t="s">
        <v>189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101</v>
      </c>
    </row>
    <row r="26" spans="1:28" s="19" customFormat="1" ht="9.9499999999999993" customHeight="1" x14ac:dyDescent="0.25">
      <c r="A26" s="384" t="s">
        <v>120</v>
      </c>
      <c r="B26" s="384"/>
      <c r="C26" s="386" t="s">
        <v>100</v>
      </c>
      <c r="D26" s="391" t="s">
        <v>190</v>
      </c>
      <c r="E26" s="373">
        <v>0.92100000000000004</v>
      </c>
      <c r="F26" s="374"/>
      <c r="G26" s="51" t="s">
        <v>102</v>
      </c>
      <c r="H26" s="68">
        <v>3.0000000000000001E-3</v>
      </c>
      <c r="I26" s="423">
        <v>0.92149999999999999</v>
      </c>
      <c r="J26" s="423"/>
      <c r="K26" s="423">
        <v>0.92349999999999999</v>
      </c>
      <c r="L26" s="423"/>
      <c r="M26" s="423">
        <v>0.92400000000000004</v>
      </c>
      <c r="N26" s="423"/>
      <c r="O26" s="423">
        <v>0.92300000000000004</v>
      </c>
      <c r="P26" s="423"/>
      <c r="Q26" s="423">
        <v>0.92200000000000004</v>
      </c>
      <c r="R26" s="423"/>
      <c r="S26" s="423">
        <v>0.92200000000000004</v>
      </c>
      <c r="T26" s="423"/>
      <c r="U26" s="423">
        <v>0.92200000000000004</v>
      </c>
      <c r="V26" s="423"/>
      <c r="W26" s="423">
        <v>0.92300000000000004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154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103</v>
      </c>
      <c r="B28" s="384"/>
      <c r="C28" s="386" t="s">
        <v>191</v>
      </c>
      <c r="D28" s="391" t="s">
        <v>192</v>
      </c>
      <c r="E28" s="373">
        <v>0.27300000000000002</v>
      </c>
      <c r="F28" s="374"/>
      <c r="G28" s="51" t="s">
        <v>193</v>
      </c>
      <c r="H28" s="68">
        <v>2E-3</v>
      </c>
      <c r="I28" s="423">
        <v>0.27300000000000002</v>
      </c>
      <c r="J28" s="423"/>
      <c r="K28" s="423">
        <v>0.27300000000000002</v>
      </c>
      <c r="L28" s="423"/>
      <c r="M28" s="423">
        <v>0.27400000000000002</v>
      </c>
      <c r="N28" s="423"/>
      <c r="O28" s="423">
        <v>0.27200000000000002</v>
      </c>
      <c r="P28" s="423"/>
      <c r="Q28" s="423">
        <v>0.27300000000000002</v>
      </c>
      <c r="R28" s="423"/>
      <c r="S28" s="423">
        <v>0.27300000000000002</v>
      </c>
      <c r="T28" s="423"/>
      <c r="U28" s="423">
        <v>0.27350000000000002</v>
      </c>
      <c r="V28" s="423"/>
      <c r="W28" s="423">
        <v>0.27350000000000002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194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195</v>
      </c>
      <c r="B30" s="384"/>
      <c r="C30" s="386" t="s">
        <v>153</v>
      </c>
      <c r="D30" s="391"/>
      <c r="E30" s="373">
        <v>1.2999999999999999E-2</v>
      </c>
      <c r="F30" s="374"/>
      <c r="G30" s="51" t="s">
        <v>196</v>
      </c>
      <c r="H30" s="68">
        <v>2E-3</v>
      </c>
      <c r="I30" s="423">
        <v>1.4E-2</v>
      </c>
      <c r="J30" s="423"/>
      <c r="K30" s="423">
        <v>1.35E-2</v>
      </c>
      <c r="L30" s="423"/>
      <c r="M30" s="423">
        <v>1.4E-2</v>
      </c>
      <c r="N30" s="423"/>
      <c r="O30" s="423">
        <v>1.2999999999999999E-2</v>
      </c>
      <c r="P30" s="423"/>
      <c r="Q30" s="423">
        <v>1.4E-2</v>
      </c>
      <c r="R30" s="423"/>
      <c r="S30" s="423">
        <v>1.2E-2</v>
      </c>
      <c r="T30" s="423"/>
      <c r="U30" s="423">
        <v>1.2999999999999999E-2</v>
      </c>
      <c r="V30" s="423"/>
      <c r="W30" s="423">
        <v>1.2500000000000001E-2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187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197</v>
      </c>
      <c r="B32" s="384"/>
      <c r="C32" s="386" t="s">
        <v>198</v>
      </c>
      <c r="D32" s="87" t="s">
        <v>156</v>
      </c>
      <c r="E32" s="88"/>
      <c r="F32" s="88"/>
      <c r="G32" s="88"/>
      <c r="H32" s="89"/>
      <c r="I32" s="379" t="s">
        <v>110</v>
      </c>
      <c r="J32" s="379"/>
      <c r="K32" s="379" t="s">
        <v>157</v>
      </c>
      <c r="L32" s="379"/>
      <c r="M32" s="379" t="s">
        <v>157</v>
      </c>
      <c r="N32" s="379"/>
      <c r="O32" s="379" t="s">
        <v>199</v>
      </c>
      <c r="P32" s="379"/>
      <c r="Q32" s="379" t="s">
        <v>200</v>
      </c>
      <c r="R32" s="379"/>
      <c r="S32" s="379" t="s">
        <v>110</v>
      </c>
      <c r="T32" s="379"/>
      <c r="U32" s="379" t="s">
        <v>110</v>
      </c>
      <c r="V32" s="379"/>
      <c r="W32" s="379" t="s">
        <v>110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90" t="s">
        <v>201</v>
      </c>
      <c r="E33" s="91"/>
      <c r="F33" s="91"/>
      <c r="G33" s="91"/>
      <c r="H33" s="92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90"/>
      <c r="E35" s="91"/>
      <c r="F35" s="91"/>
      <c r="G35" s="91"/>
      <c r="H35" s="92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87"/>
      <c r="E36" s="88"/>
      <c r="F36" s="88"/>
      <c r="G36" s="88"/>
      <c r="H36" s="8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90"/>
      <c r="E37" s="91"/>
      <c r="F37" s="91"/>
      <c r="G37" s="91"/>
      <c r="H37" s="92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87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90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87"/>
      <c r="E40" s="84"/>
      <c r="F40" s="85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90"/>
      <c r="E41" s="86"/>
      <c r="F41" s="86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87"/>
      <c r="E42" s="84"/>
      <c r="F42" s="85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90"/>
      <c r="E43" s="86"/>
      <c r="F43" s="86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87"/>
      <c r="E44" s="88"/>
      <c r="F44" s="88"/>
      <c r="G44" s="88"/>
      <c r="H44" s="8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90"/>
      <c r="E45" s="91"/>
      <c r="F45" s="91"/>
      <c r="G45" s="91"/>
      <c r="H45" s="92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87"/>
      <c r="E48" s="88"/>
      <c r="F48" s="88"/>
      <c r="G48" s="88"/>
      <c r="H48" s="8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90"/>
      <c r="E49" s="91"/>
      <c r="F49" s="91"/>
      <c r="G49" s="91"/>
      <c r="H49" s="92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202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124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203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204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205</v>
      </c>
      <c r="R72" s="401"/>
      <c r="S72" s="409" t="s">
        <v>128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206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166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129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51" priority="5" operator="greaterThan">
      <formula>$AA$26</formula>
    </cfRule>
    <cfRule type="cellIs" dxfId="250" priority="6" operator="lessThan">
      <formula>$AA$27</formula>
    </cfRule>
  </conditionalFormatting>
  <conditionalFormatting sqref="I28:X29">
    <cfRule type="cellIs" dxfId="249" priority="3" operator="greaterThan">
      <formula>$AA$28</formula>
    </cfRule>
    <cfRule type="cellIs" dxfId="248" priority="4" operator="lessThan">
      <formula>$AA$29</formula>
    </cfRule>
  </conditionalFormatting>
  <conditionalFormatting sqref="I30:X31">
    <cfRule type="cellIs" dxfId="247" priority="1" operator="greaterThan">
      <formula>$AA$30</formula>
    </cfRule>
    <cfRule type="cellIs" dxfId="24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169</v>
      </c>
      <c r="B2" s="496"/>
      <c r="C2" s="465" t="s">
        <v>132</v>
      </c>
      <c r="D2" s="99" t="s">
        <v>2</v>
      </c>
      <c r="E2" s="43"/>
      <c r="F2" s="369" t="s">
        <v>170</v>
      </c>
      <c r="G2" s="369"/>
      <c r="H2" s="369"/>
      <c r="I2" s="369"/>
      <c r="J2" s="369"/>
      <c r="K2" s="370"/>
      <c r="L2" s="99" t="s">
        <v>4</v>
      </c>
      <c r="M2" s="369">
        <v>4</v>
      </c>
      <c r="N2" s="499"/>
      <c r="O2" s="99" t="s">
        <v>6</v>
      </c>
      <c r="P2" s="502" t="s">
        <v>171</v>
      </c>
      <c r="Q2" s="502"/>
      <c r="R2" s="502"/>
      <c r="S2" s="502"/>
      <c r="T2" s="502"/>
      <c r="U2" s="502"/>
      <c r="V2" s="503"/>
      <c r="W2" s="99" t="s">
        <v>34</v>
      </c>
      <c r="X2" s="32">
        <v>1</v>
      </c>
      <c r="Z2" s="34" t="s">
        <v>135</v>
      </c>
    </row>
    <row r="3" spans="1:26" ht="9.9499999999999993" customHeight="1" x14ac:dyDescent="0.25">
      <c r="A3" s="497" t="s">
        <v>1</v>
      </c>
      <c r="B3" s="498"/>
      <c r="C3" s="486"/>
      <c r="D3" s="100" t="s">
        <v>3</v>
      </c>
      <c r="E3" s="44"/>
      <c r="F3" s="371"/>
      <c r="G3" s="371"/>
      <c r="H3" s="371"/>
      <c r="I3" s="371"/>
      <c r="J3" s="371"/>
      <c r="K3" s="372"/>
      <c r="L3" s="100" t="s">
        <v>5</v>
      </c>
      <c r="M3" s="500"/>
      <c r="N3" s="501"/>
      <c r="O3" s="100" t="s">
        <v>7</v>
      </c>
      <c r="P3" s="504"/>
      <c r="Q3" s="504"/>
      <c r="R3" s="504"/>
      <c r="S3" s="504"/>
      <c r="T3" s="504"/>
      <c r="U3" s="504"/>
      <c r="V3" s="505"/>
      <c r="W3" s="100" t="s">
        <v>8</v>
      </c>
      <c r="X3" s="108">
        <v>1</v>
      </c>
      <c r="Z3" s="35"/>
    </row>
    <row r="4" spans="1:26" ht="14.25" customHeight="1" x14ac:dyDescent="0.25">
      <c r="A4" s="3" t="s">
        <v>136</v>
      </c>
      <c r="B4" s="4"/>
      <c r="C4" s="4"/>
      <c r="D4" s="48"/>
      <c r="E4" s="28" t="s">
        <v>137</v>
      </c>
      <c r="F4" s="5" t="s">
        <v>138</v>
      </c>
      <c r="G4" s="5"/>
      <c r="H4" s="5"/>
      <c r="I4" s="4"/>
      <c r="J4" s="4"/>
      <c r="K4" s="28" t="s">
        <v>114</v>
      </c>
      <c r="L4" s="5" t="s">
        <v>82</v>
      </c>
      <c r="M4" s="4"/>
      <c r="N4" s="4"/>
      <c r="O4" s="99" t="s">
        <v>9</v>
      </c>
      <c r="P4" s="6"/>
      <c r="Q4" s="442" t="s">
        <v>207</v>
      </c>
      <c r="R4" s="443"/>
      <c r="S4" s="443"/>
      <c r="T4" s="444"/>
      <c r="U4" s="99" t="s">
        <v>11</v>
      </c>
      <c r="V4" s="7"/>
      <c r="W4" s="369" t="s">
        <v>71</v>
      </c>
      <c r="X4" s="499"/>
      <c r="Z4" s="34" t="s">
        <v>178</v>
      </c>
    </row>
    <row r="5" spans="1:26" ht="9.9499999999999993" customHeight="1" x14ac:dyDescent="0.2">
      <c r="A5" s="26" t="s">
        <v>84</v>
      </c>
      <c r="B5" s="8"/>
      <c r="C5" s="8"/>
      <c r="D5" s="8"/>
      <c r="E5" s="8"/>
      <c r="F5" s="27" t="s">
        <v>85</v>
      </c>
      <c r="G5" s="27"/>
      <c r="H5" s="27"/>
      <c r="I5" s="8"/>
      <c r="J5" s="8"/>
      <c r="K5" s="8"/>
      <c r="L5" s="27" t="s">
        <v>118</v>
      </c>
      <c r="M5" s="8"/>
      <c r="N5" s="9"/>
      <c r="O5" s="26" t="s">
        <v>10</v>
      </c>
      <c r="P5" s="10"/>
      <c r="Q5" s="445"/>
      <c r="R5" s="445"/>
      <c r="S5" s="445"/>
      <c r="T5" s="446"/>
      <c r="U5" s="100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208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170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145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209</v>
      </c>
      <c r="X22" s="492"/>
      <c r="Z22" s="65" t="s">
        <v>151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210</v>
      </c>
      <c r="X23" s="494"/>
      <c r="Z23" s="66" t="s">
        <v>104</v>
      </c>
    </row>
    <row r="24" spans="1:28" ht="14.25" customHeight="1" x14ac:dyDescent="0.25">
      <c r="A24" s="447" t="s">
        <v>95</v>
      </c>
      <c r="B24" s="473"/>
      <c r="C24" s="33" t="s">
        <v>16</v>
      </c>
      <c r="D24" s="476" t="s">
        <v>97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07" t="s">
        <v>211</v>
      </c>
      <c r="D25" s="479" t="s">
        <v>212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190</v>
      </c>
    </row>
    <row r="26" spans="1:28" s="19" customFormat="1" ht="9.9499999999999993" customHeight="1" x14ac:dyDescent="0.25">
      <c r="A26" s="384" t="s">
        <v>120</v>
      </c>
      <c r="B26" s="384"/>
      <c r="C26" s="386" t="s">
        <v>213</v>
      </c>
      <c r="D26" s="391" t="s">
        <v>214</v>
      </c>
      <c r="E26" s="373">
        <v>0.92100000000000004</v>
      </c>
      <c r="F26" s="374"/>
      <c r="G26" s="51" t="s">
        <v>215</v>
      </c>
      <c r="H26" s="68">
        <v>3.0000000000000001E-3</v>
      </c>
      <c r="I26" s="423">
        <v>0.92200000000000004</v>
      </c>
      <c r="J26" s="423"/>
      <c r="K26" s="423">
        <v>0.92300000000000004</v>
      </c>
      <c r="L26" s="423"/>
      <c r="M26" s="423">
        <v>0.92349999999999999</v>
      </c>
      <c r="N26" s="423"/>
      <c r="O26" s="423">
        <v>0.92249999999999999</v>
      </c>
      <c r="P26" s="423"/>
      <c r="Q26" s="423">
        <v>0.92249999999999999</v>
      </c>
      <c r="R26" s="423"/>
      <c r="S26" s="423">
        <v>0.92100000000000004</v>
      </c>
      <c r="T26" s="423"/>
      <c r="U26" s="423">
        <v>0.92149999999999999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216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103</v>
      </c>
      <c r="B28" s="384"/>
      <c r="C28" s="386" t="s">
        <v>217</v>
      </c>
      <c r="D28" s="391" t="s">
        <v>214</v>
      </c>
      <c r="E28" s="373">
        <v>0.27300000000000002</v>
      </c>
      <c r="F28" s="374"/>
      <c r="G28" s="51" t="s">
        <v>215</v>
      </c>
      <c r="H28" s="68">
        <v>2E-3</v>
      </c>
      <c r="I28" s="423">
        <v>0.2717</v>
      </c>
      <c r="J28" s="423"/>
      <c r="K28" s="423">
        <v>0.27250000000000002</v>
      </c>
      <c r="L28" s="423"/>
      <c r="M28" s="423">
        <v>0.27279999999999999</v>
      </c>
      <c r="N28" s="423"/>
      <c r="O28" s="423">
        <v>0.27250000000000002</v>
      </c>
      <c r="P28" s="423"/>
      <c r="Q28" s="423">
        <v>0.2722</v>
      </c>
      <c r="R28" s="423"/>
      <c r="S28" s="423">
        <v>0.27229999999999999</v>
      </c>
      <c r="T28" s="423"/>
      <c r="U28" s="423">
        <v>0.27273999999999998</v>
      </c>
      <c r="V28" s="423"/>
      <c r="W28" s="423">
        <v>0.2717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104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218</v>
      </c>
      <c r="B30" s="384"/>
      <c r="C30" s="386" t="s">
        <v>100</v>
      </c>
      <c r="D30" s="391"/>
      <c r="E30" s="373">
        <v>1.2999999999999999E-2</v>
      </c>
      <c r="F30" s="374"/>
      <c r="G30" s="51" t="s">
        <v>215</v>
      </c>
      <c r="H30" s="68">
        <v>2E-3</v>
      </c>
      <c r="I30" s="423">
        <v>1.4E-2</v>
      </c>
      <c r="J30" s="423"/>
      <c r="K30" s="423">
        <v>1.35E-2</v>
      </c>
      <c r="L30" s="423"/>
      <c r="M30" s="423">
        <v>1.35E-2</v>
      </c>
      <c r="N30" s="423"/>
      <c r="O30" s="423">
        <v>1.35E-2</v>
      </c>
      <c r="P30" s="423"/>
      <c r="Q30" s="423">
        <v>1.35E-2</v>
      </c>
      <c r="R30" s="423"/>
      <c r="S30" s="423">
        <v>1.2500000000000001E-2</v>
      </c>
      <c r="T30" s="423"/>
      <c r="U30" s="423">
        <v>1.35E-2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219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220</v>
      </c>
      <c r="B32" s="384"/>
      <c r="C32" s="386" t="s">
        <v>221</v>
      </c>
      <c r="D32" s="101" t="s">
        <v>109</v>
      </c>
      <c r="E32" s="102"/>
      <c r="F32" s="102"/>
      <c r="G32" s="102"/>
      <c r="H32" s="103"/>
      <c r="I32" s="379" t="s">
        <v>110</v>
      </c>
      <c r="J32" s="379"/>
      <c r="K32" s="379" t="s">
        <v>222</v>
      </c>
      <c r="L32" s="379"/>
      <c r="M32" s="379" t="s">
        <v>110</v>
      </c>
      <c r="N32" s="379"/>
      <c r="O32" s="379" t="s">
        <v>223</v>
      </c>
      <c r="P32" s="379"/>
      <c r="Q32" s="379" t="s">
        <v>224</v>
      </c>
      <c r="R32" s="379"/>
      <c r="S32" s="379" t="s">
        <v>222</v>
      </c>
      <c r="T32" s="379"/>
      <c r="U32" s="379" t="s">
        <v>110</v>
      </c>
      <c r="V32" s="379"/>
      <c r="W32" s="379" t="s">
        <v>222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04" t="s">
        <v>225</v>
      </c>
      <c r="E33" s="105"/>
      <c r="F33" s="105"/>
      <c r="G33" s="105"/>
      <c r="H33" s="106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04"/>
      <c r="E35" s="105"/>
      <c r="F35" s="105"/>
      <c r="G35" s="105"/>
      <c r="H35" s="106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01"/>
      <c r="E36" s="102"/>
      <c r="F36" s="102"/>
      <c r="G36" s="102"/>
      <c r="H36" s="103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04"/>
      <c r="E37" s="105"/>
      <c r="F37" s="105"/>
      <c r="G37" s="105"/>
      <c r="H37" s="106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01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04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01"/>
      <c r="E40" s="96"/>
      <c r="F40" s="97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04"/>
      <c r="E41" s="98"/>
      <c r="F41" s="98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01"/>
      <c r="E42" s="96"/>
      <c r="F42" s="97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04"/>
      <c r="E43" s="98"/>
      <c r="F43" s="98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01"/>
      <c r="E44" s="102"/>
      <c r="F44" s="102"/>
      <c r="G44" s="102"/>
      <c r="H44" s="103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04"/>
      <c r="E45" s="105"/>
      <c r="F45" s="105"/>
      <c r="G45" s="105"/>
      <c r="H45" s="106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01"/>
      <c r="E48" s="102"/>
      <c r="F48" s="102"/>
      <c r="G48" s="102"/>
      <c r="H48" s="103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04"/>
      <c r="E49" s="105"/>
      <c r="F49" s="105"/>
      <c r="G49" s="105"/>
      <c r="H49" s="106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226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227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228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229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230</v>
      </c>
      <c r="R72" s="401"/>
      <c r="S72" s="409" t="s">
        <v>128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231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232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233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9">
    <cfRule type="cellIs" dxfId="243" priority="3" operator="greaterThan">
      <formula>$AA$28</formula>
    </cfRule>
    <cfRule type="cellIs" dxfId="242" priority="4" operator="lessThan">
      <formula>$AA$29</formula>
    </cfRule>
  </conditionalFormatting>
  <conditionalFormatting sqref="I30:X31">
    <cfRule type="cellIs" dxfId="241" priority="1" operator="greaterThan">
      <formula>$AA$30</formula>
    </cfRule>
    <cfRule type="cellIs" dxfId="24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169</v>
      </c>
      <c r="B2" s="496"/>
      <c r="C2" s="465" t="s">
        <v>234</v>
      </c>
      <c r="D2" s="99" t="s">
        <v>2</v>
      </c>
      <c r="E2" s="43"/>
      <c r="F2" s="369" t="s">
        <v>235</v>
      </c>
      <c r="G2" s="369"/>
      <c r="H2" s="369"/>
      <c r="I2" s="369"/>
      <c r="J2" s="369"/>
      <c r="K2" s="370"/>
      <c r="L2" s="99" t="s">
        <v>4</v>
      </c>
      <c r="M2" s="369">
        <v>4</v>
      </c>
      <c r="N2" s="499"/>
      <c r="O2" s="99" t="s">
        <v>6</v>
      </c>
      <c r="P2" s="502" t="s">
        <v>171</v>
      </c>
      <c r="Q2" s="502"/>
      <c r="R2" s="502"/>
      <c r="S2" s="502"/>
      <c r="T2" s="502"/>
      <c r="U2" s="502"/>
      <c r="V2" s="503"/>
      <c r="W2" s="99" t="s">
        <v>34</v>
      </c>
      <c r="X2" s="32">
        <v>1</v>
      </c>
      <c r="Z2" s="34" t="s">
        <v>236</v>
      </c>
    </row>
    <row r="3" spans="1:26" ht="9.9499999999999993" customHeight="1" x14ac:dyDescent="0.25">
      <c r="A3" s="497" t="s">
        <v>1</v>
      </c>
      <c r="B3" s="498"/>
      <c r="C3" s="486"/>
      <c r="D3" s="100" t="s">
        <v>3</v>
      </c>
      <c r="E3" s="44"/>
      <c r="F3" s="371"/>
      <c r="G3" s="371"/>
      <c r="H3" s="371"/>
      <c r="I3" s="371"/>
      <c r="J3" s="371"/>
      <c r="K3" s="372"/>
      <c r="L3" s="100" t="s">
        <v>5</v>
      </c>
      <c r="M3" s="500"/>
      <c r="N3" s="501"/>
      <c r="O3" s="100" t="s">
        <v>7</v>
      </c>
      <c r="P3" s="504"/>
      <c r="Q3" s="504"/>
      <c r="R3" s="504"/>
      <c r="S3" s="504"/>
      <c r="T3" s="504"/>
      <c r="U3" s="504"/>
      <c r="V3" s="505"/>
      <c r="W3" s="100" t="s">
        <v>8</v>
      </c>
      <c r="X3" s="108">
        <v>1</v>
      </c>
      <c r="Z3" s="35"/>
    </row>
    <row r="4" spans="1:26" ht="14.25" customHeight="1" x14ac:dyDescent="0.25">
      <c r="A4" s="3" t="s">
        <v>237</v>
      </c>
      <c r="B4" s="4"/>
      <c r="C4" s="4"/>
      <c r="D4" s="48"/>
      <c r="E4" s="28" t="s">
        <v>137</v>
      </c>
      <c r="F4" s="5" t="s">
        <v>238</v>
      </c>
      <c r="G4" s="5"/>
      <c r="H4" s="5"/>
      <c r="I4" s="4"/>
      <c r="J4" s="4"/>
      <c r="K4" s="28" t="s">
        <v>239</v>
      </c>
      <c r="L4" s="5" t="s">
        <v>240</v>
      </c>
      <c r="M4" s="4"/>
      <c r="N4" s="4"/>
      <c r="O4" s="99" t="s">
        <v>9</v>
      </c>
      <c r="P4" s="6"/>
      <c r="Q4" s="442" t="s">
        <v>241</v>
      </c>
      <c r="R4" s="443"/>
      <c r="S4" s="443"/>
      <c r="T4" s="444"/>
      <c r="U4" s="99" t="s">
        <v>11</v>
      </c>
      <c r="V4" s="7"/>
      <c r="W4" s="369" t="s">
        <v>71</v>
      </c>
      <c r="X4" s="499"/>
      <c r="Z4" s="34" t="s">
        <v>242</v>
      </c>
    </row>
    <row r="5" spans="1:26" ht="9.9499999999999993" customHeight="1" x14ac:dyDescent="0.2">
      <c r="A5" s="26" t="s">
        <v>243</v>
      </c>
      <c r="B5" s="8"/>
      <c r="C5" s="8"/>
      <c r="D5" s="8"/>
      <c r="E5" s="8"/>
      <c r="F5" s="27" t="s">
        <v>85</v>
      </c>
      <c r="G5" s="27"/>
      <c r="H5" s="27"/>
      <c r="I5" s="8"/>
      <c r="J5" s="8"/>
      <c r="K5" s="8"/>
      <c r="L5" s="27" t="s">
        <v>244</v>
      </c>
      <c r="M5" s="8"/>
      <c r="N5" s="9"/>
      <c r="O5" s="26" t="s">
        <v>10</v>
      </c>
      <c r="P5" s="10"/>
      <c r="Q5" s="445"/>
      <c r="R5" s="445"/>
      <c r="S5" s="445"/>
      <c r="T5" s="446"/>
      <c r="U5" s="100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245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235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145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92</v>
      </c>
      <c r="X22" s="492"/>
      <c r="Z22" s="65" t="s">
        <v>246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247</v>
      </c>
      <c r="X23" s="494"/>
      <c r="Z23" s="66" t="s">
        <v>104</v>
      </c>
    </row>
    <row r="24" spans="1:28" ht="14.25" customHeight="1" x14ac:dyDescent="0.25">
      <c r="A24" s="447" t="s">
        <v>95</v>
      </c>
      <c r="B24" s="473"/>
      <c r="C24" s="33" t="s">
        <v>16</v>
      </c>
      <c r="D24" s="476" t="s">
        <v>248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07" t="s">
        <v>98</v>
      </c>
      <c r="D25" s="479" t="s">
        <v>249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250</v>
      </c>
    </row>
    <row r="26" spans="1:28" s="19" customFormat="1" ht="9.9499999999999993" customHeight="1" x14ac:dyDescent="0.25">
      <c r="A26" s="384" t="s">
        <v>120</v>
      </c>
      <c r="B26" s="384"/>
      <c r="C26" s="386" t="s">
        <v>251</v>
      </c>
      <c r="D26" s="391" t="s">
        <v>252</v>
      </c>
      <c r="E26" s="373">
        <v>0.92100000000000004</v>
      </c>
      <c r="F26" s="374"/>
      <c r="G26" s="51" t="s">
        <v>253</v>
      </c>
      <c r="H26" s="68">
        <v>3.0000000000000001E-3</v>
      </c>
      <c r="I26" s="423">
        <v>0.92149999999999999</v>
      </c>
      <c r="J26" s="423"/>
      <c r="K26" s="423">
        <v>0.92100000000000004</v>
      </c>
      <c r="L26" s="423"/>
      <c r="M26" s="423">
        <v>0.92400000000000004</v>
      </c>
      <c r="N26" s="423"/>
      <c r="O26" s="423">
        <v>0.92200000000000004</v>
      </c>
      <c r="P26" s="423"/>
      <c r="Q26" s="423">
        <v>0.92200000000000004</v>
      </c>
      <c r="R26" s="423"/>
      <c r="S26" s="423">
        <v>0.92100000000000004</v>
      </c>
      <c r="T26" s="423"/>
      <c r="U26" s="423">
        <v>0.92100000000000004</v>
      </c>
      <c r="V26" s="423"/>
      <c r="W26" s="423">
        <v>0.92400000000000004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254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255</v>
      </c>
      <c r="B28" s="384"/>
      <c r="C28" s="386" t="s">
        <v>256</v>
      </c>
      <c r="D28" s="391" t="s">
        <v>257</v>
      </c>
      <c r="E28" s="373">
        <v>0.27300000000000002</v>
      </c>
      <c r="F28" s="374"/>
      <c r="G28" s="51" t="s">
        <v>258</v>
      </c>
      <c r="H28" s="68">
        <v>2E-3</v>
      </c>
      <c r="I28" s="423">
        <v>0.27300000000000002</v>
      </c>
      <c r="J28" s="423"/>
      <c r="K28" s="423">
        <v>0.27200000000000002</v>
      </c>
      <c r="L28" s="423"/>
      <c r="M28" s="423">
        <v>0.27400000000000002</v>
      </c>
      <c r="N28" s="423"/>
      <c r="O28" s="423">
        <v>0.27260000000000001</v>
      </c>
      <c r="P28" s="423"/>
      <c r="Q28" s="423">
        <v>0.27300000000000002</v>
      </c>
      <c r="R28" s="423"/>
      <c r="S28" s="423">
        <v>0.27200000000000002</v>
      </c>
      <c r="T28" s="423"/>
      <c r="U28" s="423">
        <v>0.27200000000000002</v>
      </c>
      <c r="V28" s="423"/>
      <c r="W28" s="423">
        <v>0.27400000000000002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259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105</v>
      </c>
      <c r="B30" s="384"/>
      <c r="C30" s="386" t="s">
        <v>213</v>
      </c>
      <c r="D30" s="391"/>
      <c r="E30" s="373">
        <v>1.2999999999999999E-2</v>
      </c>
      <c r="F30" s="374"/>
      <c r="G30" s="51" t="s">
        <v>258</v>
      </c>
      <c r="H30" s="68">
        <v>2E-3</v>
      </c>
      <c r="I30" s="423">
        <v>1.35E-2</v>
      </c>
      <c r="J30" s="423"/>
      <c r="K30" s="423">
        <v>1.4500000000000001E-2</v>
      </c>
      <c r="L30" s="423"/>
      <c r="M30" s="423">
        <v>1.4E-2</v>
      </c>
      <c r="N30" s="423"/>
      <c r="O30" s="423">
        <v>1.2999999999999999E-2</v>
      </c>
      <c r="P30" s="423"/>
      <c r="Q30" s="423">
        <v>1.4E-2</v>
      </c>
      <c r="R30" s="423"/>
      <c r="S30" s="423">
        <v>1.4500000000000001E-2</v>
      </c>
      <c r="T30" s="423"/>
      <c r="U30" s="423">
        <v>1.35E-2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259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220</v>
      </c>
      <c r="B32" s="384"/>
      <c r="C32" s="386" t="s">
        <v>260</v>
      </c>
      <c r="D32" s="101" t="s">
        <v>261</v>
      </c>
      <c r="E32" s="102"/>
      <c r="F32" s="102"/>
      <c r="G32" s="102"/>
      <c r="H32" s="103"/>
      <c r="I32" s="379" t="s">
        <v>110</v>
      </c>
      <c r="J32" s="379"/>
      <c r="K32" s="379" t="s">
        <v>222</v>
      </c>
      <c r="L32" s="379"/>
      <c r="M32" s="379" t="s">
        <v>262</v>
      </c>
      <c r="N32" s="379"/>
      <c r="O32" s="379" t="s">
        <v>222</v>
      </c>
      <c r="P32" s="379"/>
      <c r="Q32" s="379" t="s">
        <v>222</v>
      </c>
      <c r="R32" s="379"/>
      <c r="S32" s="379" t="s">
        <v>222</v>
      </c>
      <c r="T32" s="379"/>
      <c r="U32" s="379" t="s">
        <v>110</v>
      </c>
      <c r="V32" s="379"/>
      <c r="W32" s="379" t="s">
        <v>222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04" t="s">
        <v>225</v>
      </c>
      <c r="E33" s="105"/>
      <c r="F33" s="105"/>
      <c r="G33" s="105"/>
      <c r="H33" s="106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04"/>
      <c r="E35" s="105"/>
      <c r="F35" s="105"/>
      <c r="G35" s="105"/>
      <c r="H35" s="106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01"/>
      <c r="E36" s="102"/>
      <c r="F36" s="102"/>
      <c r="G36" s="102"/>
      <c r="H36" s="103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04"/>
      <c r="E37" s="105"/>
      <c r="F37" s="105"/>
      <c r="G37" s="105"/>
      <c r="H37" s="106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01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04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01"/>
      <c r="E40" s="96"/>
      <c r="F40" s="97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04"/>
      <c r="E41" s="98"/>
      <c r="F41" s="98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01"/>
      <c r="E42" s="96"/>
      <c r="F42" s="97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04"/>
      <c r="E43" s="98"/>
      <c r="F43" s="98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01"/>
      <c r="E44" s="102"/>
      <c r="F44" s="102"/>
      <c r="G44" s="102"/>
      <c r="H44" s="103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04"/>
      <c r="E45" s="105"/>
      <c r="F45" s="105"/>
      <c r="G45" s="105"/>
      <c r="H45" s="106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01"/>
      <c r="E48" s="102"/>
      <c r="F48" s="102"/>
      <c r="G48" s="102"/>
      <c r="H48" s="103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04"/>
      <c r="E49" s="105"/>
      <c r="F49" s="105"/>
      <c r="G49" s="105"/>
      <c r="H49" s="106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263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264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265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266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267</v>
      </c>
      <c r="R72" s="401"/>
      <c r="S72" s="409" t="s">
        <v>268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269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270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271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39" priority="5" operator="greaterThan">
      <formula>$AA$26</formula>
    </cfRule>
    <cfRule type="cellIs" dxfId="238" priority="6" operator="lessThan">
      <formula>$AA$27</formula>
    </cfRule>
  </conditionalFormatting>
  <conditionalFormatting sqref="I28:X29">
    <cfRule type="cellIs" dxfId="237" priority="3" operator="greaterThan">
      <formula>$AA$28</formula>
    </cfRule>
    <cfRule type="cellIs" dxfId="236" priority="4" operator="lessThan">
      <formula>$AA$29</formula>
    </cfRule>
  </conditionalFormatting>
  <conditionalFormatting sqref="I30:X31">
    <cfRule type="cellIs" dxfId="235" priority="1" operator="greaterThan">
      <formula>$AA$30</formula>
    </cfRule>
    <cfRule type="cellIs" dxfId="23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131</v>
      </c>
      <c r="B2" s="496"/>
      <c r="C2" s="465" t="s">
        <v>272</v>
      </c>
      <c r="D2" s="120" t="s">
        <v>2</v>
      </c>
      <c r="E2" s="43"/>
      <c r="F2" s="369" t="s">
        <v>89</v>
      </c>
      <c r="G2" s="369"/>
      <c r="H2" s="369"/>
      <c r="I2" s="369"/>
      <c r="J2" s="369"/>
      <c r="K2" s="370"/>
      <c r="L2" s="120" t="s">
        <v>4</v>
      </c>
      <c r="M2" s="369">
        <v>4</v>
      </c>
      <c r="N2" s="499"/>
      <c r="O2" s="120" t="s">
        <v>6</v>
      </c>
      <c r="P2" s="502" t="s">
        <v>273</v>
      </c>
      <c r="Q2" s="502"/>
      <c r="R2" s="502"/>
      <c r="S2" s="502"/>
      <c r="T2" s="502"/>
      <c r="U2" s="502"/>
      <c r="V2" s="503"/>
      <c r="W2" s="120" t="s">
        <v>34</v>
      </c>
      <c r="X2" s="32">
        <v>1</v>
      </c>
      <c r="Z2" s="34" t="s">
        <v>274</v>
      </c>
    </row>
    <row r="3" spans="1:26" ht="9.9499999999999993" customHeight="1" x14ac:dyDescent="0.25">
      <c r="A3" s="497" t="s">
        <v>1</v>
      </c>
      <c r="B3" s="498"/>
      <c r="C3" s="486"/>
      <c r="D3" s="121" t="s">
        <v>3</v>
      </c>
      <c r="E3" s="44"/>
      <c r="F3" s="371"/>
      <c r="G3" s="371"/>
      <c r="H3" s="371"/>
      <c r="I3" s="371"/>
      <c r="J3" s="371"/>
      <c r="K3" s="372"/>
      <c r="L3" s="121" t="s">
        <v>5</v>
      </c>
      <c r="M3" s="500"/>
      <c r="N3" s="501"/>
      <c r="O3" s="121" t="s">
        <v>7</v>
      </c>
      <c r="P3" s="504"/>
      <c r="Q3" s="504"/>
      <c r="R3" s="504"/>
      <c r="S3" s="504"/>
      <c r="T3" s="504"/>
      <c r="U3" s="504"/>
      <c r="V3" s="505"/>
      <c r="W3" s="121" t="s">
        <v>8</v>
      </c>
      <c r="X3" s="109">
        <v>1</v>
      </c>
      <c r="Z3" s="35"/>
    </row>
    <row r="4" spans="1:26" ht="14.25" customHeight="1" x14ac:dyDescent="0.25">
      <c r="A4" s="3" t="s">
        <v>275</v>
      </c>
      <c r="B4" s="4"/>
      <c r="C4" s="4"/>
      <c r="D4" s="48"/>
      <c r="E4" s="28" t="s">
        <v>137</v>
      </c>
      <c r="F4" s="5" t="s">
        <v>276</v>
      </c>
      <c r="G4" s="5"/>
      <c r="H4" s="5"/>
      <c r="I4" s="4"/>
      <c r="J4" s="4"/>
      <c r="K4" s="28" t="s">
        <v>277</v>
      </c>
      <c r="L4" s="5" t="s">
        <v>278</v>
      </c>
      <c r="M4" s="4"/>
      <c r="N4" s="4"/>
      <c r="O4" s="120" t="s">
        <v>9</v>
      </c>
      <c r="P4" s="6"/>
      <c r="Q4" s="442" t="s">
        <v>279</v>
      </c>
      <c r="R4" s="443"/>
      <c r="S4" s="443"/>
      <c r="T4" s="444"/>
      <c r="U4" s="120" t="s">
        <v>11</v>
      </c>
      <c r="V4" s="7"/>
      <c r="W4" s="369" t="s">
        <v>71</v>
      </c>
      <c r="X4" s="499"/>
      <c r="Z4" s="34" t="s">
        <v>141</v>
      </c>
    </row>
    <row r="5" spans="1:26" ht="9.9499999999999993" customHeight="1" x14ac:dyDescent="0.2">
      <c r="A5" s="26" t="s">
        <v>280</v>
      </c>
      <c r="B5" s="8"/>
      <c r="C5" s="8"/>
      <c r="D5" s="8"/>
      <c r="E5" s="8"/>
      <c r="F5" s="27" t="s">
        <v>85</v>
      </c>
      <c r="G5" s="27"/>
      <c r="H5" s="27"/>
      <c r="I5" s="8"/>
      <c r="J5" s="8"/>
      <c r="K5" s="8"/>
      <c r="L5" s="27" t="s">
        <v>87</v>
      </c>
      <c r="M5" s="8"/>
      <c r="N5" s="9"/>
      <c r="O5" s="26" t="s">
        <v>10</v>
      </c>
      <c r="P5" s="10"/>
      <c r="Q5" s="445"/>
      <c r="R5" s="445"/>
      <c r="S5" s="445"/>
      <c r="T5" s="446"/>
      <c r="U5" s="121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281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282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283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284</v>
      </c>
      <c r="X22" s="492"/>
      <c r="Z22" s="65" t="s">
        <v>285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286</v>
      </c>
      <c r="X23" s="494"/>
      <c r="Z23" s="66" t="s">
        <v>287</v>
      </c>
    </row>
    <row r="24" spans="1:28" ht="14.25" customHeight="1" x14ac:dyDescent="0.25">
      <c r="A24" s="447" t="s">
        <v>288</v>
      </c>
      <c r="B24" s="473"/>
      <c r="C24" s="33" t="s">
        <v>16</v>
      </c>
      <c r="D24" s="476" t="s">
        <v>97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19" t="s">
        <v>289</v>
      </c>
      <c r="D25" s="479" t="s">
        <v>290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291</v>
      </c>
    </row>
    <row r="26" spans="1:28" s="19" customFormat="1" ht="9.9499999999999993" customHeight="1" x14ac:dyDescent="0.25">
      <c r="A26" s="384" t="s">
        <v>292</v>
      </c>
      <c r="B26" s="384"/>
      <c r="C26" s="386" t="s">
        <v>293</v>
      </c>
      <c r="D26" s="391" t="s">
        <v>294</v>
      </c>
      <c r="E26" s="373">
        <v>0.92100000000000004</v>
      </c>
      <c r="F26" s="374"/>
      <c r="G26" s="51" t="s">
        <v>295</v>
      </c>
      <c r="H26" s="68">
        <v>3.0000000000000001E-3</v>
      </c>
      <c r="I26" s="423">
        <v>0.92149999999999999</v>
      </c>
      <c r="J26" s="423"/>
      <c r="K26" s="423">
        <v>0.92249999999999999</v>
      </c>
      <c r="L26" s="423"/>
      <c r="M26" s="423">
        <v>0.92349999999999999</v>
      </c>
      <c r="N26" s="423"/>
      <c r="O26" s="423">
        <v>0.92200000000000004</v>
      </c>
      <c r="P26" s="423"/>
      <c r="Q26" s="423">
        <v>0.92249999999999999</v>
      </c>
      <c r="R26" s="423"/>
      <c r="S26" s="423">
        <v>0.92100000000000004</v>
      </c>
      <c r="T26" s="423"/>
      <c r="U26" s="423">
        <v>0.92100000000000004</v>
      </c>
      <c r="V26" s="423"/>
      <c r="W26" s="423">
        <v>0.92400000000000004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287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296</v>
      </c>
      <c r="B28" s="384"/>
      <c r="C28" s="386" t="s">
        <v>297</v>
      </c>
      <c r="D28" s="391" t="s">
        <v>291</v>
      </c>
      <c r="E28" s="373">
        <v>0.27300000000000002</v>
      </c>
      <c r="F28" s="374"/>
      <c r="G28" s="51" t="s">
        <v>102</v>
      </c>
      <c r="H28" s="68">
        <v>2E-3</v>
      </c>
      <c r="I28" s="423">
        <v>0.27300000000000002</v>
      </c>
      <c r="J28" s="423"/>
      <c r="K28" s="423">
        <v>0.27200000000000002</v>
      </c>
      <c r="L28" s="423"/>
      <c r="M28" s="423">
        <v>0.27400000000000002</v>
      </c>
      <c r="N28" s="423"/>
      <c r="O28" s="423">
        <v>0.27260000000000001</v>
      </c>
      <c r="P28" s="423"/>
      <c r="Q28" s="423">
        <v>0.27300000000000002</v>
      </c>
      <c r="R28" s="423"/>
      <c r="S28" s="423">
        <v>0.27200000000000002</v>
      </c>
      <c r="T28" s="423"/>
      <c r="U28" s="423">
        <v>0.27200000000000002</v>
      </c>
      <c r="V28" s="423"/>
      <c r="W28" s="423">
        <v>0.27400000000000002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298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299</v>
      </c>
      <c r="B30" s="384"/>
      <c r="C30" s="386" t="s">
        <v>300</v>
      </c>
      <c r="D30" s="391"/>
      <c r="E30" s="373">
        <v>1.2999999999999999E-2</v>
      </c>
      <c r="F30" s="374"/>
      <c r="G30" s="51" t="s">
        <v>301</v>
      </c>
      <c r="H30" s="68">
        <v>2E-3</v>
      </c>
      <c r="I30" s="423">
        <v>1.35E-2</v>
      </c>
      <c r="J30" s="423"/>
      <c r="K30" s="423">
        <v>1.35E-2</v>
      </c>
      <c r="L30" s="423"/>
      <c r="M30" s="423">
        <v>1.4E-2</v>
      </c>
      <c r="N30" s="423"/>
      <c r="O30" s="423">
        <v>1.35E-2</v>
      </c>
      <c r="P30" s="423"/>
      <c r="Q30" s="423">
        <v>1.35E-2</v>
      </c>
      <c r="R30" s="423"/>
      <c r="S30" s="423">
        <v>1.2500000000000001E-2</v>
      </c>
      <c r="T30" s="423"/>
      <c r="U30" s="423">
        <v>1.35E-2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287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302</v>
      </c>
      <c r="B32" s="384"/>
      <c r="C32" s="386" t="s">
        <v>303</v>
      </c>
      <c r="D32" s="113" t="s">
        <v>304</v>
      </c>
      <c r="E32" s="114"/>
      <c r="F32" s="114"/>
      <c r="G32" s="114"/>
      <c r="H32" s="115"/>
      <c r="I32" s="379" t="s">
        <v>305</v>
      </c>
      <c r="J32" s="379"/>
      <c r="K32" s="379" t="s">
        <v>305</v>
      </c>
      <c r="L32" s="379"/>
      <c r="M32" s="379" t="s">
        <v>305</v>
      </c>
      <c r="N32" s="379"/>
      <c r="O32" s="379" t="s">
        <v>306</v>
      </c>
      <c r="P32" s="379"/>
      <c r="Q32" s="379" t="s">
        <v>305</v>
      </c>
      <c r="R32" s="379"/>
      <c r="S32" s="379" t="s">
        <v>305</v>
      </c>
      <c r="T32" s="379"/>
      <c r="U32" s="379" t="s">
        <v>305</v>
      </c>
      <c r="V32" s="379"/>
      <c r="W32" s="379" t="s">
        <v>305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16" t="s">
        <v>112</v>
      </c>
      <c r="E33" s="117"/>
      <c r="F33" s="117"/>
      <c r="G33" s="117"/>
      <c r="H33" s="118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16"/>
      <c r="E35" s="117"/>
      <c r="F35" s="117"/>
      <c r="G35" s="117"/>
      <c r="H35" s="118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13"/>
      <c r="E36" s="114"/>
      <c r="F36" s="114"/>
      <c r="G36" s="114"/>
      <c r="H36" s="115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16"/>
      <c r="E37" s="117"/>
      <c r="F37" s="117"/>
      <c r="G37" s="117"/>
      <c r="H37" s="118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13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16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13"/>
      <c r="E40" s="110"/>
      <c r="F40" s="111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16"/>
      <c r="E41" s="112"/>
      <c r="F41" s="112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13"/>
      <c r="E42" s="110"/>
      <c r="F42" s="111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16"/>
      <c r="E43" s="112"/>
      <c r="F43" s="112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13"/>
      <c r="E44" s="114"/>
      <c r="F44" s="114"/>
      <c r="G44" s="114"/>
      <c r="H44" s="115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16"/>
      <c r="E45" s="117"/>
      <c r="F45" s="117"/>
      <c r="G45" s="117"/>
      <c r="H45" s="118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13"/>
      <c r="E48" s="114"/>
      <c r="F48" s="114"/>
      <c r="G48" s="114"/>
      <c r="H48" s="115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16"/>
      <c r="E49" s="117"/>
      <c r="F49" s="117"/>
      <c r="G49" s="117"/>
      <c r="H49" s="118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307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124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125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126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308</v>
      </c>
      <c r="R72" s="401"/>
      <c r="S72" s="409" t="s">
        <v>128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309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310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33" priority="5" operator="greaterThan">
      <formula>$AA$26</formula>
    </cfRule>
    <cfRule type="cellIs" dxfId="232" priority="6" operator="lessThan">
      <formula>$AA$27</formula>
    </cfRule>
  </conditionalFormatting>
  <conditionalFormatting sqref="I28:X29">
    <cfRule type="cellIs" dxfId="231" priority="3" operator="greaterThan">
      <formula>$AA$28</formula>
    </cfRule>
    <cfRule type="cellIs" dxfId="230" priority="4" operator="lessThan">
      <formula>$AA$29</formula>
    </cfRule>
  </conditionalFormatting>
  <conditionalFormatting sqref="I30:X31">
    <cfRule type="cellIs" dxfId="229" priority="1" operator="greaterThan">
      <formula>$AA$30</formula>
    </cfRule>
    <cfRule type="cellIs" dxfId="22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311</v>
      </c>
      <c r="B2" s="496"/>
      <c r="C2" s="465" t="s">
        <v>272</v>
      </c>
      <c r="D2" s="120" t="s">
        <v>2</v>
      </c>
      <c r="E2" s="43"/>
      <c r="F2" s="369" t="s">
        <v>282</v>
      </c>
      <c r="G2" s="369"/>
      <c r="H2" s="369"/>
      <c r="I2" s="369"/>
      <c r="J2" s="369"/>
      <c r="K2" s="370"/>
      <c r="L2" s="120" t="s">
        <v>4</v>
      </c>
      <c r="M2" s="369">
        <v>4</v>
      </c>
      <c r="N2" s="499"/>
      <c r="O2" s="120" t="s">
        <v>6</v>
      </c>
      <c r="P2" s="502" t="s">
        <v>273</v>
      </c>
      <c r="Q2" s="502"/>
      <c r="R2" s="502"/>
      <c r="S2" s="502"/>
      <c r="T2" s="502"/>
      <c r="U2" s="502"/>
      <c r="V2" s="503"/>
      <c r="W2" s="120" t="s">
        <v>34</v>
      </c>
      <c r="X2" s="32">
        <v>1</v>
      </c>
      <c r="Z2" s="34" t="s">
        <v>274</v>
      </c>
    </row>
    <row r="3" spans="1:26" ht="9.9499999999999993" customHeight="1" x14ac:dyDescent="0.25">
      <c r="A3" s="497" t="s">
        <v>1</v>
      </c>
      <c r="B3" s="498"/>
      <c r="C3" s="486"/>
      <c r="D3" s="121" t="s">
        <v>3</v>
      </c>
      <c r="E3" s="44"/>
      <c r="F3" s="371"/>
      <c r="G3" s="371"/>
      <c r="H3" s="371"/>
      <c r="I3" s="371"/>
      <c r="J3" s="371"/>
      <c r="K3" s="372"/>
      <c r="L3" s="121" t="s">
        <v>5</v>
      </c>
      <c r="M3" s="500"/>
      <c r="N3" s="501"/>
      <c r="O3" s="121" t="s">
        <v>7</v>
      </c>
      <c r="P3" s="504"/>
      <c r="Q3" s="504"/>
      <c r="R3" s="504"/>
      <c r="S3" s="504"/>
      <c r="T3" s="504"/>
      <c r="U3" s="504"/>
      <c r="V3" s="505"/>
      <c r="W3" s="121" t="s">
        <v>8</v>
      </c>
      <c r="X3" s="109">
        <v>1</v>
      </c>
      <c r="Z3" s="35"/>
    </row>
    <row r="4" spans="1:26" ht="14.25" customHeight="1" x14ac:dyDescent="0.25">
      <c r="A4" s="3" t="s">
        <v>275</v>
      </c>
      <c r="B4" s="4"/>
      <c r="C4" s="4"/>
      <c r="D4" s="48"/>
      <c r="E4" s="28" t="s">
        <v>312</v>
      </c>
      <c r="F4" s="5" t="s">
        <v>276</v>
      </c>
      <c r="G4" s="5"/>
      <c r="H4" s="5"/>
      <c r="I4" s="4"/>
      <c r="J4" s="4"/>
      <c r="K4" s="28" t="s">
        <v>313</v>
      </c>
      <c r="L4" s="5" t="s">
        <v>314</v>
      </c>
      <c r="M4" s="4"/>
      <c r="N4" s="4"/>
      <c r="O4" s="120" t="s">
        <v>9</v>
      </c>
      <c r="P4" s="6"/>
      <c r="Q4" s="442" t="s">
        <v>315</v>
      </c>
      <c r="R4" s="443"/>
      <c r="S4" s="443"/>
      <c r="T4" s="444"/>
      <c r="U4" s="120" t="s">
        <v>11</v>
      </c>
      <c r="V4" s="7"/>
      <c r="W4" s="369" t="s">
        <v>71</v>
      </c>
      <c r="X4" s="499"/>
      <c r="Z4" s="34" t="s">
        <v>316</v>
      </c>
    </row>
    <row r="5" spans="1:26" ht="9.9499999999999993" customHeight="1" x14ac:dyDescent="0.2">
      <c r="A5" s="26" t="s">
        <v>280</v>
      </c>
      <c r="B5" s="8"/>
      <c r="C5" s="8"/>
      <c r="D5" s="8"/>
      <c r="E5" s="8"/>
      <c r="F5" s="27" t="s">
        <v>317</v>
      </c>
      <c r="G5" s="27"/>
      <c r="H5" s="27"/>
      <c r="I5" s="8"/>
      <c r="J5" s="8"/>
      <c r="K5" s="8"/>
      <c r="L5" s="27" t="s">
        <v>318</v>
      </c>
      <c r="M5" s="8"/>
      <c r="N5" s="9"/>
      <c r="O5" s="26" t="s">
        <v>10</v>
      </c>
      <c r="P5" s="10"/>
      <c r="Q5" s="445"/>
      <c r="R5" s="445"/>
      <c r="S5" s="445"/>
      <c r="T5" s="446"/>
      <c r="U5" s="121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281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319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144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91</v>
      </c>
      <c r="X22" s="492"/>
      <c r="Z22" s="65" t="s">
        <v>301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320</v>
      </c>
      <c r="X23" s="494"/>
      <c r="Z23" s="66" t="s">
        <v>94</v>
      </c>
    </row>
    <row r="24" spans="1:28" ht="14.25" customHeight="1" x14ac:dyDescent="0.25">
      <c r="A24" s="447" t="s">
        <v>95</v>
      </c>
      <c r="B24" s="473"/>
      <c r="C24" s="33" t="s">
        <v>16</v>
      </c>
      <c r="D24" s="476" t="s">
        <v>321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19" t="s">
        <v>322</v>
      </c>
      <c r="D25" s="479" t="s">
        <v>99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323</v>
      </c>
    </row>
    <row r="26" spans="1:28" s="19" customFormat="1" ht="9.9499999999999993" customHeight="1" x14ac:dyDescent="0.25">
      <c r="A26" s="384" t="s">
        <v>324</v>
      </c>
      <c r="B26" s="384"/>
      <c r="C26" s="386" t="s">
        <v>100</v>
      </c>
      <c r="D26" s="391" t="s">
        <v>323</v>
      </c>
      <c r="E26" s="373">
        <v>0.92100000000000004</v>
      </c>
      <c r="F26" s="374"/>
      <c r="G26" s="51" t="s">
        <v>102</v>
      </c>
      <c r="H26" s="68">
        <v>3.0000000000000001E-3</v>
      </c>
      <c r="I26" s="423">
        <v>0.92149999999999999</v>
      </c>
      <c r="J26" s="423"/>
      <c r="K26" s="423">
        <v>0.92100000000000004</v>
      </c>
      <c r="L26" s="423"/>
      <c r="M26" s="423">
        <v>0.92400000000000004</v>
      </c>
      <c r="N26" s="423"/>
      <c r="O26" s="423">
        <v>0.92200000000000004</v>
      </c>
      <c r="P26" s="423"/>
      <c r="Q26" s="423">
        <v>0.92200000000000004</v>
      </c>
      <c r="R26" s="423"/>
      <c r="S26" s="423">
        <v>0.92100000000000004</v>
      </c>
      <c r="T26" s="423"/>
      <c r="U26" s="423">
        <v>0.92100000000000004</v>
      </c>
      <c r="V26" s="423"/>
      <c r="W26" s="423">
        <v>0.92400000000000004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325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296</v>
      </c>
      <c r="B28" s="384"/>
      <c r="C28" s="386" t="s">
        <v>326</v>
      </c>
      <c r="D28" s="391" t="s">
        <v>323</v>
      </c>
      <c r="E28" s="373">
        <v>0.27300000000000002</v>
      </c>
      <c r="F28" s="374"/>
      <c r="G28" s="51" t="s">
        <v>301</v>
      </c>
      <c r="H28" s="68">
        <v>2E-3</v>
      </c>
      <c r="I28" s="423">
        <v>0.27300000000000002</v>
      </c>
      <c r="J28" s="423"/>
      <c r="K28" s="423">
        <v>0.27200000000000002</v>
      </c>
      <c r="L28" s="423"/>
      <c r="M28" s="423">
        <v>0.27400000000000002</v>
      </c>
      <c r="N28" s="423"/>
      <c r="O28" s="423">
        <v>0.27260000000000001</v>
      </c>
      <c r="P28" s="423"/>
      <c r="Q28" s="423">
        <v>0.27300000000000002</v>
      </c>
      <c r="R28" s="423"/>
      <c r="S28" s="423">
        <v>0.27200000000000002</v>
      </c>
      <c r="T28" s="423"/>
      <c r="U28" s="423">
        <v>0.27200000000000002</v>
      </c>
      <c r="V28" s="423"/>
      <c r="W28" s="423">
        <v>0.27400000000000002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287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327</v>
      </c>
      <c r="B30" s="384"/>
      <c r="C30" s="386" t="s">
        <v>293</v>
      </c>
      <c r="D30" s="391"/>
      <c r="E30" s="373">
        <v>1.2999999999999999E-2</v>
      </c>
      <c r="F30" s="374"/>
      <c r="G30" s="51" t="s">
        <v>301</v>
      </c>
      <c r="H30" s="68">
        <v>2E-3</v>
      </c>
      <c r="I30" s="423">
        <v>1.35E-2</v>
      </c>
      <c r="J30" s="423"/>
      <c r="K30" s="423">
        <v>1.4500000000000001E-2</v>
      </c>
      <c r="L30" s="423"/>
      <c r="M30" s="423">
        <v>1.4E-2</v>
      </c>
      <c r="N30" s="423"/>
      <c r="O30" s="423">
        <v>1.2999999999999999E-2</v>
      </c>
      <c r="P30" s="423"/>
      <c r="Q30" s="423">
        <v>1.4E-2</v>
      </c>
      <c r="R30" s="423"/>
      <c r="S30" s="423">
        <v>1.4500000000000001E-2</v>
      </c>
      <c r="T30" s="423"/>
      <c r="U30" s="423">
        <v>1.35E-2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287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302</v>
      </c>
      <c r="B32" s="384"/>
      <c r="C32" s="386" t="s">
        <v>328</v>
      </c>
      <c r="D32" s="113" t="s">
        <v>329</v>
      </c>
      <c r="E32" s="114"/>
      <c r="F32" s="114"/>
      <c r="G32" s="114"/>
      <c r="H32" s="115"/>
      <c r="I32" s="379" t="s">
        <v>306</v>
      </c>
      <c r="J32" s="379"/>
      <c r="K32" s="379" t="s">
        <v>305</v>
      </c>
      <c r="L32" s="379"/>
      <c r="M32" s="379" t="s">
        <v>306</v>
      </c>
      <c r="N32" s="379"/>
      <c r="O32" s="379" t="s">
        <v>305</v>
      </c>
      <c r="P32" s="379"/>
      <c r="Q32" s="379" t="s">
        <v>306</v>
      </c>
      <c r="R32" s="379"/>
      <c r="S32" s="379" t="s">
        <v>306</v>
      </c>
      <c r="T32" s="379"/>
      <c r="U32" s="379" t="s">
        <v>305</v>
      </c>
      <c r="V32" s="379"/>
      <c r="W32" s="379" t="s">
        <v>305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16" t="s">
        <v>330</v>
      </c>
      <c r="E33" s="117"/>
      <c r="F33" s="117"/>
      <c r="G33" s="117"/>
      <c r="H33" s="118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16"/>
      <c r="E35" s="117"/>
      <c r="F35" s="117"/>
      <c r="G35" s="117"/>
      <c r="H35" s="118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13"/>
      <c r="E36" s="114"/>
      <c r="F36" s="114"/>
      <c r="G36" s="114"/>
      <c r="H36" s="115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16"/>
      <c r="E37" s="117"/>
      <c r="F37" s="117"/>
      <c r="G37" s="117"/>
      <c r="H37" s="118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13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16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13"/>
      <c r="E40" s="110"/>
      <c r="F40" s="111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16"/>
      <c r="E41" s="112"/>
      <c r="F41" s="112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13"/>
      <c r="E42" s="110"/>
      <c r="F42" s="111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16"/>
      <c r="E43" s="112"/>
      <c r="F43" s="112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13"/>
      <c r="E44" s="114"/>
      <c r="F44" s="114"/>
      <c r="G44" s="114"/>
      <c r="H44" s="115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16"/>
      <c r="E45" s="117"/>
      <c r="F45" s="117"/>
      <c r="G45" s="117"/>
      <c r="H45" s="118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13"/>
      <c r="E48" s="114"/>
      <c r="F48" s="114"/>
      <c r="G48" s="114"/>
      <c r="H48" s="115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16"/>
      <c r="E49" s="117"/>
      <c r="F49" s="117"/>
      <c r="G49" s="117"/>
      <c r="H49" s="118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307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331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332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333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293</v>
      </c>
      <c r="R72" s="401"/>
      <c r="S72" s="409" t="s">
        <v>334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335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336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337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27" priority="5" operator="greaterThan">
      <formula>$AA$26</formula>
    </cfRule>
    <cfRule type="cellIs" dxfId="226" priority="6" operator="lessThan">
      <formula>$AA$27</formula>
    </cfRule>
  </conditionalFormatting>
  <conditionalFormatting sqref="I28:X29">
    <cfRule type="cellIs" dxfId="225" priority="3" operator="greaterThan">
      <formula>$AA$28</formula>
    </cfRule>
    <cfRule type="cellIs" dxfId="224" priority="4" operator="lessThan">
      <formula>$AA$29</formula>
    </cfRule>
  </conditionalFormatting>
  <conditionalFormatting sqref="I30:X31">
    <cfRule type="cellIs" dxfId="223" priority="1" operator="greaterThan">
      <formula>$AA$30</formula>
    </cfRule>
    <cfRule type="cellIs" dxfId="22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338</v>
      </c>
      <c r="B2" s="496"/>
      <c r="C2" s="465" t="s">
        <v>339</v>
      </c>
      <c r="D2" s="125" t="s">
        <v>2</v>
      </c>
      <c r="E2" s="43"/>
      <c r="F2" s="369" t="s">
        <v>340</v>
      </c>
      <c r="G2" s="369"/>
      <c r="H2" s="369"/>
      <c r="I2" s="369"/>
      <c r="J2" s="369"/>
      <c r="K2" s="370"/>
      <c r="L2" s="125" t="s">
        <v>4</v>
      </c>
      <c r="M2" s="369">
        <v>4</v>
      </c>
      <c r="N2" s="499"/>
      <c r="O2" s="125" t="s">
        <v>6</v>
      </c>
      <c r="P2" s="502" t="s">
        <v>341</v>
      </c>
      <c r="Q2" s="502"/>
      <c r="R2" s="502"/>
      <c r="S2" s="502"/>
      <c r="T2" s="502"/>
      <c r="U2" s="502"/>
      <c r="V2" s="503"/>
      <c r="W2" s="125" t="s">
        <v>34</v>
      </c>
      <c r="X2" s="32">
        <v>1</v>
      </c>
      <c r="Z2" s="34" t="s">
        <v>342</v>
      </c>
    </row>
    <row r="3" spans="1:26" ht="9.9499999999999993" customHeight="1" x14ac:dyDescent="0.25">
      <c r="A3" s="497" t="s">
        <v>1</v>
      </c>
      <c r="B3" s="498"/>
      <c r="C3" s="486"/>
      <c r="D3" s="126" t="s">
        <v>3</v>
      </c>
      <c r="E3" s="44"/>
      <c r="F3" s="371"/>
      <c r="G3" s="371"/>
      <c r="H3" s="371"/>
      <c r="I3" s="371"/>
      <c r="J3" s="371"/>
      <c r="K3" s="372"/>
      <c r="L3" s="126" t="s">
        <v>5</v>
      </c>
      <c r="M3" s="500"/>
      <c r="N3" s="501"/>
      <c r="O3" s="126" t="s">
        <v>7</v>
      </c>
      <c r="P3" s="504"/>
      <c r="Q3" s="504"/>
      <c r="R3" s="504"/>
      <c r="S3" s="504"/>
      <c r="T3" s="504"/>
      <c r="U3" s="504"/>
      <c r="V3" s="505"/>
      <c r="W3" s="126" t="s">
        <v>8</v>
      </c>
      <c r="X3" s="134">
        <v>1</v>
      </c>
      <c r="Z3" s="35"/>
    </row>
    <row r="4" spans="1:26" ht="14.25" customHeight="1" x14ac:dyDescent="0.25">
      <c r="A4" s="3" t="s">
        <v>136</v>
      </c>
      <c r="B4" s="4"/>
      <c r="C4" s="4"/>
      <c r="D4" s="48"/>
      <c r="E4" s="28" t="s">
        <v>343</v>
      </c>
      <c r="F4" s="5" t="s">
        <v>344</v>
      </c>
      <c r="G4" s="5"/>
      <c r="H4" s="5"/>
      <c r="I4" s="4"/>
      <c r="J4" s="4"/>
      <c r="K4" s="28" t="s">
        <v>345</v>
      </c>
      <c r="L4" s="5" t="s">
        <v>346</v>
      </c>
      <c r="M4" s="4"/>
      <c r="N4" s="4"/>
      <c r="O4" s="125" t="s">
        <v>9</v>
      </c>
      <c r="P4" s="6"/>
      <c r="Q4" s="442" t="s">
        <v>347</v>
      </c>
      <c r="R4" s="443"/>
      <c r="S4" s="443"/>
      <c r="T4" s="444"/>
      <c r="U4" s="125" t="s">
        <v>11</v>
      </c>
      <c r="V4" s="7"/>
      <c r="W4" s="369" t="s">
        <v>71</v>
      </c>
      <c r="X4" s="499"/>
      <c r="Z4" s="34" t="s">
        <v>348</v>
      </c>
    </row>
    <row r="5" spans="1:26" ht="9.9499999999999993" customHeight="1" x14ac:dyDescent="0.2">
      <c r="A5" s="26" t="s">
        <v>349</v>
      </c>
      <c r="B5" s="8"/>
      <c r="C5" s="8"/>
      <c r="D5" s="8"/>
      <c r="E5" s="8"/>
      <c r="F5" s="27" t="s">
        <v>350</v>
      </c>
      <c r="G5" s="27"/>
      <c r="H5" s="27"/>
      <c r="I5" s="8"/>
      <c r="J5" s="8"/>
      <c r="K5" s="8"/>
      <c r="L5" s="27" t="s">
        <v>351</v>
      </c>
      <c r="M5" s="8"/>
      <c r="N5" s="9"/>
      <c r="O5" s="26" t="s">
        <v>10</v>
      </c>
      <c r="P5" s="10"/>
      <c r="Q5" s="445"/>
      <c r="R5" s="445"/>
      <c r="S5" s="445"/>
      <c r="T5" s="446"/>
      <c r="U5" s="126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352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353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354</v>
      </c>
      <c r="B22" s="487"/>
      <c r="C22" s="488"/>
      <c r="D22" s="466" t="s">
        <v>355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356</v>
      </c>
      <c r="X22" s="492"/>
      <c r="Z22" s="65" t="s">
        <v>357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358</v>
      </c>
      <c r="X23" s="494"/>
      <c r="Z23" s="66" t="s">
        <v>359</v>
      </c>
    </row>
    <row r="24" spans="1:28" ht="14.25" customHeight="1" x14ac:dyDescent="0.25">
      <c r="A24" s="447" t="s">
        <v>360</v>
      </c>
      <c r="B24" s="473"/>
      <c r="C24" s="33" t="s">
        <v>16</v>
      </c>
      <c r="D24" s="476" t="s">
        <v>361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33" t="s">
        <v>362</v>
      </c>
      <c r="D25" s="479" t="s">
        <v>363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364</v>
      </c>
    </row>
    <row r="26" spans="1:28" s="19" customFormat="1" ht="9.9499999999999993" customHeight="1" x14ac:dyDescent="0.25">
      <c r="A26" s="384" t="s">
        <v>365</v>
      </c>
      <c r="B26" s="384"/>
      <c r="C26" s="386" t="s">
        <v>366</v>
      </c>
      <c r="D26" s="391" t="s">
        <v>364</v>
      </c>
      <c r="E26" s="373">
        <v>0.92100000000000004</v>
      </c>
      <c r="F26" s="374"/>
      <c r="G26" s="51" t="s">
        <v>357</v>
      </c>
      <c r="H26" s="68">
        <v>3.0000000000000001E-3</v>
      </c>
      <c r="I26" s="423">
        <v>0.92200000000000004</v>
      </c>
      <c r="J26" s="423"/>
      <c r="K26" s="423">
        <v>0.92249999999999999</v>
      </c>
      <c r="L26" s="423"/>
      <c r="M26" s="423">
        <v>0.92400000000000004</v>
      </c>
      <c r="N26" s="423"/>
      <c r="O26" s="423">
        <v>0.92300000000000004</v>
      </c>
      <c r="P26" s="423"/>
      <c r="Q26" s="423">
        <v>0.92200000000000004</v>
      </c>
      <c r="R26" s="423"/>
      <c r="S26" s="423">
        <v>0.92400000000000004</v>
      </c>
      <c r="T26" s="423"/>
      <c r="U26" s="423">
        <v>0.92200000000000004</v>
      </c>
      <c r="V26" s="423"/>
      <c r="W26" s="423">
        <v>0.92300000000000004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359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367</v>
      </c>
      <c r="B28" s="384"/>
      <c r="C28" s="386" t="s">
        <v>368</v>
      </c>
      <c r="D28" s="391" t="s">
        <v>364</v>
      </c>
      <c r="E28" s="373">
        <v>0.27300000000000002</v>
      </c>
      <c r="F28" s="374"/>
      <c r="G28" s="51" t="s">
        <v>357</v>
      </c>
      <c r="H28" s="68">
        <v>2E-3</v>
      </c>
      <c r="I28" s="423">
        <v>0.27300000000000002</v>
      </c>
      <c r="J28" s="423"/>
      <c r="K28" s="423">
        <v>0.27300000000000002</v>
      </c>
      <c r="L28" s="423"/>
      <c r="M28" s="423">
        <v>0.27400000000000002</v>
      </c>
      <c r="N28" s="423"/>
      <c r="O28" s="423">
        <v>0.27300000000000002</v>
      </c>
      <c r="P28" s="423"/>
      <c r="Q28" s="423">
        <v>0.27350000000000002</v>
      </c>
      <c r="R28" s="423"/>
      <c r="S28" s="423">
        <v>0.2717</v>
      </c>
      <c r="T28" s="423"/>
      <c r="U28" s="423">
        <v>0.27260000000000001</v>
      </c>
      <c r="V28" s="423"/>
      <c r="W28" s="423">
        <v>0.27250000000000002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359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369</v>
      </c>
      <c r="B30" s="384"/>
      <c r="C30" s="386" t="s">
        <v>366</v>
      </c>
      <c r="D30" s="391"/>
      <c r="E30" s="373">
        <v>1.2999999999999999E-2</v>
      </c>
      <c r="F30" s="374"/>
      <c r="G30" s="51" t="s">
        <v>357</v>
      </c>
      <c r="H30" s="68">
        <v>2E-3</v>
      </c>
      <c r="I30" s="423">
        <v>1.35E-2</v>
      </c>
      <c r="J30" s="423"/>
      <c r="K30" s="423">
        <v>1.2999999999999999E-2</v>
      </c>
      <c r="L30" s="423"/>
      <c r="M30" s="423">
        <v>1.35E-2</v>
      </c>
      <c r="N30" s="423"/>
      <c r="O30" s="423">
        <v>1.35E-2</v>
      </c>
      <c r="P30" s="423"/>
      <c r="Q30" s="423">
        <v>1.35E-2</v>
      </c>
      <c r="R30" s="423"/>
      <c r="S30" s="423">
        <v>1.2999999999999999E-2</v>
      </c>
      <c r="T30" s="423"/>
      <c r="U30" s="423">
        <v>1.4E-2</v>
      </c>
      <c r="V30" s="423"/>
      <c r="W30" s="423">
        <v>1.4E-2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370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371</v>
      </c>
      <c r="B32" s="384"/>
      <c r="C32" s="386" t="s">
        <v>372</v>
      </c>
      <c r="D32" s="127" t="s">
        <v>373</v>
      </c>
      <c r="E32" s="128"/>
      <c r="F32" s="128"/>
      <c r="G32" s="128"/>
      <c r="H32" s="129"/>
      <c r="I32" s="379" t="s">
        <v>374</v>
      </c>
      <c r="J32" s="379"/>
      <c r="K32" s="379" t="s">
        <v>374</v>
      </c>
      <c r="L32" s="379"/>
      <c r="M32" s="379" t="s">
        <v>374</v>
      </c>
      <c r="N32" s="379"/>
      <c r="O32" s="379" t="s">
        <v>374</v>
      </c>
      <c r="P32" s="379"/>
      <c r="Q32" s="379" t="s">
        <v>374</v>
      </c>
      <c r="R32" s="379"/>
      <c r="S32" s="379" t="s">
        <v>374</v>
      </c>
      <c r="T32" s="379"/>
      <c r="U32" s="379" t="s">
        <v>374</v>
      </c>
      <c r="V32" s="379"/>
      <c r="W32" s="379" t="s">
        <v>375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30" t="s">
        <v>376</v>
      </c>
      <c r="E33" s="131"/>
      <c r="F33" s="131"/>
      <c r="G33" s="131"/>
      <c r="H33" s="132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30"/>
      <c r="E35" s="131"/>
      <c r="F35" s="131"/>
      <c r="G35" s="131"/>
      <c r="H35" s="132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27"/>
      <c r="E36" s="128"/>
      <c r="F36" s="128"/>
      <c r="G36" s="128"/>
      <c r="H36" s="12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30"/>
      <c r="E37" s="131"/>
      <c r="F37" s="131"/>
      <c r="G37" s="131"/>
      <c r="H37" s="132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27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30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27"/>
      <c r="E40" s="122"/>
      <c r="F40" s="123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30"/>
      <c r="E41" s="124"/>
      <c r="F41" s="124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27"/>
      <c r="E42" s="122"/>
      <c r="F42" s="123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30"/>
      <c r="E43" s="124"/>
      <c r="F43" s="124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27"/>
      <c r="E44" s="128"/>
      <c r="F44" s="128"/>
      <c r="G44" s="128"/>
      <c r="H44" s="12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30"/>
      <c r="E45" s="131"/>
      <c r="F45" s="131"/>
      <c r="G45" s="131"/>
      <c r="H45" s="132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27"/>
      <c r="E48" s="128"/>
      <c r="F48" s="128"/>
      <c r="G48" s="128"/>
      <c r="H48" s="12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30"/>
      <c r="E49" s="131"/>
      <c r="F49" s="131"/>
      <c r="G49" s="131"/>
      <c r="H49" s="132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377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378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379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380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366</v>
      </c>
      <c r="R72" s="401"/>
      <c r="S72" s="409" t="s">
        <v>381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382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383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384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9">
    <cfRule type="cellIs" dxfId="219" priority="3" operator="greaterThan">
      <formula>$AA$28</formula>
    </cfRule>
    <cfRule type="cellIs" dxfId="218" priority="4" operator="lessThan">
      <formula>$AA$29</formula>
    </cfRule>
  </conditionalFormatting>
  <conditionalFormatting sqref="I30:X31">
    <cfRule type="cellIs" dxfId="217" priority="1" operator="greaterThan">
      <formula>$AA$30</formula>
    </cfRule>
    <cfRule type="cellIs" dxfId="21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385</v>
      </c>
      <c r="B2" s="496"/>
      <c r="C2" s="465" t="s">
        <v>132</v>
      </c>
      <c r="D2" s="125" t="s">
        <v>2</v>
      </c>
      <c r="E2" s="43"/>
      <c r="F2" s="369" t="s">
        <v>89</v>
      </c>
      <c r="G2" s="369"/>
      <c r="H2" s="369"/>
      <c r="I2" s="369"/>
      <c r="J2" s="369"/>
      <c r="K2" s="370"/>
      <c r="L2" s="125" t="s">
        <v>4</v>
      </c>
      <c r="M2" s="369">
        <v>4</v>
      </c>
      <c r="N2" s="499"/>
      <c r="O2" s="125" t="s">
        <v>6</v>
      </c>
      <c r="P2" s="502" t="s">
        <v>134</v>
      </c>
      <c r="Q2" s="502"/>
      <c r="R2" s="502"/>
      <c r="S2" s="502"/>
      <c r="T2" s="502"/>
      <c r="U2" s="502"/>
      <c r="V2" s="503"/>
      <c r="W2" s="125" t="s">
        <v>34</v>
      </c>
      <c r="X2" s="32">
        <v>1</v>
      </c>
      <c r="Z2" s="34" t="s">
        <v>135</v>
      </c>
    </row>
    <row r="3" spans="1:26" ht="9.9499999999999993" customHeight="1" x14ac:dyDescent="0.25">
      <c r="A3" s="497" t="s">
        <v>1</v>
      </c>
      <c r="B3" s="498"/>
      <c r="C3" s="486"/>
      <c r="D3" s="126" t="s">
        <v>3</v>
      </c>
      <c r="E3" s="44"/>
      <c r="F3" s="371"/>
      <c r="G3" s="371"/>
      <c r="H3" s="371"/>
      <c r="I3" s="371"/>
      <c r="J3" s="371"/>
      <c r="K3" s="372"/>
      <c r="L3" s="126" t="s">
        <v>5</v>
      </c>
      <c r="M3" s="500"/>
      <c r="N3" s="501"/>
      <c r="O3" s="126" t="s">
        <v>7</v>
      </c>
      <c r="P3" s="504"/>
      <c r="Q3" s="504"/>
      <c r="R3" s="504"/>
      <c r="S3" s="504"/>
      <c r="T3" s="504"/>
      <c r="U3" s="504"/>
      <c r="V3" s="505"/>
      <c r="W3" s="126" t="s">
        <v>8</v>
      </c>
      <c r="X3" s="134">
        <v>1</v>
      </c>
      <c r="Z3" s="35"/>
    </row>
    <row r="4" spans="1:26" ht="14.25" customHeight="1" x14ac:dyDescent="0.25">
      <c r="A4" s="3" t="s">
        <v>136</v>
      </c>
      <c r="B4" s="4"/>
      <c r="C4" s="4"/>
      <c r="D4" s="48"/>
      <c r="E4" s="28" t="s">
        <v>137</v>
      </c>
      <c r="F4" s="5" t="s">
        <v>138</v>
      </c>
      <c r="G4" s="5"/>
      <c r="H4" s="5"/>
      <c r="I4" s="4"/>
      <c r="J4" s="4"/>
      <c r="K4" s="28" t="s">
        <v>114</v>
      </c>
      <c r="L4" s="5" t="s">
        <v>82</v>
      </c>
      <c r="M4" s="4"/>
      <c r="N4" s="4"/>
      <c r="O4" s="125" t="s">
        <v>9</v>
      </c>
      <c r="P4" s="6"/>
      <c r="Q4" s="442" t="s">
        <v>386</v>
      </c>
      <c r="R4" s="443"/>
      <c r="S4" s="443"/>
      <c r="T4" s="444"/>
      <c r="U4" s="125" t="s">
        <v>11</v>
      </c>
      <c r="V4" s="7"/>
      <c r="W4" s="369" t="s">
        <v>71</v>
      </c>
      <c r="X4" s="499"/>
      <c r="Z4" s="34" t="s">
        <v>141</v>
      </c>
    </row>
    <row r="5" spans="1:26" ht="9.9499999999999993" customHeight="1" x14ac:dyDescent="0.2">
      <c r="A5" s="26" t="s">
        <v>117</v>
      </c>
      <c r="B5" s="8"/>
      <c r="C5" s="8"/>
      <c r="D5" s="8"/>
      <c r="E5" s="8"/>
      <c r="F5" s="27" t="s">
        <v>85</v>
      </c>
      <c r="G5" s="27"/>
      <c r="H5" s="27"/>
      <c r="I5" s="8"/>
      <c r="J5" s="8"/>
      <c r="K5" s="8"/>
      <c r="L5" s="27" t="s">
        <v>87</v>
      </c>
      <c r="M5" s="8"/>
      <c r="N5" s="9"/>
      <c r="O5" s="26" t="s">
        <v>10</v>
      </c>
      <c r="P5" s="10"/>
      <c r="Q5" s="445"/>
      <c r="R5" s="445"/>
      <c r="S5" s="445"/>
      <c r="T5" s="446"/>
      <c r="U5" s="126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88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387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388</v>
      </c>
      <c r="B22" s="487"/>
      <c r="C22" s="488"/>
      <c r="D22" s="466" t="s">
        <v>144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389</v>
      </c>
      <c r="X22" s="492"/>
      <c r="Z22" s="65" t="s">
        <v>102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93</v>
      </c>
      <c r="X23" s="494"/>
      <c r="Z23" s="66" t="s">
        <v>390</v>
      </c>
    </row>
    <row r="24" spans="1:28" ht="14.25" customHeight="1" x14ac:dyDescent="0.25">
      <c r="A24" s="447" t="s">
        <v>95</v>
      </c>
      <c r="B24" s="473"/>
      <c r="C24" s="33" t="s">
        <v>16</v>
      </c>
      <c r="D24" s="476" t="s">
        <v>391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33" t="s">
        <v>98</v>
      </c>
      <c r="D25" s="479" t="s">
        <v>99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392</v>
      </c>
    </row>
    <row r="26" spans="1:28" s="19" customFormat="1" ht="9.9499999999999993" customHeight="1" x14ac:dyDescent="0.25">
      <c r="A26" s="384" t="s">
        <v>120</v>
      </c>
      <c r="B26" s="384"/>
      <c r="C26" s="386" t="s">
        <v>393</v>
      </c>
      <c r="D26" s="391" t="s">
        <v>101</v>
      </c>
      <c r="E26" s="373">
        <v>0.92100000000000004</v>
      </c>
      <c r="F26" s="374"/>
      <c r="G26" s="51" t="s">
        <v>102</v>
      </c>
      <c r="H26" s="68">
        <v>3.0000000000000001E-3</v>
      </c>
      <c r="I26" s="423">
        <v>0.92259999999999998</v>
      </c>
      <c r="J26" s="423"/>
      <c r="K26" s="423">
        <v>0.92210000000000003</v>
      </c>
      <c r="L26" s="423"/>
      <c r="M26" s="423">
        <v>0.9224</v>
      </c>
      <c r="N26" s="423"/>
      <c r="O26" s="423">
        <v>0.92300000000000004</v>
      </c>
      <c r="P26" s="423"/>
      <c r="Q26" s="423">
        <v>0.92269999999999996</v>
      </c>
      <c r="R26" s="423"/>
      <c r="S26" s="423">
        <v>0.92369999999999997</v>
      </c>
      <c r="T26" s="423"/>
      <c r="U26" s="423">
        <v>0.92169999999999996</v>
      </c>
      <c r="V26" s="423"/>
      <c r="W26" s="423">
        <v>0.92110000000000003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94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103</v>
      </c>
      <c r="B28" s="384"/>
      <c r="C28" s="386" t="s">
        <v>121</v>
      </c>
      <c r="D28" s="391" t="s">
        <v>101</v>
      </c>
      <c r="E28" s="373">
        <v>0.27300000000000002</v>
      </c>
      <c r="F28" s="374"/>
      <c r="G28" s="51" t="s">
        <v>102</v>
      </c>
      <c r="H28" s="68">
        <v>2E-3</v>
      </c>
      <c r="I28" s="423">
        <v>0.2722</v>
      </c>
      <c r="J28" s="423"/>
      <c r="K28" s="423">
        <v>0.27310000000000001</v>
      </c>
      <c r="L28" s="423"/>
      <c r="M28" s="423">
        <v>0.27210000000000001</v>
      </c>
      <c r="N28" s="423"/>
      <c r="O28" s="423">
        <v>0.27229999999999999</v>
      </c>
      <c r="P28" s="423"/>
      <c r="Q28" s="423">
        <v>0.2717</v>
      </c>
      <c r="R28" s="423"/>
      <c r="S28" s="423">
        <v>0.27250000000000002</v>
      </c>
      <c r="T28" s="423"/>
      <c r="U28" s="423">
        <v>0.27310000000000001</v>
      </c>
      <c r="V28" s="423"/>
      <c r="W28" s="423">
        <v>0.27300000000000002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94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105</v>
      </c>
      <c r="B30" s="384"/>
      <c r="C30" s="386" t="s">
        <v>394</v>
      </c>
      <c r="D30" s="391"/>
      <c r="E30" s="373">
        <v>1.2999999999999999E-2</v>
      </c>
      <c r="F30" s="374"/>
      <c r="G30" s="51" t="s">
        <v>102</v>
      </c>
      <c r="H30" s="68">
        <v>2E-3</v>
      </c>
      <c r="I30" s="423">
        <v>1.35E-2</v>
      </c>
      <c r="J30" s="423"/>
      <c r="K30" s="423">
        <v>1.2999999999999999E-2</v>
      </c>
      <c r="L30" s="423"/>
      <c r="M30" s="423">
        <v>1.35E-2</v>
      </c>
      <c r="N30" s="423"/>
      <c r="O30" s="423">
        <v>1.35E-2</v>
      </c>
      <c r="P30" s="423"/>
      <c r="Q30" s="423">
        <v>1.35E-2</v>
      </c>
      <c r="R30" s="423"/>
      <c r="S30" s="423">
        <v>1.35E-2</v>
      </c>
      <c r="T30" s="423"/>
      <c r="U30" s="423">
        <v>1.2999999999999999E-2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94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107</v>
      </c>
      <c r="B32" s="384"/>
      <c r="C32" s="386" t="s">
        <v>395</v>
      </c>
      <c r="D32" s="127" t="s">
        <v>109</v>
      </c>
      <c r="E32" s="128"/>
      <c r="F32" s="128"/>
      <c r="G32" s="128"/>
      <c r="H32" s="129"/>
      <c r="I32" s="379" t="s">
        <v>375</v>
      </c>
      <c r="J32" s="379"/>
      <c r="K32" s="379" t="s">
        <v>111</v>
      </c>
      <c r="L32" s="379"/>
      <c r="M32" s="379" t="s">
        <v>111</v>
      </c>
      <c r="N32" s="379"/>
      <c r="O32" s="379" t="s">
        <v>111</v>
      </c>
      <c r="P32" s="379"/>
      <c r="Q32" s="379" t="s">
        <v>111</v>
      </c>
      <c r="R32" s="379"/>
      <c r="S32" s="379" t="s">
        <v>375</v>
      </c>
      <c r="T32" s="379"/>
      <c r="U32" s="379" t="s">
        <v>111</v>
      </c>
      <c r="V32" s="379"/>
      <c r="W32" s="379" t="s">
        <v>375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30" t="s">
        <v>396</v>
      </c>
      <c r="E33" s="131"/>
      <c r="F33" s="131"/>
      <c r="G33" s="131"/>
      <c r="H33" s="132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30"/>
      <c r="E35" s="131"/>
      <c r="F35" s="131"/>
      <c r="G35" s="131"/>
      <c r="H35" s="132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27"/>
      <c r="E36" s="128"/>
      <c r="F36" s="128"/>
      <c r="G36" s="128"/>
      <c r="H36" s="12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30"/>
      <c r="E37" s="131"/>
      <c r="F37" s="131"/>
      <c r="G37" s="131"/>
      <c r="H37" s="132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27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30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27"/>
      <c r="E40" s="122"/>
      <c r="F40" s="123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30"/>
      <c r="E41" s="124"/>
      <c r="F41" s="124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27"/>
      <c r="E42" s="122"/>
      <c r="F42" s="123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30"/>
      <c r="E43" s="124"/>
      <c r="F43" s="124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27"/>
      <c r="E44" s="128"/>
      <c r="F44" s="128"/>
      <c r="G44" s="128"/>
      <c r="H44" s="12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30"/>
      <c r="E45" s="131"/>
      <c r="F45" s="131"/>
      <c r="G45" s="131"/>
      <c r="H45" s="132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27"/>
      <c r="E48" s="128"/>
      <c r="F48" s="128"/>
      <c r="G48" s="128"/>
      <c r="H48" s="12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30"/>
      <c r="E49" s="131"/>
      <c r="F49" s="131"/>
      <c r="G49" s="131"/>
      <c r="H49" s="132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397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398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399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126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100</v>
      </c>
      <c r="R72" s="401"/>
      <c r="S72" s="409" t="s">
        <v>400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166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401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215" priority="5" operator="greaterThan">
      <formula>$AA$26</formula>
    </cfRule>
    <cfRule type="cellIs" dxfId="214" priority="6" operator="lessThan">
      <formula>$AA$27</formula>
    </cfRule>
  </conditionalFormatting>
  <conditionalFormatting sqref="I28:X29">
    <cfRule type="cellIs" dxfId="213" priority="3" operator="greaterThan">
      <formula>$AA$28</formula>
    </cfRule>
    <cfRule type="cellIs" dxfId="212" priority="4" operator="lessThan">
      <formula>$AA$29</formula>
    </cfRule>
  </conditionalFormatting>
  <conditionalFormatting sqref="I30:X31">
    <cfRule type="cellIs" dxfId="211" priority="1" operator="greaterThan">
      <formula>$AA$30</formula>
    </cfRule>
    <cfRule type="cellIs" dxfId="21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402</v>
      </c>
      <c r="B2" s="496"/>
      <c r="C2" s="465" t="s">
        <v>403</v>
      </c>
      <c r="D2" s="146" t="s">
        <v>2</v>
      </c>
      <c r="E2" s="43"/>
      <c r="F2" s="369" t="s">
        <v>404</v>
      </c>
      <c r="G2" s="369"/>
      <c r="H2" s="369"/>
      <c r="I2" s="369"/>
      <c r="J2" s="369"/>
      <c r="K2" s="370"/>
      <c r="L2" s="146" t="s">
        <v>4</v>
      </c>
      <c r="M2" s="369">
        <v>4</v>
      </c>
      <c r="N2" s="499"/>
      <c r="O2" s="146" t="s">
        <v>6</v>
      </c>
      <c r="P2" s="502" t="s">
        <v>405</v>
      </c>
      <c r="Q2" s="502"/>
      <c r="R2" s="502"/>
      <c r="S2" s="502"/>
      <c r="T2" s="502"/>
      <c r="U2" s="502"/>
      <c r="V2" s="503"/>
      <c r="W2" s="146" t="s">
        <v>34</v>
      </c>
      <c r="X2" s="32">
        <v>1</v>
      </c>
      <c r="Z2" s="34" t="s">
        <v>135</v>
      </c>
    </row>
    <row r="3" spans="1:26" ht="9.9499999999999993" customHeight="1" x14ac:dyDescent="0.25">
      <c r="A3" s="497" t="s">
        <v>1</v>
      </c>
      <c r="B3" s="498"/>
      <c r="C3" s="486"/>
      <c r="D3" s="147" t="s">
        <v>3</v>
      </c>
      <c r="E3" s="44"/>
      <c r="F3" s="371"/>
      <c r="G3" s="371"/>
      <c r="H3" s="371"/>
      <c r="I3" s="371"/>
      <c r="J3" s="371"/>
      <c r="K3" s="372"/>
      <c r="L3" s="147" t="s">
        <v>5</v>
      </c>
      <c r="M3" s="500"/>
      <c r="N3" s="501"/>
      <c r="O3" s="147" t="s">
        <v>7</v>
      </c>
      <c r="P3" s="504"/>
      <c r="Q3" s="504"/>
      <c r="R3" s="504"/>
      <c r="S3" s="504"/>
      <c r="T3" s="504"/>
      <c r="U3" s="504"/>
      <c r="V3" s="505"/>
      <c r="W3" s="147" t="s">
        <v>8</v>
      </c>
      <c r="X3" s="135">
        <v>1</v>
      </c>
      <c r="Z3" s="35"/>
    </row>
    <row r="4" spans="1:26" ht="14.25" customHeight="1" x14ac:dyDescent="0.25">
      <c r="A4" s="3" t="s">
        <v>136</v>
      </c>
      <c r="B4" s="4"/>
      <c r="C4" s="4"/>
      <c r="D4" s="48"/>
      <c r="E4" s="28" t="s">
        <v>406</v>
      </c>
      <c r="F4" s="5" t="s">
        <v>407</v>
      </c>
      <c r="G4" s="5"/>
      <c r="H4" s="5"/>
      <c r="I4" s="4"/>
      <c r="J4" s="4"/>
      <c r="K4" s="28" t="s">
        <v>408</v>
      </c>
      <c r="L4" s="5" t="s">
        <v>409</v>
      </c>
      <c r="M4" s="4"/>
      <c r="N4" s="4"/>
      <c r="O4" s="146" t="s">
        <v>9</v>
      </c>
      <c r="P4" s="6"/>
      <c r="Q4" s="442" t="s">
        <v>410</v>
      </c>
      <c r="R4" s="443"/>
      <c r="S4" s="443"/>
      <c r="T4" s="444"/>
      <c r="U4" s="146" t="s">
        <v>11</v>
      </c>
      <c r="V4" s="7"/>
      <c r="W4" s="369" t="s">
        <v>71</v>
      </c>
      <c r="X4" s="499"/>
      <c r="Z4" s="34" t="s">
        <v>411</v>
      </c>
    </row>
    <row r="5" spans="1:26" ht="9.9499999999999993" customHeight="1" x14ac:dyDescent="0.2">
      <c r="A5" s="26" t="s">
        <v>412</v>
      </c>
      <c r="B5" s="8"/>
      <c r="C5" s="8"/>
      <c r="D5" s="8"/>
      <c r="E5" s="8"/>
      <c r="F5" s="27" t="s">
        <v>413</v>
      </c>
      <c r="G5" s="27"/>
      <c r="H5" s="27"/>
      <c r="I5" s="8"/>
      <c r="J5" s="8"/>
      <c r="K5" s="8"/>
      <c r="L5" s="27" t="s">
        <v>414</v>
      </c>
      <c r="M5" s="8"/>
      <c r="N5" s="9"/>
      <c r="O5" s="26" t="s">
        <v>10</v>
      </c>
      <c r="P5" s="10"/>
      <c r="Q5" s="445"/>
      <c r="R5" s="445"/>
      <c r="S5" s="445"/>
      <c r="T5" s="446"/>
      <c r="U5" s="147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415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404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416</v>
      </c>
      <c r="B22" s="487"/>
      <c r="C22" s="488"/>
      <c r="D22" s="466" t="s">
        <v>417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418</v>
      </c>
      <c r="X22" s="492"/>
      <c r="Z22" s="65" t="s">
        <v>419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420</v>
      </c>
      <c r="X23" s="494"/>
      <c r="Z23" s="66" t="s">
        <v>421</v>
      </c>
    </row>
    <row r="24" spans="1:28" ht="14.25" customHeight="1" x14ac:dyDescent="0.25">
      <c r="A24" s="447" t="s">
        <v>422</v>
      </c>
      <c r="B24" s="473"/>
      <c r="C24" s="33" t="s">
        <v>16</v>
      </c>
      <c r="D24" s="476" t="s">
        <v>423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45" t="s">
        <v>424</v>
      </c>
      <c r="D25" s="479" t="s">
        <v>425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101</v>
      </c>
    </row>
    <row r="26" spans="1:28" s="19" customFormat="1" ht="9.9499999999999993" customHeight="1" x14ac:dyDescent="0.25">
      <c r="A26" s="384" t="s">
        <v>120</v>
      </c>
      <c r="B26" s="384"/>
      <c r="C26" s="386" t="s">
        <v>426</v>
      </c>
      <c r="D26" s="391" t="s">
        <v>427</v>
      </c>
      <c r="E26" s="373">
        <v>0.92100000000000004</v>
      </c>
      <c r="F26" s="374"/>
      <c r="G26" s="51" t="s">
        <v>146</v>
      </c>
      <c r="H26" s="68">
        <v>3.0000000000000001E-3</v>
      </c>
      <c r="I26" s="423">
        <v>0.92259999999999998</v>
      </c>
      <c r="J26" s="423"/>
      <c r="K26" s="423">
        <v>0.92300000000000004</v>
      </c>
      <c r="L26" s="423"/>
      <c r="M26" s="423">
        <v>0.92279999999999995</v>
      </c>
      <c r="N26" s="423"/>
      <c r="O26" s="423">
        <v>0.92300000000000004</v>
      </c>
      <c r="P26" s="423"/>
      <c r="Q26" s="423">
        <v>0.92269999999999996</v>
      </c>
      <c r="R26" s="423"/>
      <c r="S26" s="423">
        <v>0.92320000000000002</v>
      </c>
      <c r="T26" s="423"/>
      <c r="U26" s="423">
        <v>0.92169999999999996</v>
      </c>
      <c r="V26" s="423"/>
      <c r="W26" s="423">
        <v>0.92100000000000004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428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103</v>
      </c>
      <c r="B28" s="384"/>
      <c r="C28" s="386" t="s">
        <v>429</v>
      </c>
      <c r="D28" s="391" t="s">
        <v>430</v>
      </c>
      <c r="E28" s="373">
        <v>0.27300000000000002</v>
      </c>
      <c r="F28" s="374"/>
      <c r="G28" s="51" t="s">
        <v>146</v>
      </c>
      <c r="H28" s="68">
        <v>2E-3</v>
      </c>
      <c r="I28" s="423">
        <v>0.27300000000000002</v>
      </c>
      <c r="J28" s="423"/>
      <c r="K28" s="423">
        <v>0.2732</v>
      </c>
      <c r="L28" s="423"/>
      <c r="M28" s="423">
        <v>0.27210000000000001</v>
      </c>
      <c r="N28" s="423"/>
      <c r="O28" s="423">
        <v>0.27229999999999999</v>
      </c>
      <c r="P28" s="423"/>
      <c r="Q28" s="423">
        <v>0.27289999999999998</v>
      </c>
      <c r="R28" s="423"/>
      <c r="S28" s="423">
        <v>0.27250000000000002</v>
      </c>
      <c r="T28" s="423"/>
      <c r="U28" s="423">
        <v>0.27300000000000002</v>
      </c>
      <c r="V28" s="423"/>
      <c r="W28" s="423">
        <v>0.27300000000000002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428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431</v>
      </c>
      <c r="B30" s="384"/>
      <c r="C30" s="386" t="s">
        <v>432</v>
      </c>
      <c r="D30" s="391"/>
      <c r="E30" s="373">
        <v>1.2999999999999999E-2</v>
      </c>
      <c r="F30" s="374"/>
      <c r="G30" s="51" t="s">
        <v>433</v>
      </c>
      <c r="H30" s="68">
        <v>2E-3</v>
      </c>
      <c r="I30" s="423">
        <v>1.2999999999999999E-2</v>
      </c>
      <c r="J30" s="423"/>
      <c r="K30" s="423">
        <v>1.2999999999999999E-2</v>
      </c>
      <c r="L30" s="423"/>
      <c r="M30" s="423">
        <v>1.35E-2</v>
      </c>
      <c r="N30" s="423"/>
      <c r="O30" s="423">
        <v>1.2999999999999999E-2</v>
      </c>
      <c r="P30" s="423"/>
      <c r="Q30" s="423">
        <v>1.35E-2</v>
      </c>
      <c r="R30" s="423"/>
      <c r="S30" s="423">
        <v>1.35E-2</v>
      </c>
      <c r="T30" s="423"/>
      <c r="U30" s="423">
        <v>1.2999999999999999E-2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428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434</v>
      </c>
      <c r="B32" s="384"/>
      <c r="C32" s="386" t="s">
        <v>435</v>
      </c>
      <c r="D32" s="139" t="s">
        <v>436</v>
      </c>
      <c r="E32" s="140"/>
      <c r="F32" s="140"/>
      <c r="G32" s="140"/>
      <c r="H32" s="141"/>
      <c r="I32" s="379" t="s">
        <v>437</v>
      </c>
      <c r="J32" s="379"/>
      <c r="K32" s="379" t="s">
        <v>437</v>
      </c>
      <c r="L32" s="379"/>
      <c r="M32" s="379" t="s">
        <v>438</v>
      </c>
      <c r="N32" s="379"/>
      <c r="O32" s="379" t="s">
        <v>438</v>
      </c>
      <c r="P32" s="379"/>
      <c r="Q32" s="379" t="s">
        <v>438</v>
      </c>
      <c r="R32" s="379"/>
      <c r="S32" s="379" t="s">
        <v>438</v>
      </c>
      <c r="T32" s="379"/>
      <c r="U32" s="379" t="s">
        <v>438</v>
      </c>
      <c r="V32" s="379"/>
      <c r="W32" s="379" t="s">
        <v>437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42" t="s">
        <v>439</v>
      </c>
      <c r="E33" s="143"/>
      <c r="F33" s="143"/>
      <c r="G33" s="143"/>
      <c r="H33" s="144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42"/>
      <c r="E35" s="143"/>
      <c r="F35" s="143"/>
      <c r="G35" s="143"/>
      <c r="H35" s="144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39"/>
      <c r="E36" s="140"/>
      <c r="F36" s="140"/>
      <c r="G36" s="140"/>
      <c r="H36" s="141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42"/>
      <c r="E37" s="143"/>
      <c r="F37" s="143"/>
      <c r="G37" s="143"/>
      <c r="H37" s="144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39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42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39"/>
      <c r="E40" s="136"/>
      <c r="F40" s="137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42"/>
      <c r="E41" s="138"/>
      <c r="F41" s="138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39"/>
      <c r="E42" s="136"/>
      <c r="F42" s="137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42"/>
      <c r="E43" s="138"/>
      <c r="F43" s="138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39"/>
      <c r="E44" s="140"/>
      <c r="F44" s="140"/>
      <c r="G44" s="140"/>
      <c r="H44" s="141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42"/>
      <c r="E45" s="143"/>
      <c r="F45" s="143"/>
      <c r="G45" s="143"/>
      <c r="H45" s="144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39"/>
      <c r="E48" s="140"/>
      <c r="F48" s="140"/>
      <c r="G48" s="140"/>
      <c r="H48" s="141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42"/>
      <c r="E49" s="143"/>
      <c r="F49" s="143"/>
      <c r="G49" s="143"/>
      <c r="H49" s="144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440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124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441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442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443</v>
      </c>
      <c r="R72" s="401"/>
      <c r="S72" s="409" t="s">
        <v>444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445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446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447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09" priority="5" operator="greaterThan">
      <formula>$AA$26</formula>
    </cfRule>
    <cfRule type="cellIs" dxfId="208" priority="6" operator="lessThan">
      <formula>$AA$27</formula>
    </cfRule>
  </conditionalFormatting>
  <conditionalFormatting sqref="I28:X29">
    <cfRule type="cellIs" dxfId="207" priority="3" operator="greaterThan">
      <formula>$AA$28</formula>
    </cfRule>
    <cfRule type="cellIs" dxfId="206" priority="4" operator="lessThan">
      <formula>$AA$29</formula>
    </cfRule>
  </conditionalFormatting>
  <conditionalFormatting sqref="I30:X31">
    <cfRule type="cellIs" dxfId="205" priority="1" operator="greaterThan">
      <formula>$AA$30</formula>
    </cfRule>
    <cfRule type="cellIs" dxfId="20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topLeftCell="A61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131</v>
      </c>
      <c r="B2" s="496"/>
      <c r="C2" s="465" t="s">
        <v>448</v>
      </c>
      <c r="D2" s="146" t="s">
        <v>2</v>
      </c>
      <c r="E2" s="43"/>
      <c r="F2" s="369" t="s">
        <v>449</v>
      </c>
      <c r="G2" s="369"/>
      <c r="H2" s="369"/>
      <c r="I2" s="369"/>
      <c r="J2" s="369"/>
      <c r="K2" s="370"/>
      <c r="L2" s="146" t="s">
        <v>4</v>
      </c>
      <c r="M2" s="369">
        <v>4</v>
      </c>
      <c r="N2" s="499"/>
      <c r="O2" s="146" t="s">
        <v>6</v>
      </c>
      <c r="P2" s="502" t="s">
        <v>450</v>
      </c>
      <c r="Q2" s="502"/>
      <c r="R2" s="502"/>
      <c r="S2" s="502"/>
      <c r="T2" s="502"/>
      <c r="U2" s="502"/>
      <c r="V2" s="503"/>
      <c r="W2" s="146" t="s">
        <v>34</v>
      </c>
      <c r="X2" s="32">
        <v>1</v>
      </c>
      <c r="Z2" s="34" t="s">
        <v>451</v>
      </c>
    </row>
    <row r="3" spans="1:26" ht="9.9499999999999993" customHeight="1" x14ac:dyDescent="0.25">
      <c r="A3" s="497" t="s">
        <v>1</v>
      </c>
      <c r="B3" s="498"/>
      <c r="C3" s="486"/>
      <c r="D3" s="147" t="s">
        <v>3</v>
      </c>
      <c r="E3" s="44"/>
      <c r="F3" s="371"/>
      <c r="G3" s="371"/>
      <c r="H3" s="371"/>
      <c r="I3" s="371"/>
      <c r="J3" s="371"/>
      <c r="K3" s="372"/>
      <c r="L3" s="147" t="s">
        <v>5</v>
      </c>
      <c r="M3" s="500"/>
      <c r="N3" s="501"/>
      <c r="O3" s="147" t="s">
        <v>7</v>
      </c>
      <c r="P3" s="504"/>
      <c r="Q3" s="504"/>
      <c r="R3" s="504"/>
      <c r="S3" s="504"/>
      <c r="T3" s="504"/>
      <c r="U3" s="504"/>
      <c r="V3" s="505"/>
      <c r="W3" s="147" t="s">
        <v>8</v>
      </c>
      <c r="X3" s="135">
        <v>1</v>
      </c>
      <c r="Z3" s="35"/>
    </row>
    <row r="4" spans="1:26" ht="14.25" customHeight="1" x14ac:dyDescent="0.25">
      <c r="A4" s="3" t="s">
        <v>136</v>
      </c>
      <c r="B4" s="4"/>
      <c r="C4" s="4"/>
      <c r="D4" s="48"/>
      <c r="E4" s="28" t="s">
        <v>137</v>
      </c>
      <c r="F4" s="5" t="s">
        <v>452</v>
      </c>
      <c r="G4" s="5"/>
      <c r="H4" s="5"/>
      <c r="I4" s="4"/>
      <c r="J4" s="4"/>
      <c r="K4" s="28" t="s">
        <v>453</v>
      </c>
      <c r="L4" s="5" t="s">
        <v>82</v>
      </c>
      <c r="M4" s="4"/>
      <c r="N4" s="4"/>
      <c r="O4" s="146" t="s">
        <v>9</v>
      </c>
      <c r="P4" s="6"/>
      <c r="Q4" s="442" t="s">
        <v>454</v>
      </c>
      <c r="R4" s="443"/>
      <c r="S4" s="443"/>
      <c r="T4" s="444"/>
      <c r="U4" s="146" t="s">
        <v>11</v>
      </c>
      <c r="V4" s="7"/>
      <c r="W4" s="369" t="s">
        <v>71</v>
      </c>
      <c r="X4" s="499"/>
      <c r="Z4" s="34" t="s">
        <v>141</v>
      </c>
    </row>
    <row r="5" spans="1:26" ht="9.9499999999999993" customHeight="1" x14ac:dyDescent="0.2">
      <c r="A5" s="26" t="s">
        <v>84</v>
      </c>
      <c r="B5" s="8"/>
      <c r="C5" s="8"/>
      <c r="D5" s="8"/>
      <c r="E5" s="8"/>
      <c r="F5" s="27" t="s">
        <v>455</v>
      </c>
      <c r="G5" s="27"/>
      <c r="H5" s="27"/>
      <c r="I5" s="8"/>
      <c r="J5" s="8"/>
      <c r="K5" s="8"/>
      <c r="L5" s="27" t="s">
        <v>456</v>
      </c>
      <c r="M5" s="8"/>
      <c r="N5" s="9"/>
      <c r="O5" s="26" t="s">
        <v>10</v>
      </c>
      <c r="P5" s="10"/>
      <c r="Q5" s="445"/>
      <c r="R5" s="445"/>
      <c r="S5" s="445"/>
      <c r="T5" s="446"/>
      <c r="U5" s="147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457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458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144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91</v>
      </c>
      <c r="X22" s="492"/>
      <c r="Z22" s="65" t="s">
        <v>459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93</v>
      </c>
      <c r="X23" s="494"/>
      <c r="Z23" s="66" t="s">
        <v>460</v>
      </c>
    </row>
    <row r="24" spans="1:28" ht="14.25" customHeight="1" x14ac:dyDescent="0.25">
      <c r="A24" s="447" t="s">
        <v>95</v>
      </c>
      <c r="B24" s="473"/>
      <c r="C24" s="33" t="s">
        <v>16</v>
      </c>
      <c r="D24" s="476" t="s">
        <v>461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45" t="s">
        <v>98</v>
      </c>
      <c r="D25" s="479" t="s">
        <v>462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463</v>
      </c>
    </row>
    <row r="26" spans="1:28" s="19" customFormat="1" ht="9.9499999999999993" customHeight="1" x14ac:dyDescent="0.25">
      <c r="A26" s="384" t="s">
        <v>120</v>
      </c>
      <c r="B26" s="384"/>
      <c r="C26" s="386" t="s">
        <v>464</v>
      </c>
      <c r="D26" s="391" t="s">
        <v>465</v>
      </c>
      <c r="E26" s="373">
        <v>0.92100000000000004</v>
      </c>
      <c r="F26" s="374"/>
      <c r="G26" s="51" t="s">
        <v>146</v>
      </c>
      <c r="H26" s="68">
        <v>3.0000000000000001E-3</v>
      </c>
      <c r="I26" s="423">
        <v>0.9224</v>
      </c>
      <c r="J26" s="423"/>
      <c r="K26" s="423">
        <v>0.92249999999999999</v>
      </c>
      <c r="L26" s="423"/>
      <c r="M26" s="423">
        <v>0.9224</v>
      </c>
      <c r="N26" s="423"/>
      <c r="O26" s="423">
        <v>0.92300000000000004</v>
      </c>
      <c r="P26" s="423"/>
      <c r="Q26" s="423">
        <v>0.92230000000000001</v>
      </c>
      <c r="R26" s="423"/>
      <c r="S26" s="423">
        <v>0.92369999999999997</v>
      </c>
      <c r="T26" s="423"/>
      <c r="U26" s="423">
        <v>0.92220000000000002</v>
      </c>
      <c r="V26" s="423"/>
      <c r="W26" s="423">
        <v>0.92110000000000003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94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466</v>
      </c>
      <c r="B28" s="384"/>
      <c r="C28" s="386" t="s">
        <v>121</v>
      </c>
      <c r="D28" s="391" t="s">
        <v>101</v>
      </c>
      <c r="E28" s="373">
        <v>0.27300000000000002</v>
      </c>
      <c r="F28" s="374"/>
      <c r="G28" s="51" t="s">
        <v>146</v>
      </c>
      <c r="H28" s="68">
        <v>2E-3</v>
      </c>
      <c r="I28" s="423">
        <v>0.27300000000000002</v>
      </c>
      <c r="J28" s="423"/>
      <c r="K28" s="423">
        <v>0.27310000000000001</v>
      </c>
      <c r="L28" s="423"/>
      <c r="M28" s="423">
        <v>0.27329999999999999</v>
      </c>
      <c r="N28" s="423"/>
      <c r="O28" s="423">
        <v>0.27300000000000002</v>
      </c>
      <c r="P28" s="423"/>
      <c r="Q28" s="423">
        <v>0.27200000000000002</v>
      </c>
      <c r="R28" s="423"/>
      <c r="S28" s="423">
        <v>0.2732</v>
      </c>
      <c r="T28" s="423"/>
      <c r="U28" s="423">
        <v>0.27310000000000001</v>
      </c>
      <c r="V28" s="423"/>
      <c r="W28" s="423">
        <v>0.27310000000000001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428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467</v>
      </c>
      <c r="B30" s="384"/>
      <c r="C30" s="386" t="s">
        <v>426</v>
      </c>
      <c r="D30" s="391"/>
      <c r="E30" s="373">
        <v>1.2999999999999999E-2</v>
      </c>
      <c r="F30" s="374"/>
      <c r="G30" s="51" t="s">
        <v>433</v>
      </c>
      <c r="H30" s="68">
        <v>2E-3</v>
      </c>
      <c r="I30" s="423">
        <v>1.2999999999999999E-2</v>
      </c>
      <c r="J30" s="423"/>
      <c r="K30" s="423">
        <v>1.2999999999999999E-2</v>
      </c>
      <c r="L30" s="423"/>
      <c r="M30" s="423">
        <v>1.2999999999999999E-2</v>
      </c>
      <c r="N30" s="423"/>
      <c r="O30" s="423">
        <v>1.35E-2</v>
      </c>
      <c r="P30" s="423"/>
      <c r="Q30" s="423">
        <v>1.2999999999999999E-2</v>
      </c>
      <c r="R30" s="423"/>
      <c r="S30" s="423">
        <v>1.35E-2</v>
      </c>
      <c r="T30" s="423"/>
      <c r="U30" s="423">
        <v>1.2999999999999999E-2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460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107</v>
      </c>
      <c r="B32" s="384"/>
      <c r="C32" s="386" t="s">
        <v>468</v>
      </c>
      <c r="D32" s="139" t="s">
        <v>469</v>
      </c>
      <c r="E32" s="140"/>
      <c r="F32" s="140"/>
      <c r="G32" s="140"/>
      <c r="H32" s="141"/>
      <c r="I32" s="379" t="s">
        <v>470</v>
      </c>
      <c r="J32" s="379"/>
      <c r="K32" s="379" t="s">
        <v>110</v>
      </c>
      <c r="L32" s="379"/>
      <c r="M32" s="379" t="s">
        <v>437</v>
      </c>
      <c r="N32" s="379"/>
      <c r="O32" s="379" t="s">
        <v>437</v>
      </c>
      <c r="P32" s="379"/>
      <c r="Q32" s="379" t="s">
        <v>471</v>
      </c>
      <c r="R32" s="379"/>
      <c r="S32" s="379" t="s">
        <v>110</v>
      </c>
      <c r="T32" s="379"/>
      <c r="U32" s="379" t="s">
        <v>437</v>
      </c>
      <c r="V32" s="379"/>
      <c r="W32" s="379" t="s">
        <v>437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42" t="s">
        <v>472</v>
      </c>
      <c r="E33" s="143"/>
      <c r="F33" s="143"/>
      <c r="G33" s="143"/>
      <c r="H33" s="144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42"/>
      <c r="E35" s="143"/>
      <c r="F35" s="143"/>
      <c r="G35" s="143"/>
      <c r="H35" s="144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39"/>
      <c r="E36" s="140"/>
      <c r="F36" s="140"/>
      <c r="G36" s="140"/>
      <c r="H36" s="141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42"/>
      <c r="E37" s="143"/>
      <c r="F37" s="143"/>
      <c r="G37" s="143"/>
      <c r="H37" s="144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39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42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39"/>
      <c r="E40" s="136"/>
      <c r="F40" s="137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42"/>
      <c r="E41" s="138"/>
      <c r="F41" s="138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39"/>
      <c r="E42" s="136"/>
      <c r="F42" s="137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42"/>
      <c r="E43" s="138"/>
      <c r="F43" s="138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39"/>
      <c r="E44" s="140"/>
      <c r="F44" s="140"/>
      <c r="G44" s="140"/>
      <c r="H44" s="141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42"/>
      <c r="E45" s="143"/>
      <c r="F45" s="143"/>
      <c r="G45" s="143"/>
      <c r="H45" s="144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39"/>
      <c r="E48" s="140"/>
      <c r="F48" s="140"/>
      <c r="G48" s="140"/>
      <c r="H48" s="141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42"/>
      <c r="E49" s="143"/>
      <c r="F49" s="143"/>
      <c r="G49" s="143"/>
      <c r="H49" s="144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473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474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475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163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100</v>
      </c>
      <c r="R72" s="401"/>
      <c r="S72" s="409" t="s">
        <v>476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477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166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478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03" priority="5" operator="greaterThan">
      <formula>$AA$26</formula>
    </cfRule>
    <cfRule type="cellIs" dxfId="202" priority="6" operator="lessThan">
      <formula>$AA$27</formula>
    </cfRule>
  </conditionalFormatting>
  <conditionalFormatting sqref="I28:X29">
    <cfRule type="cellIs" dxfId="201" priority="3" operator="greaterThan">
      <formula>$AA$28</formula>
    </cfRule>
    <cfRule type="cellIs" dxfId="200" priority="4" operator="lessThan">
      <formula>$AA$29</formula>
    </cfRule>
  </conditionalFormatting>
  <conditionalFormatting sqref="I30:X31">
    <cfRule type="cellIs" dxfId="199" priority="1" operator="greaterThan">
      <formula>$AA$30</formula>
    </cfRule>
    <cfRule type="cellIs" dxfId="19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topLeftCell="A64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479</v>
      </c>
      <c r="B2" s="496"/>
      <c r="C2" s="465" t="s">
        <v>480</v>
      </c>
      <c r="D2" s="151" t="s">
        <v>2</v>
      </c>
      <c r="E2" s="43"/>
      <c r="F2" s="369" t="s">
        <v>481</v>
      </c>
      <c r="G2" s="369"/>
      <c r="H2" s="369"/>
      <c r="I2" s="369"/>
      <c r="J2" s="369"/>
      <c r="K2" s="370"/>
      <c r="L2" s="151" t="s">
        <v>4</v>
      </c>
      <c r="M2" s="369">
        <v>4</v>
      </c>
      <c r="N2" s="499"/>
      <c r="O2" s="151" t="s">
        <v>6</v>
      </c>
      <c r="P2" s="502" t="s">
        <v>482</v>
      </c>
      <c r="Q2" s="502"/>
      <c r="R2" s="502"/>
      <c r="S2" s="502"/>
      <c r="T2" s="502"/>
      <c r="U2" s="502"/>
      <c r="V2" s="503"/>
      <c r="W2" s="151" t="s">
        <v>34</v>
      </c>
      <c r="X2" s="32">
        <v>1</v>
      </c>
      <c r="Z2" s="34" t="s">
        <v>483</v>
      </c>
    </row>
    <row r="3" spans="1:26" ht="9.9499999999999993" customHeight="1" x14ac:dyDescent="0.25">
      <c r="A3" s="497" t="s">
        <v>1</v>
      </c>
      <c r="B3" s="498"/>
      <c r="C3" s="486"/>
      <c r="D3" s="152" t="s">
        <v>3</v>
      </c>
      <c r="E3" s="44"/>
      <c r="F3" s="371"/>
      <c r="G3" s="371"/>
      <c r="H3" s="371"/>
      <c r="I3" s="371"/>
      <c r="J3" s="371"/>
      <c r="K3" s="372"/>
      <c r="L3" s="152" t="s">
        <v>5</v>
      </c>
      <c r="M3" s="500"/>
      <c r="N3" s="501"/>
      <c r="O3" s="152" t="s">
        <v>7</v>
      </c>
      <c r="P3" s="504"/>
      <c r="Q3" s="504"/>
      <c r="R3" s="504"/>
      <c r="S3" s="504"/>
      <c r="T3" s="504"/>
      <c r="U3" s="504"/>
      <c r="V3" s="505"/>
      <c r="W3" s="152" t="s">
        <v>8</v>
      </c>
      <c r="X3" s="160">
        <v>1</v>
      </c>
      <c r="Z3" s="35"/>
    </row>
    <row r="4" spans="1:26" ht="14.25" customHeight="1" x14ac:dyDescent="0.25">
      <c r="A4" s="3" t="s">
        <v>484</v>
      </c>
      <c r="B4" s="4"/>
      <c r="C4" s="4"/>
      <c r="D4" s="48"/>
      <c r="E4" s="28" t="s">
        <v>485</v>
      </c>
      <c r="F4" s="5" t="s">
        <v>486</v>
      </c>
      <c r="G4" s="5"/>
      <c r="H4" s="5"/>
      <c r="I4" s="4"/>
      <c r="J4" s="4"/>
      <c r="K4" s="28" t="s">
        <v>487</v>
      </c>
      <c r="L4" s="5" t="s">
        <v>488</v>
      </c>
      <c r="M4" s="4"/>
      <c r="N4" s="4"/>
      <c r="O4" s="151" t="s">
        <v>9</v>
      </c>
      <c r="P4" s="6"/>
      <c r="Q4" s="442" t="s">
        <v>489</v>
      </c>
      <c r="R4" s="443"/>
      <c r="S4" s="443"/>
      <c r="T4" s="444"/>
      <c r="U4" s="151" t="s">
        <v>11</v>
      </c>
      <c r="V4" s="7"/>
      <c r="W4" s="369" t="s">
        <v>71</v>
      </c>
      <c r="X4" s="499"/>
      <c r="Z4" s="34" t="s">
        <v>490</v>
      </c>
    </row>
    <row r="5" spans="1:26" ht="9.9499999999999993" customHeight="1" x14ac:dyDescent="0.2">
      <c r="A5" s="26" t="s">
        <v>84</v>
      </c>
      <c r="B5" s="8"/>
      <c r="C5" s="8"/>
      <c r="D5" s="8"/>
      <c r="E5" s="8"/>
      <c r="F5" s="27" t="s">
        <v>491</v>
      </c>
      <c r="G5" s="27"/>
      <c r="H5" s="27"/>
      <c r="I5" s="8"/>
      <c r="J5" s="8"/>
      <c r="K5" s="8"/>
      <c r="L5" s="27" t="s">
        <v>492</v>
      </c>
      <c r="M5" s="8"/>
      <c r="N5" s="9"/>
      <c r="O5" s="26" t="s">
        <v>10</v>
      </c>
      <c r="P5" s="10"/>
      <c r="Q5" s="445"/>
      <c r="R5" s="445"/>
      <c r="S5" s="445"/>
      <c r="T5" s="446"/>
      <c r="U5" s="152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493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481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494</v>
      </c>
      <c r="B22" s="487"/>
      <c r="C22" s="488"/>
      <c r="D22" s="466" t="s">
        <v>495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496</v>
      </c>
      <c r="X22" s="492"/>
      <c r="Z22" s="65" t="s">
        <v>497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498</v>
      </c>
      <c r="X23" s="494"/>
      <c r="Z23" s="66" t="s">
        <v>499</v>
      </c>
    </row>
    <row r="24" spans="1:28" ht="14.25" customHeight="1" x14ac:dyDescent="0.25">
      <c r="A24" s="447" t="s">
        <v>500</v>
      </c>
      <c r="B24" s="473"/>
      <c r="C24" s="33" t="s">
        <v>16</v>
      </c>
      <c r="D24" s="476" t="s">
        <v>501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59" t="s">
        <v>503</v>
      </c>
      <c r="D25" s="479" t="s">
        <v>504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506</v>
      </c>
    </row>
    <row r="26" spans="1:28" s="19" customFormat="1" ht="9.9499999999999993" customHeight="1" x14ac:dyDescent="0.25">
      <c r="A26" s="384" t="s">
        <v>507</v>
      </c>
      <c r="B26" s="384"/>
      <c r="C26" s="386" t="s">
        <v>508</v>
      </c>
      <c r="D26" s="391" t="s">
        <v>506</v>
      </c>
      <c r="E26" s="373">
        <v>0.92100000000000004</v>
      </c>
      <c r="F26" s="374"/>
      <c r="G26" s="51" t="s">
        <v>497</v>
      </c>
      <c r="H26" s="68">
        <v>3.0000000000000001E-3</v>
      </c>
      <c r="I26" s="423">
        <v>0.92320000000000002</v>
      </c>
      <c r="J26" s="423"/>
      <c r="K26" s="423">
        <v>0.92320000000000002</v>
      </c>
      <c r="L26" s="423"/>
      <c r="M26" s="423">
        <v>0.92320000000000002</v>
      </c>
      <c r="N26" s="423"/>
      <c r="O26" s="423">
        <v>0.92300000000000004</v>
      </c>
      <c r="P26" s="423"/>
      <c r="Q26" s="423">
        <v>0.92300000000000004</v>
      </c>
      <c r="R26" s="423"/>
      <c r="S26" s="423">
        <v>0.92300000000000004</v>
      </c>
      <c r="T26" s="423"/>
      <c r="U26" s="423">
        <v>0.92259999999999998</v>
      </c>
      <c r="V26" s="423"/>
      <c r="W26" s="423">
        <v>0.92100000000000004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509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510</v>
      </c>
      <c r="B28" s="384"/>
      <c r="C28" s="386" t="s">
        <v>511</v>
      </c>
      <c r="D28" s="391" t="s">
        <v>505</v>
      </c>
      <c r="E28" s="373">
        <v>0.27300000000000002</v>
      </c>
      <c r="F28" s="374"/>
      <c r="G28" s="51" t="s">
        <v>512</v>
      </c>
      <c r="H28" s="68">
        <v>2E-3</v>
      </c>
      <c r="I28" s="423">
        <v>0.27339999999999998</v>
      </c>
      <c r="J28" s="423"/>
      <c r="K28" s="423">
        <v>0.2732</v>
      </c>
      <c r="L28" s="423"/>
      <c r="M28" s="423">
        <v>0.27300000000000002</v>
      </c>
      <c r="N28" s="423"/>
      <c r="O28" s="423">
        <v>0.27250000000000002</v>
      </c>
      <c r="P28" s="423"/>
      <c r="Q28" s="423">
        <v>0.27289999999999998</v>
      </c>
      <c r="R28" s="423"/>
      <c r="S28" s="423">
        <v>0.27229999999999999</v>
      </c>
      <c r="T28" s="423"/>
      <c r="U28" s="423">
        <v>0.27279999999999999</v>
      </c>
      <c r="V28" s="423"/>
      <c r="W28" s="423">
        <v>0.27300000000000002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428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513</v>
      </c>
      <c r="B30" s="384"/>
      <c r="C30" s="386" t="s">
        <v>508</v>
      </c>
      <c r="D30" s="391"/>
      <c r="E30" s="373">
        <v>1.2999999999999999E-2</v>
      </c>
      <c r="F30" s="374"/>
      <c r="G30" s="51" t="s">
        <v>512</v>
      </c>
      <c r="H30" s="68">
        <v>2E-3</v>
      </c>
      <c r="I30" s="423">
        <v>1.35E-2</v>
      </c>
      <c r="J30" s="423"/>
      <c r="K30" s="423">
        <v>1.3599999999999999E-2</v>
      </c>
      <c r="L30" s="423"/>
      <c r="M30" s="423">
        <v>1.32E-2</v>
      </c>
      <c r="N30" s="423"/>
      <c r="O30" s="423">
        <v>1.32E-2</v>
      </c>
      <c r="P30" s="423"/>
      <c r="Q30" s="423">
        <v>1.35E-2</v>
      </c>
      <c r="R30" s="423"/>
      <c r="S30" s="423">
        <v>1.32E-2</v>
      </c>
      <c r="T30" s="423"/>
      <c r="U30" s="423">
        <v>1.32E-2</v>
      </c>
      <c r="V30" s="423"/>
      <c r="W30" s="423">
        <v>1.3100000000000001E-2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428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514</v>
      </c>
      <c r="B32" s="384"/>
      <c r="C32" s="386" t="s">
        <v>515</v>
      </c>
      <c r="D32" s="153" t="s">
        <v>516</v>
      </c>
      <c r="E32" s="154"/>
      <c r="F32" s="154"/>
      <c r="G32" s="154"/>
      <c r="H32" s="155"/>
      <c r="I32" s="379" t="s">
        <v>517</v>
      </c>
      <c r="J32" s="379"/>
      <c r="K32" s="379" t="s">
        <v>518</v>
      </c>
      <c r="L32" s="379"/>
      <c r="M32" s="379" t="s">
        <v>517</v>
      </c>
      <c r="N32" s="379"/>
      <c r="O32" s="379" t="s">
        <v>519</v>
      </c>
      <c r="P32" s="379"/>
      <c r="Q32" s="379" t="s">
        <v>519</v>
      </c>
      <c r="R32" s="379"/>
      <c r="S32" s="379" t="s">
        <v>517</v>
      </c>
      <c r="T32" s="379"/>
      <c r="U32" s="379" t="s">
        <v>517</v>
      </c>
      <c r="V32" s="379"/>
      <c r="W32" s="379" t="s">
        <v>519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56" t="s">
        <v>520</v>
      </c>
      <c r="E33" s="157"/>
      <c r="F33" s="157"/>
      <c r="G33" s="157"/>
      <c r="H33" s="158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56"/>
      <c r="E35" s="157"/>
      <c r="F35" s="157"/>
      <c r="G35" s="157"/>
      <c r="H35" s="158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53"/>
      <c r="E36" s="154"/>
      <c r="F36" s="154"/>
      <c r="G36" s="154"/>
      <c r="H36" s="155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56"/>
      <c r="E37" s="157"/>
      <c r="F37" s="157"/>
      <c r="G37" s="157"/>
      <c r="H37" s="158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53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56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53"/>
      <c r="E40" s="148"/>
      <c r="F40" s="149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56"/>
      <c r="E41" s="150"/>
      <c r="F41" s="150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53"/>
      <c r="E42" s="148"/>
      <c r="F42" s="149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56"/>
      <c r="E43" s="150"/>
      <c r="F43" s="150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53"/>
      <c r="E44" s="154"/>
      <c r="F44" s="154"/>
      <c r="G44" s="154"/>
      <c r="H44" s="155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56"/>
      <c r="E45" s="157"/>
      <c r="F45" s="157"/>
      <c r="G45" s="157"/>
      <c r="H45" s="158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53"/>
      <c r="E48" s="154"/>
      <c r="F48" s="154"/>
      <c r="G48" s="154"/>
      <c r="H48" s="155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56"/>
      <c r="E49" s="157"/>
      <c r="F49" s="157"/>
      <c r="G49" s="157"/>
      <c r="H49" s="158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521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522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523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524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508</v>
      </c>
      <c r="R72" s="401"/>
      <c r="S72" s="409" t="s">
        <v>525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526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527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528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9">
    <cfRule type="cellIs" dxfId="195" priority="3" operator="greaterThan">
      <formula>$AA$28</formula>
    </cfRule>
    <cfRule type="cellIs" dxfId="194" priority="4" operator="lessThan">
      <formula>$AA$29</formula>
    </cfRule>
  </conditionalFormatting>
  <conditionalFormatting sqref="I30:X31">
    <cfRule type="cellIs" dxfId="193" priority="1" operator="greaterThan">
      <formula>$AA$30</formula>
    </cfRule>
    <cfRule type="cellIs" dxfId="19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529</v>
      </c>
      <c r="B2" s="496"/>
      <c r="C2" s="465" t="s">
        <v>530</v>
      </c>
      <c r="D2" s="151" t="s">
        <v>2</v>
      </c>
      <c r="E2" s="43"/>
      <c r="F2" s="369" t="s">
        <v>531</v>
      </c>
      <c r="G2" s="369"/>
      <c r="H2" s="369"/>
      <c r="I2" s="369"/>
      <c r="J2" s="369"/>
      <c r="K2" s="370"/>
      <c r="L2" s="151" t="s">
        <v>4</v>
      </c>
      <c r="M2" s="369">
        <v>4</v>
      </c>
      <c r="N2" s="499"/>
      <c r="O2" s="151" t="s">
        <v>6</v>
      </c>
      <c r="P2" s="502" t="s">
        <v>532</v>
      </c>
      <c r="Q2" s="502"/>
      <c r="R2" s="502"/>
      <c r="S2" s="502"/>
      <c r="T2" s="502"/>
      <c r="U2" s="502"/>
      <c r="V2" s="503"/>
      <c r="W2" s="151" t="s">
        <v>34</v>
      </c>
      <c r="X2" s="32">
        <v>1</v>
      </c>
      <c r="Z2" s="34" t="s">
        <v>533</v>
      </c>
    </row>
    <row r="3" spans="1:26" ht="9.9499999999999993" customHeight="1" x14ac:dyDescent="0.25">
      <c r="A3" s="497" t="s">
        <v>1</v>
      </c>
      <c r="B3" s="498"/>
      <c r="C3" s="486"/>
      <c r="D3" s="152" t="s">
        <v>3</v>
      </c>
      <c r="E3" s="44"/>
      <c r="F3" s="371"/>
      <c r="G3" s="371"/>
      <c r="H3" s="371"/>
      <c r="I3" s="371"/>
      <c r="J3" s="371"/>
      <c r="K3" s="372"/>
      <c r="L3" s="152" t="s">
        <v>5</v>
      </c>
      <c r="M3" s="500"/>
      <c r="N3" s="501"/>
      <c r="O3" s="152" t="s">
        <v>7</v>
      </c>
      <c r="P3" s="504"/>
      <c r="Q3" s="504"/>
      <c r="R3" s="504"/>
      <c r="S3" s="504"/>
      <c r="T3" s="504"/>
      <c r="U3" s="504"/>
      <c r="V3" s="505"/>
      <c r="W3" s="152" t="s">
        <v>8</v>
      </c>
      <c r="X3" s="160">
        <v>1</v>
      </c>
      <c r="Z3" s="35"/>
    </row>
    <row r="4" spans="1:26" ht="14.25" customHeight="1" x14ac:dyDescent="0.25">
      <c r="A4" s="3" t="s">
        <v>534</v>
      </c>
      <c r="B4" s="4"/>
      <c r="C4" s="4"/>
      <c r="D4" s="48"/>
      <c r="E4" s="28" t="s">
        <v>535</v>
      </c>
      <c r="F4" s="5" t="s">
        <v>536</v>
      </c>
      <c r="G4" s="5"/>
      <c r="H4" s="5"/>
      <c r="I4" s="4"/>
      <c r="J4" s="4"/>
      <c r="K4" s="28" t="s">
        <v>537</v>
      </c>
      <c r="L4" s="5" t="s">
        <v>538</v>
      </c>
      <c r="M4" s="4"/>
      <c r="N4" s="4"/>
      <c r="O4" s="151" t="s">
        <v>9</v>
      </c>
      <c r="P4" s="6"/>
      <c r="Q4" s="442" t="s">
        <v>539</v>
      </c>
      <c r="R4" s="443"/>
      <c r="S4" s="443"/>
      <c r="T4" s="444"/>
      <c r="U4" s="151" t="s">
        <v>11</v>
      </c>
      <c r="V4" s="7"/>
      <c r="W4" s="369" t="s">
        <v>71</v>
      </c>
      <c r="X4" s="499"/>
      <c r="Z4" s="34" t="s">
        <v>540</v>
      </c>
    </row>
    <row r="5" spans="1:26" ht="9.9499999999999993" customHeight="1" x14ac:dyDescent="0.2">
      <c r="A5" s="26" t="s">
        <v>541</v>
      </c>
      <c r="B5" s="8"/>
      <c r="C5" s="8"/>
      <c r="D5" s="8"/>
      <c r="E5" s="8"/>
      <c r="F5" s="27" t="s">
        <v>542</v>
      </c>
      <c r="G5" s="27"/>
      <c r="H5" s="27"/>
      <c r="I5" s="8"/>
      <c r="J5" s="8"/>
      <c r="K5" s="8"/>
      <c r="L5" s="27" t="s">
        <v>543</v>
      </c>
      <c r="M5" s="8"/>
      <c r="N5" s="9"/>
      <c r="O5" s="26" t="s">
        <v>10</v>
      </c>
      <c r="P5" s="10"/>
      <c r="Q5" s="445"/>
      <c r="R5" s="445"/>
      <c r="S5" s="445"/>
      <c r="T5" s="446"/>
      <c r="U5" s="152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544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531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545</v>
      </c>
      <c r="B22" s="487"/>
      <c r="C22" s="488"/>
      <c r="D22" s="466" t="s">
        <v>546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547</v>
      </c>
      <c r="X22" s="492"/>
      <c r="Z22" s="65" t="s">
        <v>548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498</v>
      </c>
      <c r="X23" s="494"/>
      <c r="Z23" s="66" t="s">
        <v>549</v>
      </c>
    </row>
    <row r="24" spans="1:28" ht="14.25" customHeight="1" x14ac:dyDescent="0.25">
      <c r="A24" s="447" t="s">
        <v>550</v>
      </c>
      <c r="B24" s="473"/>
      <c r="C24" s="33" t="s">
        <v>16</v>
      </c>
      <c r="D24" s="476" t="s">
        <v>551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59" t="s">
        <v>502</v>
      </c>
      <c r="D25" s="479" t="s">
        <v>552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553</v>
      </c>
    </row>
    <row r="26" spans="1:28" s="19" customFormat="1" ht="9.9499999999999993" customHeight="1" x14ac:dyDescent="0.25">
      <c r="A26" s="384" t="s">
        <v>554</v>
      </c>
      <c r="B26" s="384"/>
      <c r="C26" s="386" t="s">
        <v>555</v>
      </c>
      <c r="D26" s="391" t="s">
        <v>553</v>
      </c>
      <c r="E26" s="373">
        <v>0.92100000000000004</v>
      </c>
      <c r="F26" s="374"/>
      <c r="G26" s="51" t="s">
        <v>548</v>
      </c>
      <c r="H26" s="68">
        <v>3.0000000000000001E-3</v>
      </c>
      <c r="I26" s="423">
        <v>0.9234</v>
      </c>
      <c r="J26" s="423"/>
      <c r="K26" s="423">
        <v>0.92300000000000004</v>
      </c>
      <c r="L26" s="423"/>
      <c r="M26" s="423">
        <v>0.9234</v>
      </c>
      <c r="N26" s="423"/>
      <c r="O26" s="423">
        <v>0.92300000000000004</v>
      </c>
      <c r="P26" s="423"/>
      <c r="Q26" s="423">
        <v>0.92300000000000004</v>
      </c>
      <c r="R26" s="423"/>
      <c r="S26" s="423">
        <v>0.92300000000000004</v>
      </c>
      <c r="T26" s="423"/>
      <c r="U26" s="423">
        <v>0.92300000000000004</v>
      </c>
      <c r="V26" s="423"/>
      <c r="W26" s="423">
        <v>0.92320000000000002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556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557</v>
      </c>
      <c r="B28" s="384"/>
      <c r="C28" s="386" t="s">
        <v>558</v>
      </c>
      <c r="D28" s="391" t="s">
        <v>553</v>
      </c>
      <c r="E28" s="373">
        <v>0.27300000000000002</v>
      </c>
      <c r="F28" s="374"/>
      <c r="G28" s="51" t="s">
        <v>559</v>
      </c>
      <c r="H28" s="68">
        <v>2E-3</v>
      </c>
      <c r="I28" s="423">
        <v>0.2732</v>
      </c>
      <c r="J28" s="423"/>
      <c r="K28" s="423">
        <v>0.2732</v>
      </c>
      <c r="L28" s="423"/>
      <c r="M28" s="423">
        <v>0.27300000000000002</v>
      </c>
      <c r="N28" s="423"/>
      <c r="O28" s="423">
        <v>0.2732</v>
      </c>
      <c r="P28" s="423"/>
      <c r="Q28" s="423">
        <v>0.27339999999999998</v>
      </c>
      <c r="R28" s="423"/>
      <c r="S28" s="423">
        <v>0.2732</v>
      </c>
      <c r="T28" s="423"/>
      <c r="U28" s="423">
        <v>0.27300000000000002</v>
      </c>
      <c r="V28" s="423"/>
      <c r="W28" s="423">
        <v>0.27279999999999999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509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560</v>
      </c>
      <c r="B30" s="384"/>
      <c r="C30" s="386" t="s">
        <v>561</v>
      </c>
      <c r="D30" s="391"/>
      <c r="E30" s="373">
        <v>1.2999999999999999E-2</v>
      </c>
      <c r="F30" s="374"/>
      <c r="G30" s="51" t="s">
        <v>497</v>
      </c>
      <c r="H30" s="68">
        <v>2E-3</v>
      </c>
      <c r="I30" s="423">
        <v>1.34E-2</v>
      </c>
      <c r="J30" s="423"/>
      <c r="K30" s="423">
        <v>1.3599999999999999E-2</v>
      </c>
      <c r="L30" s="423"/>
      <c r="M30" s="423">
        <v>1.34E-2</v>
      </c>
      <c r="N30" s="423"/>
      <c r="O30" s="423">
        <v>1.34E-2</v>
      </c>
      <c r="P30" s="423"/>
      <c r="Q30" s="423">
        <v>1.35E-2</v>
      </c>
      <c r="R30" s="423"/>
      <c r="S30" s="423">
        <v>1.34E-2</v>
      </c>
      <c r="T30" s="423"/>
      <c r="U30" s="423">
        <v>1.35E-2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556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562</v>
      </c>
      <c r="B32" s="384"/>
      <c r="C32" s="386" t="s">
        <v>563</v>
      </c>
      <c r="D32" s="153" t="s">
        <v>564</v>
      </c>
      <c r="E32" s="154"/>
      <c r="F32" s="154"/>
      <c r="G32" s="154"/>
      <c r="H32" s="155"/>
      <c r="I32" s="379" t="s">
        <v>565</v>
      </c>
      <c r="J32" s="379"/>
      <c r="K32" s="379" t="s">
        <v>519</v>
      </c>
      <c r="L32" s="379"/>
      <c r="M32" s="379" t="s">
        <v>565</v>
      </c>
      <c r="N32" s="379"/>
      <c r="O32" s="379" t="s">
        <v>519</v>
      </c>
      <c r="P32" s="379"/>
      <c r="Q32" s="379" t="s">
        <v>566</v>
      </c>
      <c r="R32" s="379"/>
      <c r="S32" s="379" t="s">
        <v>567</v>
      </c>
      <c r="T32" s="379"/>
      <c r="U32" s="379" t="s">
        <v>567</v>
      </c>
      <c r="V32" s="379"/>
      <c r="W32" s="379" t="s">
        <v>565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56" t="s">
        <v>568</v>
      </c>
      <c r="E33" s="157"/>
      <c r="F33" s="157"/>
      <c r="G33" s="157"/>
      <c r="H33" s="158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56"/>
      <c r="E35" s="157"/>
      <c r="F35" s="157"/>
      <c r="G35" s="157"/>
      <c r="H35" s="158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53"/>
      <c r="E36" s="154"/>
      <c r="F36" s="154"/>
      <c r="G36" s="154"/>
      <c r="H36" s="155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56"/>
      <c r="E37" s="157"/>
      <c r="F37" s="157"/>
      <c r="G37" s="157"/>
      <c r="H37" s="158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53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56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53"/>
      <c r="E40" s="148"/>
      <c r="F40" s="149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56"/>
      <c r="E41" s="150"/>
      <c r="F41" s="150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53"/>
      <c r="E42" s="148"/>
      <c r="F42" s="149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56"/>
      <c r="E43" s="150"/>
      <c r="F43" s="150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53"/>
      <c r="E44" s="154"/>
      <c r="F44" s="154"/>
      <c r="G44" s="154"/>
      <c r="H44" s="155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56"/>
      <c r="E45" s="157"/>
      <c r="F45" s="157"/>
      <c r="G45" s="157"/>
      <c r="H45" s="158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53"/>
      <c r="E48" s="154"/>
      <c r="F48" s="154"/>
      <c r="G48" s="154"/>
      <c r="H48" s="155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56"/>
      <c r="E49" s="157"/>
      <c r="F49" s="157"/>
      <c r="G49" s="157"/>
      <c r="H49" s="158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569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570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571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572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573</v>
      </c>
      <c r="R72" s="401"/>
      <c r="S72" s="409" t="s">
        <v>574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575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576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577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91" priority="5" operator="greaterThan">
      <formula>$AA$26</formula>
    </cfRule>
    <cfRule type="cellIs" dxfId="190" priority="6" operator="lessThan">
      <formula>$AA$27</formula>
    </cfRule>
  </conditionalFormatting>
  <conditionalFormatting sqref="I28:X29">
    <cfRule type="cellIs" dxfId="189" priority="3" operator="greaterThan">
      <formula>$AA$28</formula>
    </cfRule>
    <cfRule type="cellIs" dxfId="188" priority="4" operator="lessThan">
      <formula>$AA$29</formula>
    </cfRule>
  </conditionalFormatting>
  <conditionalFormatting sqref="I30:X31">
    <cfRule type="cellIs" dxfId="187" priority="1" operator="greaterThan">
      <formula>$AA$30</formula>
    </cfRule>
    <cfRule type="cellIs" dxfId="18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578</v>
      </c>
      <c r="B2" s="496"/>
      <c r="C2" s="465" t="s">
        <v>579</v>
      </c>
      <c r="D2" s="172" t="s">
        <v>2</v>
      </c>
      <c r="E2" s="43"/>
      <c r="F2" s="369" t="s">
        <v>580</v>
      </c>
      <c r="G2" s="369"/>
      <c r="H2" s="369"/>
      <c r="I2" s="369"/>
      <c r="J2" s="369"/>
      <c r="K2" s="370"/>
      <c r="L2" s="172" t="s">
        <v>4</v>
      </c>
      <c r="M2" s="369">
        <v>4</v>
      </c>
      <c r="N2" s="499"/>
      <c r="O2" s="172" t="s">
        <v>6</v>
      </c>
      <c r="P2" s="502" t="s">
        <v>581</v>
      </c>
      <c r="Q2" s="502"/>
      <c r="R2" s="502"/>
      <c r="S2" s="502"/>
      <c r="T2" s="502"/>
      <c r="U2" s="502"/>
      <c r="V2" s="503"/>
      <c r="W2" s="172" t="s">
        <v>34</v>
      </c>
      <c r="X2" s="32">
        <v>1</v>
      </c>
      <c r="Z2" s="34" t="s">
        <v>582</v>
      </c>
    </row>
    <row r="3" spans="1:26" ht="9.9499999999999993" customHeight="1" x14ac:dyDescent="0.25">
      <c r="A3" s="497" t="s">
        <v>1</v>
      </c>
      <c r="B3" s="498"/>
      <c r="C3" s="486"/>
      <c r="D3" s="173" t="s">
        <v>3</v>
      </c>
      <c r="E3" s="44"/>
      <c r="F3" s="371"/>
      <c r="G3" s="371"/>
      <c r="H3" s="371"/>
      <c r="I3" s="371"/>
      <c r="J3" s="371"/>
      <c r="K3" s="372"/>
      <c r="L3" s="173" t="s">
        <v>5</v>
      </c>
      <c r="M3" s="500"/>
      <c r="N3" s="501"/>
      <c r="O3" s="173" t="s">
        <v>7</v>
      </c>
      <c r="P3" s="504"/>
      <c r="Q3" s="504"/>
      <c r="R3" s="504"/>
      <c r="S3" s="504"/>
      <c r="T3" s="504"/>
      <c r="U3" s="504"/>
      <c r="V3" s="505"/>
      <c r="W3" s="173" t="s">
        <v>8</v>
      </c>
      <c r="X3" s="161">
        <v>1</v>
      </c>
      <c r="Z3" s="35"/>
    </row>
    <row r="4" spans="1:26" ht="14.25" customHeight="1" x14ac:dyDescent="0.25">
      <c r="A4" s="3" t="s">
        <v>583</v>
      </c>
      <c r="B4" s="4"/>
      <c r="C4" s="4"/>
      <c r="D4" s="48"/>
      <c r="E4" s="28" t="s">
        <v>137</v>
      </c>
      <c r="F4" s="5" t="s">
        <v>584</v>
      </c>
      <c r="G4" s="5"/>
      <c r="H4" s="5"/>
      <c r="I4" s="4"/>
      <c r="J4" s="4"/>
      <c r="K4" s="28" t="s">
        <v>585</v>
      </c>
      <c r="L4" s="5" t="s">
        <v>586</v>
      </c>
      <c r="M4" s="4"/>
      <c r="N4" s="4"/>
      <c r="O4" s="172" t="s">
        <v>9</v>
      </c>
      <c r="P4" s="6"/>
      <c r="Q4" s="442" t="s">
        <v>587</v>
      </c>
      <c r="R4" s="443"/>
      <c r="S4" s="443"/>
      <c r="T4" s="444"/>
      <c r="U4" s="172" t="s">
        <v>11</v>
      </c>
      <c r="V4" s="7"/>
      <c r="W4" s="369" t="s">
        <v>71</v>
      </c>
      <c r="X4" s="499"/>
      <c r="Z4" s="34" t="s">
        <v>588</v>
      </c>
    </row>
    <row r="5" spans="1:26" ht="9.9499999999999993" customHeight="1" x14ac:dyDescent="0.2">
      <c r="A5" s="26" t="s">
        <v>589</v>
      </c>
      <c r="B5" s="8"/>
      <c r="C5" s="8"/>
      <c r="D5" s="8"/>
      <c r="E5" s="8"/>
      <c r="F5" s="27" t="s">
        <v>590</v>
      </c>
      <c r="G5" s="27"/>
      <c r="H5" s="27"/>
      <c r="I5" s="8"/>
      <c r="J5" s="8"/>
      <c r="K5" s="8"/>
      <c r="L5" s="27" t="s">
        <v>591</v>
      </c>
      <c r="M5" s="8"/>
      <c r="N5" s="9"/>
      <c r="O5" s="26" t="s">
        <v>10</v>
      </c>
      <c r="P5" s="10"/>
      <c r="Q5" s="445"/>
      <c r="R5" s="445"/>
      <c r="S5" s="445"/>
      <c r="T5" s="446"/>
      <c r="U5" s="173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592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89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593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594</v>
      </c>
      <c r="X22" s="492"/>
      <c r="Z22" s="65" t="s">
        <v>595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93</v>
      </c>
      <c r="X23" s="494"/>
      <c r="Z23" s="66" t="s">
        <v>596</v>
      </c>
    </row>
    <row r="24" spans="1:28" ht="14.25" customHeight="1" x14ac:dyDescent="0.25">
      <c r="A24" s="447" t="s">
        <v>597</v>
      </c>
      <c r="B24" s="473"/>
      <c r="C24" s="33" t="s">
        <v>16</v>
      </c>
      <c r="D24" s="476" t="s">
        <v>598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71" t="s">
        <v>599</v>
      </c>
      <c r="D25" s="479" t="s">
        <v>600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601</v>
      </c>
    </row>
    <row r="26" spans="1:28" s="19" customFormat="1" ht="9.9499999999999993" customHeight="1" x14ac:dyDescent="0.25">
      <c r="A26" s="384" t="s">
        <v>602</v>
      </c>
      <c r="B26" s="384"/>
      <c r="C26" s="386" t="s">
        <v>603</v>
      </c>
      <c r="D26" s="391" t="s">
        <v>101</v>
      </c>
      <c r="E26" s="373">
        <v>0.92100000000000004</v>
      </c>
      <c r="F26" s="374"/>
      <c r="G26" s="51" t="s">
        <v>604</v>
      </c>
      <c r="H26" s="68">
        <v>3.0000000000000001E-3</v>
      </c>
      <c r="I26" s="423">
        <v>0.92200000000000004</v>
      </c>
      <c r="J26" s="423"/>
      <c r="K26" s="423">
        <v>0.92249999999999999</v>
      </c>
      <c r="L26" s="423"/>
      <c r="M26" s="423">
        <v>0.92249999999999999</v>
      </c>
      <c r="N26" s="423"/>
      <c r="O26" s="423">
        <v>0.92200000000000004</v>
      </c>
      <c r="P26" s="423"/>
      <c r="Q26" s="423">
        <v>0.92249999999999999</v>
      </c>
      <c r="R26" s="423"/>
      <c r="S26" s="423">
        <v>0.92200000000000004</v>
      </c>
      <c r="T26" s="423"/>
      <c r="U26" s="423">
        <v>0.92249999999999999</v>
      </c>
      <c r="V26" s="423"/>
      <c r="W26" s="423">
        <v>0.92300000000000004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605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606</v>
      </c>
      <c r="B28" s="384"/>
      <c r="C28" s="386" t="s">
        <v>121</v>
      </c>
      <c r="D28" s="391" t="s">
        <v>607</v>
      </c>
      <c r="E28" s="373">
        <v>0.27300000000000002</v>
      </c>
      <c r="F28" s="374"/>
      <c r="G28" s="51" t="s">
        <v>604</v>
      </c>
      <c r="H28" s="68">
        <v>2E-3</v>
      </c>
      <c r="I28" s="423">
        <v>0.27200000000000002</v>
      </c>
      <c r="J28" s="423"/>
      <c r="K28" s="423">
        <v>0.27250000000000002</v>
      </c>
      <c r="L28" s="423"/>
      <c r="M28" s="423">
        <v>0.27250000000000002</v>
      </c>
      <c r="N28" s="423"/>
      <c r="O28" s="423">
        <v>0.27279999999999999</v>
      </c>
      <c r="P28" s="423"/>
      <c r="Q28" s="423">
        <v>0.27300000000000002</v>
      </c>
      <c r="R28" s="423"/>
      <c r="S28" s="423">
        <v>0.27260000000000001</v>
      </c>
      <c r="T28" s="423"/>
      <c r="U28" s="423">
        <v>0.27239999999999998</v>
      </c>
      <c r="V28" s="423"/>
      <c r="W28" s="423">
        <v>0.27260000000000001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608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609</v>
      </c>
      <c r="B30" s="384"/>
      <c r="C30" s="386" t="s">
        <v>610</v>
      </c>
      <c r="D30" s="391"/>
      <c r="E30" s="373">
        <v>1.2999999999999999E-2</v>
      </c>
      <c r="F30" s="374"/>
      <c r="G30" s="51" t="s">
        <v>604</v>
      </c>
      <c r="H30" s="68">
        <v>2E-3</v>
      </c>
      <c r="I30" s="423">
        <v>1.2500000000000001E-2</v>
      </c>
      <c r="J30" s="423"/>
      <c r="K30" s="423">
        <v>1.2500000000000001E-2</v>
      </c>
      <c r="L30" s="423"/>
      <c r="M30" s="423">
        <v>1.35E-2</v>
      </c>
      <c r="N30" s="423"/>
      <c r="O30" s="423">
        <v>1.4999999999999999E-2</v>
      </c>
      <c r="P30" s="423"/>
      <c r="Q30" s="423">
        <v>1.2999999999999999E-2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611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612</v>
      </c>
      <c r="B32" s="384"/>
      <c r="C32" s="386" t="s">
        <v>613</v>
      </c>
      <c r="D32" s="165" t="s">
        <v>614</v>
      </c>
      <c r="E32" s="166"/>
      <c r="F32" s="166"/>
      <c r="G32" s="166"/>
      <c r="H32" s="167"/>
      <c r="I32" s="379" t="s">
        <v>615</v>
      </c>
      <c r="J32" s="379"/>
      <c r="K32" s="379" t="s">
        <v>615</v>
      </c>
      <c r="L32" s="379"/>
      <c r="M32" s="379" t="s">
        <v>616</v>
      </c>
      <c r="N32" s="379"/>
      <c r="O32" s="379" t="s">
        <v>615</v>
      </c>
      <c r="P32" s="379"/>
      <c r="Q32" s="379" t="s">
        <v>615</v>
      </c>
      <c r="R32" s="379"/>
      <c r="S32" s="379" t="s">
        <v>615</v>
      </c>
      <c r="T32" s="379"/>
      <c r="U32" s="379" t="s">
        <v>615</v>
      </c>
      <c r="V32" s="379"/>
      <c r="W32" s="379" t="s">
        <v>617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68" t="s">
        <v>618</v>
      </c>
      <c r="E33" s="169"/>
      <c r="F33" s="169"/>
      <c r="G33" s="169"/>
      <c r="H33" s="170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68"/>
      <c r="E35" s="169"/>
      <c r="F35" s="169"/>
      <c r="G35" s="169"/>
      <c r="H35" s="170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65"/>
      <c r="E36" s="166"/>
      <c r="F36" s="166"/>
      <c r="G36" s="166"/>
      <c r="H36" s="167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68"/>
      <c r="E37" s="169"/>
      <c r="F37" s="169"/>
      <c r="G37" s="169"/>
      <c r="H37" s="170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65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68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65"/>
      <c r="E40" s="162"/>
      <c r="F40" s="163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68"/>
      <c r="E41" s="164"/>
      <c r="F41" s="164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65"/>
      <c r="E42" s="162"/>
      <c r="F42" s="163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68"/>
      <c r="E43" s="164"/>
      <c r="F43" s="164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65"/>
      <c r="E44" s="166"/>
      <c r="F44" s="166"/>
      <c r="G44" s="166"/>
      <c r="H44" s="167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68"/>
      <c r="E45" s="169"/>
      <c r="F45" s="169"/>
      <c r="G45" s="169"/>
      <c r="H45" s="170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65"/>
      <c r="E48" s="166"/>
      <c r="F48" s="166"/>
      <c r="G48" s="166"/>
      <c r="H48" s="167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68"/>
      <c r="E49" s="169"/>
      <c r="F49" s="169"/>
      <c r="G49" s="169"/>
      <c r="H49" s="170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619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124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125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163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100</v>
      </c>
      <c r="R72" s="401"/>
      <c r="S72" s="409" t="s">
        <v>620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621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622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9">
    <cfRule type="cellIs" dxfId="183" priority="3" operator="greaterThan">
      <formula>$AA$28</formula>
    </cfRule>
    <cfRule type="cellIs" dxfId="182" priority="4" operator="lessThan">
      <formula>$AA$29</formula>
    </cfRule>
  </conditionalFormatting>
  <conditionalFormatting sqref="I30:X31">
    <cfRule type="cellIs" dxfId="181" priority="1" operator="greaterThan">
      <formula>$AA$30</formula>
    </cfRule>
    <cfRule type="cellIs" dxfId="18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131</v>
      </c>
      <c r="B2" s="496"/>
      <c r="C2" s="465" t="s">
        <v>132</v>
      </c>
      <c r="D2" s="172" t="s">
        <v>2</v>
      </c>
      <c r="E2" s="43"/>
      <c r="F2" s="369" t="s">
        <v>89</v>
      </c>
      <c r="G2" s="369"/>
      <c r="H2" s="369"/>
      <c r="I2" s="369"/>
      <c r="J2" s="369"/>
      <c r="K2" s="370"/>
      <c r="L2" s="172" t="s">
        <v>4</v>
      </c>
      <c r="M2" s="369">
        <v>4</v>
      </c>
      <c r="N2" s="499"/>
      <c r="O2" s="172" t="s">
        <v>6</v>
      </c>
      <c r="P2" s="502" t="s">
        <v>134</v>
      </c>
      <c r="Q2" s="502"/>
      <c r="R2" s="502"/>
      <c r="S2" s="502"/>
      <c r="T2" s="502"/>
      <c r="U2" s="502"/>
      <c r="V2" s="503"/>
      <c r="W2" s="172" t="s">
        <v>34</v>
      </c>
      <c r="X2" s="32">
        <v>1</v>
      </c>
      <c r="Z2" s="34" t="s">
        <v>135</v>
      </c>
    </row>
    <row r="3" spans="1:26" ht="9.9499999999999993" customHeight="1" x14ac:dyDescent="0.25">
      <c r="A3" s="497" t="s">
        <v>1</v>
      </c>
      <c r="B3" s="498"/>
      <c r="C3" s="486"/>
      <c r="D3" s="173" t="s">
        <v>3</v>
      </c>
      <c r="E3" s="44"/>
      <c r="F3" s="371"/>
      <c r="G3" s="371"/>
      <c r="H3" s="371"/>
      <c r="I3" s="371"/>
      <c r="J3" s="371"/>
      <c r="K3" s="372"/>
      <c r="L3" s="173" t="s">
        <v>5</v>
      </c>
      <c r="M3" s="500"/>
      <c r="N3" s="501"/>
      <c r="O3" s="173" t="s">
        <v>7</v>
      </c>
      <c r="P3" s="504"/>
      <c r="Q3" s="504"/>
      <c r="R3" s="504"/>
      <c r="S3" s="504"/>
      <c r="T3" s="504"/>
      <c r="U3" s="504"/>
      <c r="V3" s="505"/>
      <c r="W3" s="173" t="s">
        <v>8</v>
      </c>
      <c r="X3" s="161">
        <v>1</v>
      </c>
      <c r="Z3" s="35"/>
    </row>
    <row r="4" spans="1:26" ht="14.25" customHeight="1" x14ac:dyDescent="0.25">
      <c r="A4" s="3" t="s">
        <v>136</v>
      </c>
      <c r="B4" s="4"/>
      <c r="C4" s="4"/>
      <c r="D4" s="48"/>
      <c r="E4" s="28" t="s">
        <v>137</v>
      </c>
      <c r="F4" s="5" t="s">
        <v>623</v>
      </c>
      <c r="G4" s="5"/>
      <c r="H4" s="5"/>
      <c r="I4" s="4"/>
      <c r="J4" s="4"/>
      <c r="K4" s="28" t="s">
        <v>114</v>
      </c>
      <c r="L4" s="5" t="s">
        <v>82</v>
      </c>
      <c r="M4" s="4"/>
      <c r="N4" s="4"/>
      <c r="O4" s="172" t="s">
        <v>9</v>
      </c>
      <c r="P4" s="6"/>
      <c r="Q4" s="442" t="s">
        <v>624</v>
      </c>
      <c r="R4" s="443"/>
      <c r="S4" s="443"/>
      <c r="T4" s="444"/>
      <c r="U4" s="172" t="s">
        <v>11</v>
      </c>
      <c r="V4" s="7"/>
      <c r="W4" s="369" t="s">
        <v>71</v>
      </c>
      <c r="X4" s="499"/>
      <c r="Z4" s="34" t="s">
        <v>141</v>
      </c>
    </row>
    <row r="5" spans="1:26" ht="9.9499999999999993" customHeight="1" x14ac:dyDescent="0.2">
      <c r="A5" s="26" t="s">
        <v>625</v>
      </c>
      <c r="B5" s="8"/>
      <c r="C5" s="8"/>
      <c r="D5" s="8"/>
      <c r="E5" s="8"/>
      <c r="F5" s="27" t="s">
        <v>85</v>
      </c>
      <c r="G5" s="27"/>
      <c r="H5" s="27"/>
      <c r="I5" s="8"/>
      <c r="J5" s="8"/>
      <c r="K5" s="8"/>
      <c r="L5" s="27" t="s">
        <v>626</v>
      </c>
      <c r="M5" s="8"/>
      <c r="N5" s="9"/>
      <c r="O5" s="26" t="s">
        <v>10</v>
      </c>
      <c r="P5" s="10"/>
      <c r="Q5" s="445"/>
      <c r="R5" s="445"/>
      <c r="S5" s="445"/>
      <c r="T5" s="446"/>
      <c r="U5" s="173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627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628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629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91</v>
      </c>
      <c r="X22" s="492"/>
      <c r="Z22" s="65" t="s">
        <v>102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93</v>
      </c>
      <c r="X23" s="494"/>
      <c r="Z23" s="66" t="s">
        <v>94</v>
      </c>
    </row>
    <row r="24" spans="1:28" ht="14.25" customHeight="1" x14ac:dyDescent="0.25">
      <c r="A24" s="447" t="s">
        <v>95</v>
      </c>
      <c r="B24" s="473"/>
      <c r="C24" s="33" t="s">
        <v>16</v>
      </c>
      <c r="D24" s="476" t="s">
        <v>97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71" t="s">
        <v>630</v>
      </c>
      <c r="D25" s="479" t="s">
        <v>99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101</v>
      </c>
    </row>
    <row r="26" spans="1:28" s="19" customFormat="1" ht="9.9499999999999993" customHeight="1" x14ac:dyDescent="0.25">
      <c r="A26" s="384" t="s">
        <v>120</v>
      </c>
      <c r="B26" s="384"/>
      <c r="C26" s="386" t="s">
        <v>610</v>
      </c>
      <c r="D26" s="391" t="s">
        <v>631</v>
      </c>
      <c r="E26" s="373">
        <v>0.92100000000000004</v>
      </c>
      <c r="F26" s="374"/>
      <c r="G26" s="51" t="s">
        <v>102</v>
      </c>
      <c r="H26" s="68">
        <v>3.0000000000000001E-3</v>
      </c>
      <c r="I26" s="423">
        <v>0.92100000000000004</v>
      </c>
      <c r="J26" s="423"/>
      <c r="K26" s="423">
        <v>0.92100000000000004</v>
      </c>
      <c r="L26" s="423"/>
      <c r="M26" s="423">
        <v>0.92200000000000004</v>
      </c>
      <c r="N26" s="423"/>
      <c r="O26" s="423">
        <v>0.92149999999999999</v>
      </c>
      <c r="P26" s="423"/>
      <c r="Q26" s="423">
        <v>0.92249999999999999</v>
      </c>
      <c r="R26" s="423"/>
      <c r="S26" s="423">
        <v>0.92100000000000004</v>
      </c>
      <c r="T26" s="423"/>
      <c r="U26" s="423">
        <v>0.92200000000000004</v>
      </c>
      <c r="V26" s="423"/>
      <c r="W26" s="423">
        <v>0.92100000000000004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94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103</v>
      </c>
      <c r="B28" s="384"/>
      <c r="C28" s="386" t="s">
        <v>121</v>
      </c>
      <c r="D28" s="391" t="s">
        <v>101</v>
      </c>
      <c r="E28" s="373">
        <v>0.27300000000000002</v>
      </c>
      <c r="F28" s="374"/>
      <c r="G28" s="51" t="s">
        <v>604</v>
      </c>
      <c r="H28" s="68">
        <v>2E-3</v>
      </c>
      <c r="I28" s="423">
        <v>0.27239999999999998</v>
      </c>
      <c r="J28" s="423"/>
      <c r="K28" s="423">
        <v>0.27300000000000002</v>
      </c>
      <c r="L28" s="423"/>
      <c r="M28" s="423">
        <v>0.2732</v>
      </c>
      <c r="N28" s="423"/>
      <c r="O28" s="423">
        <v>0.27239999999999998</v>
      </c>
      <c r="P28" s="423"/>
      <c r="Q28" s="423">
        <v>0.27250000000000002</v>
      </c>
      <c r="R28" s="423"/>
      <c r="S28" s="423">
        <v>0.27200000000000002</v>
      </c>
      <c r="T28" s="423"/>
      <c r="U28" s="423">
        <v>0.2722</v>
      </c>
      <c r="V28" s="423"/>
      <c r="W28" s="423">
        <v>0.27279999999999999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94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632</v>
      </c>
      <c r="B30" s="384"/>
      <c r="C30" s="386" t="s">
        <v>610</v>
      </c>
      <c r="D30" s="391"/>
      <c r="E30" s="373">
        <v>1.2999999999999999E-2</v>
      </c>
      <c r="F30" s="374"/>
      <c r="G30" s="51" t="s">
        <v>102</v>
      </c>
      <c r="H30" s="68">
        <v>2E-3</v>
      </c>
      <c r="I30" s="423">
        <v>1.35E-2</v>
      </c>
      <c r="J30" s="423"/>
      <c r="K30" s="423">
        <v>1.2999999999999999E-2</v>
      </c>
      <c r="L30" s="423"/>
      <c r="M30" s="423">
        <v>1.35E-2</v>
      </c>
      <c r="N30" s="423"/>
      <c r="O30" s="423">
        <v>1.2999999999999999E-2</v>
      </c>
      <c r="P30" s="423"/>
      <c r="Q30" s="423">
        <v>1.2999999999999999E-2</v>
      </c>
      <c r="R30" s="423"/>
      <c r="S30" s="423">
        <v>1.2999999999999999E-2</v>
      </c>
      <c r="T30" s="423"/>
      <c r="U30" s="423">
        <v>1.35E-2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94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633</v>
      </c>
      <c r="B32" s="384"/>
      <c r="C32" s="386" t="s">
        <v>108</v>
      </c>
      <c r="D32" s="165" t="s">
        <v>614</v>
      </c>
      <c r="E32" s="166"/>
      <c r="F32" s="166"/>
      <c r="G32" s="166"/>
      <c r="H32" s="167"/>
      <c r="I32" s="379" t="s">
        <v>615</v>
      </c>
      <c r="J32" s="379"/>
      <c r="K32" s="379" t="s">
        <v>111</v>
      </c>
      <c r="L32" s="379"/>
      <c r="M32" s="379" t="s">
        <v>615</v>
      </c>
      <c r="N32" s="379"/>
      <c r="O32" s="379" t="s">
        <v>615</v>
      </c>
      <c r="P32" s="379"/>
      <c r="Q32" s="379" t="s">
        <v>615</v>
      </c>
      <c r="R32" s="379"/>
      <c r="S32" s="379" t="s">
        <v>111</v>
      </c>
      <c r="T32" s="379"/>
      <c r="U32" s="379" t="s">
        <v>615</v>
      </c>
      <c r="V32" s="379"/>
      <c r="W32" s="379" t="s">
        <v>111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68" t="s">
        <v>634</v>
      </c>
      <c r="E33" s="169"/>
      <c r="F33" s="169"/>
      <c r="G33" s="169"/>
      <c r="H33" s="170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68"/>
      <c r="E35" s="169"/>
      <c r="F35" s="169"/>
      <c r="G35" s="169"/>
      <c r="H35" s="170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65"/>
      <c r="E36" s="166"/>
      <c r="F36" s="166"/>
      <c r="G36" s="166"/>
      <c r="H36" s="167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68"/>
      <c r="E37" s="169"/>
      <c r="F37" s="169"/>
      <c r="G37" s="169"/>
      <c r="H37" s="170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65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68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65"/>
      <c r="E40" s="162"/>
      <c r="F40" s="163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68"/>
      <c r="E41" s="164"/>
      <c r="F41" s="164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65"/>
      <c r="E42" s="162"/>
      <c r="F42" s="163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68"/>
      <c r="E43" s="164"/>
      <c r="F43" s="164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65"/>
      <c r="E44" s="166"/>
      <c r="F44" s="166"/>
      <c r="G44" s="166"/>
      <c r="H44" s="167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68"/>
      <c r="E45" s="169"/>
      <c r="F45" s="169"/>
      <c r="G45" s="169"/>
      <c r="H45" s="170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65"/>
      <c r="E48" s="166"/>
      <c r="F48" s="166"/>
      <c r="G48" s="166"/>
      <c r="H48" s="167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68"/>
      <c r="E49" s="169"/>
      <c r="F49" s="169"/>
      <c r="G49" s="169"/>
      <c r="H49" s="170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635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636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637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638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100</v>
      </c>
      <c r="R72" s="401"/>
      <c r="S72" s="409" t="s">
        <v>128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639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621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640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79" priority="5" operator="greaterThan">
      <formula>$AA$26</formula>
    </cfRule>
    <cfRule type="cellIs" dxfId="178" priority="6" operator="lessThan">
      <formula>$AA$27</formula>
    </cfRule>
  </conditionalFormatting>
  <conditionalFormatting sqref="I28:X29">
    <cfRule type="cellIs" dxfId="177" priority="3" operator="greaterThan">
      <formula>$AA$28</formula>
    </cfRule>
    <cfRule type="cellIs" dxfId="176" priority="4" operator="lessThan">
      <formula>$AA$29</formula>
    </cfRule>
  </conditionalFormatting>
  <conditionalFormatting sqref="I30:X31">
    <cfRule type="cellIs" dxfId="175" priority="1" operator="greaterThan">
      <formula>$AA$30</formula>
    </cfRule>
    <cfRule type="cellIs" dxfId="17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30</v>
      </c>
      <c r="B2" s="496"/>
      <c r="C2" s="465" t="s">
        <v>53</v>
      </c>
      <c r="D2" s="177" t="s">
        <v>2</v>
      </c>
      <c r="E2" s="43"/>
      <c r="F2" s="369" t="s">
        <v>641</v>
      </c>
      <c r="G2" s="369"/>
      <c r="H2" s="369"/>
      <c r="I2" s="369"/>
      <c r="J2" s="369"/>
      <c r="K2" s="370"/>
      <c r="L2" s="177" t="s">
        <v>4</v>
      </c>
      <c r="M2" s="369">
        <v>4</v>
      </c>
      <c r="N2" s="499"/>
      <c r="O2" s="177" t="s">
        <v>6</v>
      </c>
      <c r="P2" s="502" t="s">
        <v>54</v>
      </c>
      <c r="Q2" s="502"/>
      <c r="R2" s="502"/>
      <c r="S2" s="502"/>
      <c r="T2" s="502"/>
      <c r="U2" s="502"/>
      <c r="V2" s="503"/>
      <c r="W2" s="177" t="s">
        <v>34</v>
      </c>
      <c r="X2" s="32">
        <v>1</v>
      </c>
      <c r="Z2" s="34" t="s">
        <v>642</v>
      </c>
    </row>
    <row r="3" spans="1:26" ht="9.9499999999999993" customHeight="1" x14ac:dyDescent="0.25">
      <c r="A3" s="497" t="s">
        <v>1</v>
      </c>
      <c r="B3" s="498"/>
      <c r="C3" s="486"/>
      <c r="D3" s="178" t="s">
        <v>3</v>
      </c>
      <c r="E3" s="44"/>
      <c r="F3" s="371"/>
      <c r="G3" s="371"/>
      <c r="H3" s="371"/>
      <c r="I3" s="371"/>
      <c r="J3" s="371"/>
      <c r="K3" s="372"/>
      <c r="L3" s="178" t="s">
        <v>5</v>
      </c>
      <c r="M3" s="500"/>
      <c r="N3" s="501"/>
      <c r="O3" s="178" t="s">
        <v>7</v>
      </c>
      <c r="P3" s="504"/>
      <c r="Q3" s="504"/>
      <c r="R3" s="504"/>
      <c r="S3" s="504"/>
      <c r="T3" s="504"/>
      <c r="U3" s="504"/>
      <c r="V3" s="505"/>
      <c r="W3" s="178" t="s">
        <v>8</v>
      </c>
      <c r="X3" s="186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643</v>
      </c>
      <c r="F4" s="5" t="s">
        <v>644</v>
      </c>
      <c r="G4" s="5"/>
      <c r="H4" s="5"/>
      <c r="I4" s="4"/>
      <c r="J4" s="4"/>
      <c r="K4" s="28" t="s">
        <v>114</v>
      </c>
      <c r="L4" s="5" t="s">
        <v>33</v>
      </c>
      <c r="M4" s="4"/>
      <c r="N4" s="4"/>
      <c r="O4" s="177" t="s">
        <v>9</v>
      </c>
      <c r="P4" s="6"/>
      <c r="Q4" s="442" t="s">
        <v>645</v>
      </c>
      <c r="R4" s="443"/>
      <c r="S4" s="443"/>
      <c r="T4" s="444"/>
      <c r="U4" s="177" t="s">
        <v>11</v>
      </c>
      <c r="V4" s="7"/>
      <c r="W4" s="369" t="s">
        <v>71</v>
      </c>
      <c r="X4" s="499"/>
      <c r="Z4" s="34" t="s">
        <v>646</v>
      </c>
    </row>
    <row r="5" spans="1:26" ht="9.9499999999999993" customHeight="1" x14ac:dyDescent="0.2">
      <c r="A5" s="26" t="s">
        <v>647</v>
      </c>
      <c r="B5" s="8"/>
      <c r="C5" s="8"/>
      <c r="D5" s="8"/>
      <c r="E5" s="8"/>
      <c r="F5" s="27" t="s">
        <v>648</v>
      </c>
      <c r="G5" s="27"/>
      <c r="H5" s="27"/>
      <c r="I5" s="8"/>
      <c r="J5" s="8"/>
      <c r="K5" s="8"/>
      <c r="L5" s="27" t="s">
        <v>649</v>
      </c>
      <c r="M5" s="8"/>
      <c r="N5" s="9"/>
      <c r="O5" s="26" t="s">
        <v>10</v>
      </c>
      <c r="P5" s="10"/>
      <c r="Q5" s="445"/>
      <c r="R5" s="445"/>
      <c r="S5" s="445"/>
      <c r="T5" s="446"/>
      <c r="U5" s="178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36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650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35</v>
      </c>
      <c r="B22" s="487"/>
      <c r="C22" s="488"/>
      <c r="D22" s="466" t="s">
        <v>40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651</v>
      </c>
      <c r="X22" s="492"/>
      <c r="Z22" s="65" t="s">
        <v>652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653</v>
      </c>
      <c r="X23" s="494"/>
      <c r="Z23" s="66" t="s">
        <v>654</v>
      </c>
    </row>
    <row r="24" spans="1:28" ht="14.25" customHeight="1" x14ac:dyDescent="0.25">
      <c r="A24" s="447" t="s">
        <v>655</v>
      </c>
      <c r="B24" s="473"/>
      <c r="C24" s="33" t="s">
        <v>16</v>
      </c>
      <c r="D24" s="476" t="s">
        <v>656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85" t="s">
        <v>657</v>
      </c>
      <c r="D25" s="479" t="s">
        <v>658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52</v>
      </c>
    </row>
    <row r="26" spans="1:28" s="19" customFormat="1" ht="9.9499999999999993" customHeight="1" x14ac:dyDescent="0.25">
      <c r="A26" s="384" t="s">
        <v>659</v>
      </c>
      <c r="B26" s="384"/>
      <c r="C26" s="386" t="s">
        <v>660</v>
      </c>
      <c r="D26" s="391" t="s">
        <v>661</v>
      </c>
      <c r="E26" s="373">
        <v>0.92100000000000004</v>
      </c>
      <c r="F26" s="374"/>
      <c r="G26" s="51" t="s">
        <v>662</v>
      </c>
      <c r="H26" s="68">
        <v>3.0000000000000001E-3</v>
      </c>
      <c r="I26" s="423">
        <v>0.92100000000000004</v>
      </c>
      <c r="J26" s="423"/>
      <c r="K26" s="423">
        <v>0.92200000000000004</v>
      </c>
      <c r="L26" s="423"/>
      <c r="M26" s="423">
        <v>0.92249999999999999</v>
      </c>
      <c r="N26" s="423"/>
      <c r="O26" s="423">
        <v>0.92200000000000004</v>
      </c>
      <c r="P26" s="423"/>
      <c r="Q26" s="423">
        <v>0.92249999999999999</v>
      </c>
      <c r="R26" s="423"/>
      <c r="S26" s="423">
        <v>0.92100000000000004</v>
      </c>
      <c r="T26" s="423"/>
      <c r="U26" s="423">
        <v>0.92100000000000004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663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664</v>
      </c>
      <c r="B28" s="384"/>
      <c r="C28" s="386" t="s">
        <v>665</v>
      </c>
      <c r="D28" s="391" t="s">
        <v>661</v>
      </c>
      <c r="E28" s="373">
        <v>0.27300000000000002</v>
      </c>
      <c r="F28" s="374"/>
      <c r="G28" s="51" t="s">
        <v>662</v>
      </c>
      <c r="H28" s="68">
        <v>2E-3</v>
      </c>
      <c r="I28" s="423">
        <v>0.27329999999999999</v>
      </c>
      <c r="J28" s="423"/>
      <c r="K28" s="423">
        <v>0.27250000000000002</v>
      </c>
      <c r="L28" s="423"/>
      <c r="M28" s="423">
        <v>0.2732</v>
      </c>
      <c r="N28" s="423"/>
      <c r="O28" s="423">
        <v>0.27300000000000002</v>
      </c>
      <c r="P28" s="423"/>
      <c r="Q28" s="423">
        <v>0.27310000000000001</v>
      </c>
      <c r="R28" s="423"/>
      <c r="S28" s="423">
        <v>0.27239999999999998</v>
      </c>
      <c r="T28" s="423"/>
      <c r="U28" s="423">
        <v>0.27250000000000002</v>
      </c>
      <c r="V28" s="423"/>
      <c r="W28" s="423">
        <v>0.27200000000000002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51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666</v>
      </c>
      <c r="B30" s="384"/>
      <c r="C30" s="386" t="s">
        <v>57</v>
      </c>
      <c r="D30" s="391"/>
      <c r="E30" s="373">
        <v>1.2999999999999999E-2</v>
      </c>
      <c r="F30" s="374"/>
      <c r="G30" s="51" t="s">
        <v>662</v>
      </c>
      <c r="H30" s="68">
        <v>2E-3</v>
      </c>
      <c r="I30" s="423">
        <v>1.2999999999999999E-2</v>
      </c>
      <c r="J30" s="423"/>
      <c r="K30" s="423">
        <v>1.35E-2</v>
      </c>
      <c r="L30" s="423"/>
      <c r="M30" s="423">
        <v>1.35E-2</v>
      </c>
      <c r="N30" s="423"/>
      <c r="O30" s="423">
        <v>1.4E-2</v>
      </c>
      <c r="P30" s="423"/>
      <c r="Q30" s="423">
        <v>1.2999999999999999E-2</v>
      </c>
      <c r="R30" s="423"/>
      <c r="S30" s="423">
        <v>1.2999999999999999E-2</v>
      </c>
      <c r="T30" s="423"/>
      <c r="U30" s="423">
        <v>1.35E-2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663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667</v>
      </c>
      <c r="B32" s="384"/>
      <c r="C32" s="386" t="s">
        <v>668</v>
      </c>
      <c r="D32" s="179" t="s">
        <v>669</v>
      </c>
      <c r="E32" s="180"/>
      <c r="F32" s="180"/>
      <c r="G32" s="180"/>
      <c r="H32" s="181"/>
      <c r="I32" s="379" t="s">
        <v>670</v>
      </c>
      <c r="J32" s="379"/>
      <c r="K32" s="379" t="s">
        <v>671</v>
      </c>
      <c r="L32" s="379"/>
      <c r="M32" s="379" t="s">
        <v>671</v>
      </c>
      <c r="N32" s="379"/>
      <c r="O32" s="379" t="s">
        <v>670</v>
      </c>
      <c r="P32" s="379"/>
      <c r="Q32" s="379" t="s">
        <v>671</v>
      </c>
      <c r="R32" s="379"/>
      <c r="S32" s="379" t="s">
        <v>670</v>
      </c>
      <c r="T32" s="379"/>
      <c r="U32" s="379" t="s">
        <v>671</v>
      </c>
      <c r="V32" s="379"/>
      <c r="W32" s="379" t="s">
        <v>670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82" t="s">
        <v>64</v>
      </c>
      <c r="E33" s="183"/>
      <c r="F33" s="183"/>
      <c r="G33" s="183"/>
      <c r="H33" s="184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82"/>
      <c r="E35" s="183"/>
      <c r="F35" s="183"/>
      <c r="G35" s="183"/>
      <c r="H35" s="184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79"/>
      <c r="E36" s="180"/>
      <c r="F36" s="180"/>
      <c r="G36" s="180"/>
      <c r="H36" s="181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82"/>
      <c r="E37" s="183"/>
      <c r="F37" s="183"/>
      <c r="G37" s="183"/>
      <c r="H37" s="184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79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82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79"/>
      <c r="E40" s="174"/>
      <c r="F40" s="175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82"/>
      <c r="E41" s="176"/>
      <c r="F41" s="176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79"/>
      <c r="E42" s="174"/>
      <c r="F42" s="175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82"/>
      <c r="E43" s="176"/>
      <c r="F43" s="176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79"/>
      <c r="E44" s="180"/>
      <c r="F44" s="180"/>
      <c r="G44" s="180"/>
      <c r="H44" s="181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82"/>
      <c r="E45" s="183"/>
      <c r="F45" s="183"/>
      <c r="G45" s="183"/>
      <c r="H45" s="184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79"/>
      <c r="E48" s="180"/>
      <c r="F48" s="180"/>
      <c r="G48" s="180"/>
      <c r="H48" s="181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82"/>
      <c r="E49" s="183"/>
      <c r="F49" s="183"/>
      <c r="G49" s="183"/>
      <c r="H49" s="184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672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673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674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675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660</v>
      </c>
      <c r="R72" s="401"/>
      <c r="S72" s="409" t="s">
        <v>676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677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678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679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9">
    <cfRule type="cellIs" dxfId="171" priority="3" operator="greaterThan">
      <formula>$AA$28</formula>
    </cfRule>
    <cfRule type="cellIs" dxfId="170" priority="4" operator="lessThan">
      <formula>$AA$29</formula>
    </cfRule>
  </conditionalFormatting>
  <conditionalFormatting sqref="I30:X31">
    <cfRule type="cellIs" dxfId="169" priority="1" operator="greaterThan">
      <formula>$AA$30</formula>
    </cfRule>
    <cfRule type="cellIs" dxfId="16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680</v>
      </c>
      <c r="B2" s="496"/>
      <c r="C2" s="465" t="s">
        <v>681</v>
      </c>
      <c r="D2" s="177" t="s">
        <v>2</v>
      </c>
      <c r="E2" s="43"/>
      <c r="F2" s="369" t="s">
        <v>682</v>
      </c>
      <c r="G2" s="369"/>
      <c r="H2" s="369"/>
      <c r="I2" s="369"/>
      <c r="J2" s="369"/>
      <c r="K2" s="370"/>
      <c r="L2" s="177" t="s">
        <v>4</v>
      </c>
      <c r="M2" s="369">
        <v>4</v>
      </c>
      <c r="N2" s="499"/>
      <c r="O2" s="177" t="s">
        <v>6</v>
      </c>
      <c r="P2" s="502" t="s">
        <v>683</v>
      </c>
      <c r="Q2" s="502"/>
      <c r="R2" s="502"/>
      <c r="S2" s="502"/>
      <c r="T2" s="502"/>
      <c r="U2" s="502"/>
      <c r="V2" s="503"/>
      <c r="W2" s="177" t="s">
        <v>34</v>
      </c>
      <c r="X2" s="32">
        <v>1</v>
      </c>
      <c r="Z2" s="34" t="s">
        <v>684</v>
      </c>
    </row>
    <row r="3" spans="1:26" ht="9.9499999999999993" customHeight="1" x14ac:dyDescent="0.25">
      <c r="A3" s="497" t="s">
        <v>1</v>
      </c>
      <c r="B3" s="498"/>
      <c r="C3" s="486"/>
      <c r="D3" s="178" t="s">
        <v>3</v>
      </c>
      <c r="E3" s="44"/>
      <c r="F3" s="371"/>
      <c r="G3" s="371"/>
      <c r="H3" s="371"/>
      <c r="I3" s="371"/>
      <c r="J3" s="371"/>
      <c r="K3" s="372"/>
      <c r="L3" s="178" t="s">
        <v>5</v>
      </c>
      <c r="M3" s="500"/>
      <c r="N3" s="501"/>
      <c r="O3" s="178" t="s">
        <v>7</v>
      </c>
      <c r="P3" s="504"/>
      <c r="Q3" s="504"/>
      <c r="R3" s="504"/>
      <c r="S3" s="504"/>
      <c r="T3" s="504"/>
      <c r="U3" s="504"/>
      <c r="V3" s="505"/>
      <c r="W3" s="178" t="s">
        <v>8</v>
      </c>
      <c r="X3" s="186">
        <v>1</v>
      </c>
      <c r="Z3" s="35"/>
    </row>
    <row r="4" spans="1:26" ht="14.25" customHeight="1" x14ac:dyDescent="0.25">
      <c r="A4" s="3" t="s">
        <v>685</v>
      </c>
      <c r="B4" s="4"/>
      <c r="C4" s="4"/>
      <c r="D4" s="48"/>
      <c r="E4" s="28" t="s">
        <v>686</v>
      </c>
      <c r="F4" s="5" t="s">
        <v>687</v>
      </c>
      <c r="G4" s="5"/>
      <c r="H4" s="5"/>
      <c r="I4" s="4"/>
      <c r="J4" s="4"/>
      <c r="K4" s="28" t="s">
        <v>114</v>
      </c>
      <c r="L4" s="5" t="s">
        <v>688</v>
      </c>
      <c r="M4" s="4"/>
      <c r="N4" s="4"/>
      <c r="O4" s="177" t="s">
        <v>9</v>
      </c>
      <c r="P4" s="6"/>
      <c r="Q4" s="442" t="s">
        <v>689</v>
      </c>
      <c r="R4" s="443"/>
      <c r="S4" s="443"/>
      <c r="T4" s="444"/>
      <c r="U4" s="177" t="s">
        <v>11</v>
      </c>
      <c r="V4" s="7"/>
      <c r="W4" s="369" t="s">
        <v>71</v>
      </c>
      <c r="X4" s="499"/>
      <c r="Z4" s="34" t="s">
        <v>690</v>
      </c>
    </row>
    <row r="5" spans="1:26" ht="9.9499999999999993" customHeight="1" x14ac:dyDescent="0.2">
      <c r="A5" s="26" t="s">
        <v>647</v>
      </c>
      <c r="B5" s="8"/>
      <c r="C5" s="8"/>
      <c r="D5" s="8"/>
      <c r="E5" s="8"/>
      <c r="F5" s="27" t="s">
        <v>691</v>
      </c>
      <c r="G5" s="27"/>
      <c r="H5" s="27"/>
      <c r="I5" s="8"/>
      <c r="J5" s="8"/>
      <c r="K5" s="8"/>
      <c r="L5" s="27" t="s">
        <v>692</v>
      </c>
      <c r="M5" s="8"/>
      <c r="N5" s="9"/>
      <c r="O5" s="26" t="s">
        <v>10</v>
      </c>
      <c r="P5" s="10"/>
      <c r="Q5" s="445"/>
      <c r="R5" s="445"/>
      <c r="S5" s="445"/>
      <c r="T5" s="446"/>
      <c r="U5" s="178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693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682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694</v>
      </c>
      <c r="B22" s="487"/>
      <c r="C22" s="488"/>
      <c r="D22" s="466" t="s">
        <v>695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696</v>
      </c>
      <c r="X22" s="492"/>
      <c r="Z22" s="65" t="s">
        <v>697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698</v>
      </c>
      <c r="X23" s="494"/>
      <c r="Z23" s="66" t="s">
        <v>699</v>
      </c>
    </row>
    <row r="24" spans="1:28" ht="14.25" customHeight="1" x14ac:dyDescent="0.25">
      <c r="A24" s="447" t="s">
        <v>700</v>
      </c>
      <c r="B24" s="473"/>
      <c r="C24" s="33" t="s">
        <v>16</v>
      </c>
      <c r="D24" s="476" t="s">
        <v>701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85" t="s">
        <v>702</v>
      </c>
      <c r="D25" s="479" t="s">
        <v>703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704</v>
      </c>
    </row>
    <row r="26" spans="1:28" s="19" customFormat="1" ht="9.9499999999999993" customHeight="1" x14ac:dyDescent="0.25">
      <c r="A26" s="384" t="s">
        <v>705</v>
      </c>
      <c r="B26" s="384"/>
      <c r="C26" s="386" t="s">
        <v>706</v>
      </c>
      <c r="D26" s="391" t="s">
        <v>704</v>
      </c>
      <c r="E26" s="373">
        <v>0.92100000000000004</v>
      </c>
      <c r="F26" s="374"/>
      <c r="G26" s="51" t="s">
        <v>697</v>
      </c>
      <c r="H26" s="68">
        <v>3.0000000000000001E-3</v>
      </c>
      <c r="I26" s="423">
        <v>0.92149999999999999</v>
      </c>
      <c r="J26" s="423"/>
      <c r="K26" s="423">
        <v>0.92200000000000004</v>
      </c>
      <c r="L26" s="423"/>
      <c r="M26" s="423">
        <v>0.92200000000000004</v>
      </c>
      <c r="N26" s="423"/>
      <c r="O26" s="423">
        <v>0.92249999999999999</v>
      </c>
      <c r="P26" s="423"/>
      <c r="Q26" s="423">
        <v>0.92200000000000004</v>
      </c>
      <c r="R26" s="423"/>
      <c r="S26" s="423">
        <v>0.92200000000000004</v>
      </c>
      <c r="T26" s="423"/>
      <c r="U26" s="423">
        <v>0.92200000000000004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699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707</v>
      </c>
      <c r="B28" s="384"/>
      <c r="C28" s="386" t="s">
        <v>708</v>
      </c>
      <c r="D28" s="391" t="s">
        <v>704</v>
      </c>
      <c r="E28" s="373">
        <v>0.27300000000000002</v>
      </c>
      <c r="F28" s="374"/>
      <c r="G28" s="51" t="s">
        <v>697</v>
      </c>
      <c r="H28" s="68">
        <v>2E-3</v>
      </c>
      <c r="I28" s="423">
        <v>0.27329999999999999</v>
      </c>
      <c r="J28" s="423"/>
      <c r="K28" s="423">
        <v>0.27250000000000002</v>
      </c>
      <c r="L28" s="423"/>
      <c r="M28" s="423">
        <v>0.2732</v>
      </c>
      <c r="N28" s="423"/>
      <c r="O28" s="423">
        <v>0.27300000000000002</v>
      </c>
      <c r="P28" s="423"/>
      <c r="Q28" s="423">
        <v>0.27310000000000001</v>
      </c>
      <c r="R28" s="423"/>
      <c r="S28" s="423">
        <v>0.27239999999999998</v>
      </c>
      <c r="T28" s="423"/>
      <c r="U28" s="423">
        <v>0.27250000000000002</v>
      </c>
      <c r="V28" s="423"/>
      <c r="W28" s="423">
        <v>0.27200000000000002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654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709</v>
      </c>
      <c r="B30" s="384"/>
      <c r="C30" s="386" t="s">
        <v>706</v>
      </c>
      <c r="D30" s="391"/>
      <c r="E30" s="373">
        <v>1.2999999999999999E-2</v>
      </c>
      <c r="F30" s="374"/>
      <c r="G30" s="51" t="s">
        <v>697</v>
      </c>
      <c r="H30" s="68">
        <v>2E-3</v>
      </c>
      <c r="I30" s="423">
        <v>1.35E-2</v>
      </c>
      <c r="J30" s="423"/>
      <c r="K30" s="423">
        <v>1.4E-2</v>
      </c>
      <c r="L30" s="423"/>
      <c r="M30" s="423">
        <v>1.35E-2</v>
      </c>
      <c r="N30" s="423"/>
      <c r="O30" s="423">
        <v>1.4E-2</v>
      </c>
      <c r="P30" s="423"/>
      <c r="Q30" s="423">
        <v>1.35E-2</v>
      </c>
      <c r="R30" s="423"/>
      <c r="S30" s="423">
        <v>1.35E-2</v>
      </c>
      <c r="T30" s="423"/>
      <c r="U30" s="423">
        <v>1.35E-2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654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710</v>
      </c>
      <c r="B32" s="384"/>
      <c r="C32" s="386" t="s">
        <v>711</v>
      </c>
      <c r="D32" s="179" t="s">
        <v>712</v>
      </c>
      <c r="E32" s="180"/>
      <c r="F32" s="180"/>
      <c r="G32" s="180"/>
      <c r="H32" s="181"/>
      <c r="I32" s="379" t="s">
        <v>713</v>
      </c>
      <c r="J32" s="379"/>
      <c r="K32" s="379" t="s">
        <v>73</v>
      </c>
      <c r="L32" s="379"/>
      <c r="M32" s="379" t="s">
        <v>713</v>
      </c>
      <c r="N32" s="379"/>
      <c r="O32" s="379" t="s">
        <v>671</v>
      </c>
      <c r="P32" s="379"/>
      <c r="Q32" s="379" t="s">
        <v>671</v>
      </c>
      <c r="R32" s="379"/>
      <c r="S32" s="379" t="s">
        <v>671</v>
      </c>
      <c r="T32" s="379"/>
      <c r="U32" s="379" t="s">
        <v>713</v>
      </c>
      <c r="V32" s="379"/>
      <c r="W32" s="379" t="s">
        <v>671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82" t="s">
        <v>714</v>
      </c>
      <c r="E33" s="183"/>
      <c r="F33" s="183"/>
      <c r="G33" s="183"/>
      <c r="H33" s="184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82"/>
      <c r="E35" s="183"/>
      <c r="F35" s="183"/>
      <c r="G35" s="183"/>
      <c r="H35" s="184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79"/>
      <c r="E36" s="180"/>
      <c r="F36" s="180"/>
      <c r="G36" s="180"/>
      <c r="H36" s="181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82"/>
      <c r="E37" s="183"/>
      <c r="F37" s="183"/>
      <c r="G37" s="183"/>
      <c r="H37" s="184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79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82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79"/>
      <c r="E40" s="174"/>
      <c r="F40" s="175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82"/>
      <c r="E41" s="176"/>
      <c r="F41" s="176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79"/>
      <c r="E42" s="174"/>
      <c r="F42" s="175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82"/>
      <c r="E43" s="176"/>
      <c r="F43" s="176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79"/>
      <c r="E44" s="180"/>
      <c r="F44" s="180"/>
      <c r="G44" s="180"/>
      <c r="H44" s="181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82"/>
      <c r="E45" s="183"/>
      <c r="F45" s="183"/>
      <c r="G45" s="183"/>
      <c r="H45" s="184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79"/>
      <c r="E48" s="180"/>
      <c r="F48" s="180"/>
      <c r="G48" s="180"/>
      <c r="H48" s="181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82"/>
      <c r="E49" s="183"/>
      <c r="F49" s="183"/>
      <c r="G49" s="183"/>
      <c r="H49" s="184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715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716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717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718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706</v>
      </c>
      <c r="R72" s="401"/>
      <c r="S72" s="409" t="s">
        <v>719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720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721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679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67" priority="5" operator="greaterThan">
      <formula>$AA$26</formula>
    </cfRule>
    <cfRule type="cellIs" dxfId="166" priority="6" operator="lessThan">
      <formula>$AA$27</formula>
    </cfRule>
  </conditionalFormatting>
  <conditionalFormatting sqref="I28:X29">
    <cfRule type="cellIs" dxfId="165" priority="3" operator="greaterThan">
      <formula>$AA$28</formula>
    </cfRule>
    <cfRule type="cellIs" dxfId="164" priority="4" operator="lessThan">
      <formula>$AA$29</formula>
    </cfRule>
  </conditionalFormatting>
  <conditionalFormatting sqref="I30:X31">
    <cfRule type="cellIs" dxfId="163" priority="1" operator="greaterThan">
      <formula>$AA$30</formula>
    </cfRule>
    <cfRule type="cellIs" dxfId="16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722</v>
      </c>
      <c r="B2" s="496"/>
      <c r="C2" s="465" t="s">
        <v>723</v>
      </c>
      <c r="D2" s="198" t="s">
        <v>2</v>
      </c>
      <c r="E2" s="43"/>
      <c r="F2" s="369" t="s">
        <v>724</v>
      </c>
      <c r="G2" s="369"/>
      <c r="H2" s="369"/>
      <c r="I2" s="369"/>
      <c r="J2" s="369"/>
      <c r="K2" s="370"/>
      <c r="L2" s="198" t="s">
        <v>4</v>
      </c>
      <c r="M2" s="369">
        <v>4</v>
      </c>
      <c r="N2" s="499"/>
      <c r="O2" s="198" t="s">
        <v>6</v>
      </c>
      <c r="P2" s="502" t="s">
        <v>726</v>
      </c>
      <c r="Q2" s="502"/>
      <c r="R2" s="502"/>
      <c r="S2" s="502"/>
      <c r="T2" s="502"/>
      <c r="U2" s="502"/>
      <c r="V2" s="503"/>
      <c r="W2" s="198" t="s">
        <v>34</v>
      </c>
      <c r="X2" s="32">
        <v>1</v>
      </c>
      <c r="Z2" s="34" t="s">
        <v>728</v>
      </c>
    </row>
    <row r="3" spans="1:26" ht="9.9499999999999993" customHeight="1" x14ac:dyDescent="0.25">
      <c r="A3" s="497" t="s">
        <v>1</v>
      </c>
      <c r="B3" s="498"/>
      <c r="C3" s="486"/>
      <c r="D3" s="199" t="s">
        <v>3</v>
      </c>
      <c r="E3" s="44"/>
      <c r="F3" s="371"/>
      <c r="G3" s="371"/>
      <c r="H3" s="371"/>
      <c r="I3" s="371"/>
      <c r="J3" s="371"/>
      <c r="K3" s="372"/>
      <c r="L3" s="199" t="s">
        <v>5</v>
      </c>
      <c r="M3" s="500"/>
      <c r="N3" s="501"/>
      <c r="O3" s="199" t="s">
        <v>7</v>
      </c>
      <c r="P3" s="504"/>
      <c r="Q3" s="504"/>
      <c r="R3" s="504"/>
      <c r="S3" s="504"/>
      <c r="T3" s="504"/>
      <c r="U3" s="504"/>
      <c r="V3" s="505"/>
      <c r="W3" s="199" t="s">
        <v>8</v>
      </c>
      <c r="X3" s="187">
        <v>1</v>
      </c>
      <c r="Z3" s="35"/>
    </row>
    <row r="4" spans="1:26" ht="14.25" customHeight="1" x14ac:dyDescent="0.25">
      <c r="A4" s="3" t="s">
        <v>729</v>
      </c>
      <c r="B4" s="4"/>
      <c r="C4" s="4"/>
      <c r="D4" s="48"/>
      <c r="E4" s="28" t="s">
        <v>730</v>
      </c>
      <c r="F4" s="5" t="s">
        <v>731</v>
      </c>
      <c r="G4" s="5"/>
      <c r="H4" s="5"/>
      <c r="I4" s="4"/>
      <c r="J4" s="4"/>
      <c r="K4" s="28" t="s">
        <v>733</v>
      </c>
      <c r="L4" s="5" t="s">
        <v>735</v>
      </c>
      <c r="M4" s="4"/>
      <c r="N4" s="4"/>
      <c r="O4" s="198" t="s">
        <v>9</v>
      </c>
      <c r="P4" s="6"/>
      <c r="Q4" s="442" t="s">
        <v>736</v>
      </c>
      <c r="R4" s="443"/>
      <c r="S4" s="443"/>
      <c r="T4" s="444"/>
      <c r="U4" s="198" t="s">
        <v>11</v>
      </c>
      <c r="V4" s="7"/>
      <c r="W4" s="369" t="s">
        <v>71</v>
      </c>
      <c r="X4" s="499"/>
      <c r="Z4" s="34" t="s">
        <v>738</v>
      </c>
    </row>
    <row r="5" spans="1:26" ht="9.9499999999999993" customHeight="1" x14ac:dyDescent="0.2">
      <c r="A5" s="26" t="s">
        <v>739</v>
      </c>
      <c r="B5" s="8"/>
      <c r="C5" s="8"/>
      <c r="D5" s="8"/>
      <c r="E5" s="8"/>
      <c r="F5" s="27" t="s">
        <v>740</v>
      </c>
      <c r="G5" s="27"/>
      <c r="H5" s="27"/>
      <c r="I5" s="8"/>
      <c r="J5" s="8"/>
      <c r="K5" s="8"/>
      <c r="L5" s="27" t="s">
        <v>742</v>
      </c>
      <c r="M5" s="8"/>
      <c r="N5" s="9"/>
      <c r="O5" s="26" t="s">
        <v>10</v>
      </c>
      <c r="P5" s="10"/>
      <c r="Q5" s="445"/>
      <c r="R5" s="445"/>
      <c r="S5" s="445"/>
      <c r="T5" s="446"/>
      <c r="U5" s="199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743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724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744</v>
      </c>
      <c r="B22" s="487"/>
      <c r="C22" s="488"/>
      <c r="D22" s="466" t="s">
        <v>746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747</v>
      </c>
      <c r="X22" s="492"/>
      <c r="Z22" s="65" t="s">
        <v>748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749</v>
      </c>
      <c r="X23" s="494"/>
      <c r="Z23" s="66" t="s">
        <v>750</v>
      </c>
    </row>
    <row r="24" spans="1:28" ht="14.25" customHeight="1" x14ac:dyDescent="0.25">
      <c r="A24" s="447" t="s">
        <v>751</v>
      </c>
      <c r="B24" s="473"/>
      <c r="C24" s="33" t="s">
        <v>16</v>
      </c>
      <c r="D24" s="476" t="s">
        <v>752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97" t="s">
        <v>753</v>
      </c>
      <c r="D25" s="479" t="s">
        <v>754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755</v>
      </c>
    </row>
    <row r="26" spans="1:28" s="19" customFormat="1" ht="9.9499999999999993" customHeight="1" x14ac:dyDescent="0.25">
      <c r="A26" s="384" t="s">
        <v>756</v>
      </c>
      <c r="B26" s="384"/>
      <c r="C26" s="386" t="s">
        <v>758</v>
      </c>
      <c r="D26" s="391" t="s">
        <v>759</v>
      </c>
      <c r="E26" s="373">
        <v>0.92100000000000004</v>
      </c>
      <c r="F26" s="374"/>
      <c r="G26" s="51" t="s">
        <v>760</v>
      </c>
      <c r="H26" s="68">
        <v>3.0000000000000001E-3</v>
      </c>
      <c r="I26" s="423">
        <v>0.92200000000000004</v>
      </c>
      <c r="J26" s="423"/>
      <c r="K26" s="423">
        <v>0.92249999999999999</v>
      </c>
      <c r="L26" s="423"/>
      <c r="M26" s="423">
        <v>0.92200000000000004</v>
      </c>
      <c r="N26" s="423"/>
      <c r="O26" s="423">
        <v>0.92200000000000004</v>
      </c>
      <c r="P26" s="423"/>
      <c r="Q26" s="423">
        <v>0.92249999999999999</v>
      </c>
      <c r="R26" s="423"/>
      <c r="S26" s="423">
        <v>0.92100000000000004</v>
      </c>
      <c r="T26" s="423"/>
      <c r="U26" s="423">
        <v>0.92100000000000004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761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762</v>
      </c>
      <c r="B28" s="384"/>
      <c r="C28" s="386" t="s">
        <v>763</v>
      </c>
      <c r="D28" s="391" t="s">
        <v>764</v>
      </c>
      <c r="E28" s="373">
        <v>0.27300000000000002</v>
      </c>
      <c r="F28" s="374"/>
      <c r="G28" s="51" t="s">
        <v>765</v>
      </c>
      <c r="H28" s="68">
        <v>2E-3</v>
      </c>
      <c r="I28" s="423">
        <v>0.27200000000000002</v>
      </c>
      <c r="J28" s="423"/>
      <c r="K28" s="423">
        <v>0.27250000000000002</v>
      </c>
      <c r="L28" s="423"/>
      <c r="M28" s="423">
        <v>0.27250000000000002</v>
      </c>
      <c r="N28" s="423"/>
      <c r="O28" s="423">
        <v>0.27279999999999999</v>
      </c>
      <c r="P28" s="423"/>
      <c r="Q28" s="423">
        <v>0.27260000000000001</v>
      </c>
      <c r="R28" s="423"/>
      <c r="S28" s="423">
        <v>0.27229999999999999</v>
      </c>
      <c r="T28" s="423"/>
      <c r="U28" s="423">
        <v>0.27260000000000001</v>
      </c>
      <c r="V28" s="423"/>
      <c r="W28" s="423">
        <v>0.27250000000000002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750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766</v>
      </c>
      <c r="B30" s="384"/>
      <c r="C30" s="386" t="s">
        <v>767</v>
      </c>
      <c r="D30" s="391"/>
      <c r="E30" s="373">
        <v>1.2999999999999999E-2</v>
      </c>
      <c r="F30" s="374"/>
      <c r="G30" s="51" t="s">
        <v>768</v>
      </c>
      <c r="H30" s="68">
        <v>2E-3</v>
      </c>
      <c r="I30" s="423">
        <v>1.2500000000000001E-2</v>
      </c>
      <c r="J30" s="423"/>
      <c r="K30" s="423">
        <v>1.2999999999999999E-2</v>
      </c>
      <c r="L30" s="423"/>
      <c r="M30" s="423">
        <v>1.35E-2</v>
      </c>
      <c r="N30" s="423"/>
      <c r="O30" s="423">
        <v>1.2999999999999999E-2</v>
      </c>
      <c r="P30" s="423"/>
      <c r="Q30" s="423">
        <v>1.2999999999999999E-2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769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770</v>
      </c>
      <c r="B32" s="384"/>
      <c r="C32" s="386" t="s">
        <v>771</v>
      </c>
      <c r="D32" s="191" t="s">
        <v>772</v>
      </c>
      <c r="E32" s="192"/>
      <c r="F32" s="192"/>
      <c r="G32" s="192"/>
      <c r="H32" s="193"/>
      <c r="I32" s="379" t="s">
        <v>774</v>
      </c>
      <c r="J32" s="379"/>
      <c r="K32" s="379" t="s">
        <v>773</v>
      </c>
      <c r="L32" s="379"/>
      <c r="M32" s="379" t="s">
        <v>773</v>
      </c>
      <c r="N32" s="379"/>
      <c r="O32" s="379" t="s">
        <v>774</v>
      </c>
      <c r="P32" s="379"/>
      <c r="Q32" s="379" t="s">
        <v>775</v>
      </c>
      <c r="R32" s="379"/>
      <c r="S32" s="379" t="s">
        <v>774</v>
      </c>
      <c r="T32" s="379"/>
      <c r="U32" s="379" t="s">
        <v>774</v>
      </c>
      <c r="V32" s="379"/>
      <c r="W32" s="379" t="s">
        <v>774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94" t="s">
        <v>776</v>
      </c>
      <c r="E33" s="195"/>
      <c r="F33" s="195"/>
      <c r="G33" s="195"/>
      <c r="H33" s="196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94"/>
      <c r="E35" s="195"/>
      <c r="F35" s="195"/>
      <c r="G35" s="195"/>
      <c r="H35" s="196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91"/>
      <c r="E36" s="192"/>
      <c r="F36" s="192"/>
      <c r="G36" s="192"/>
      <c r="H36" s="193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94"/>
      <c r="E37" s="195"/>
      <c r="F37" s="195"/>
      <c r="G37" s="195"/>
      <c r="H37" s="196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91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94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91"/>
      <c r="E40" s="188"/>
      <c r="F40" s="189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94"/>
      <c r="E41" s="190"/>
      <c r="F41" s="190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91"/>
      <c r="E42" s="188"/>
      <c r="F42" s="189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94"/>
      <c r="E43" s="190"/>
      <c r="F43" s="190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91"/>
      <c r="E44" s="192"/>
      <c r="F44" s="192"/>
      <c r="G44" s="192"/>
      <c r="H44" s="193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94"/>
      <c r="E45" s="195"/>
      <c r="F45" s="195"/>
      <c r="G45" s="195"/>
      <c r="H45" s="196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91"/>
      <c r="E48" s="192"/>
      <c r="F48" s="192"/>
      <c r="G48" s="192"/>
      <c r="H48" s="193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94"/>
      <c r="E49" s="195"/>
      <c r="F49" s="195"/>
      <c r="G49" s="195"/>
      <c r="H49" s="196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777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778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779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780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781</v>
      </c>
      <c r="R72" s="401"/>
      <c r="S72" s="409" t="s">
        <v>782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783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784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785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61" priority="5" operator="greaterThan">
      <formula>$AA$26</formula>
    </cfRule>
    <cfRule type="cellIs" dxfId="160" priority="6" operator="lessThan">
      <formula>$AA$27</formula>
    </cfRule>
  </conditionalFormatting>
  <conditionalFormatting sqref="I28:X29">
    <cfRule type="cellIs" dxfId="159" priority="3" operator="greaterThan">
      <formula>$AA$28</formula>
    </cfRule>
    <cfRule type="cellIs" dxfId="158" priority="4" operator="lessThan">
      <formula>$AA$29</formula>
    </cfRule>
  </conditionalFormatting>
  <conditionalFormatting sqref="I30:X31">
    <cfRule type="cellIs" dxfId="157" priority="1" operator="greaterThan">
      <formula>$AA$30</formula>
    </cfRule>
    <cfRule type="cellIs" dxfId="15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786</v>
      </c>
      <c r="B2" s="496"/>
      <c r="C2" s="465" t="s">
        <v>787</v>
      </c>
      <c r="D2" s="198" t="s">
        <v>2</v>
      </c>
      <c r="E2" s="43"/>
      <c r="F2" s="369" t="s">
        <v>788</v>
      </c>
      <c r="G2" s="369"/>
      <c r="H2" s="369"/>
      <c r="I2" s="369"/>
      <c r="J2" s="369"/>
      <c r="K2" s="370"/>
      <c r="L2" s="198" t="s">
        <v>4</v>
      </c>
      <c r="M2" s="369">
        <v>4</v>
      </c>
      <c r="N2" s="499"/>
      <c r="O2" s="198" t="s">
        <v>6</v>
      </c>
      <c r="P2" s="502" t="s">
        <v>725</v>
      </c>
      <c r="Q2" s="502"/>
      <c r="R2" s="502"/>
      <c r="S2" s="502"/>
      <c r="T2" s="502"/>
      <c r="U2" s="502"/>
      <c r="V2" s="503"/>
      <c r="W2" s="198" t="s">
        <v>34</v>
      </c>
      <c r="X2" s="32">
        <v>1</v>
      </c>
      <c r="Z2" s="34" t="s">
        <v>727</v>
      </c>
    </row>
    <row r="3" spans="1:26" ht="9.9499999999999993" customHeight="1" x14ac:dyDescent="0.25">
      <c r="A3" s="497" t="s">
        <v>1</v>
      </c>
      <c r="B3" s="498"/>
      <c r="C3" s="486"/>
      <c r="D3" s="199" t="s">
        <v>3</v>
      </c>
      <c r="E3" s="44"/>
      <c r="F3" s="371"/>
      <c r="G3" s="371"/>
      <c r="H3" s="371"/>
      <c r="I3" s="371"/>
      <c r="J3" s="371"/>
      <c r="K3" s="372"/>
      <c r="L3" s="199" t="s">
        <v>5</v>
      </c>
      <c r="M3" s="500"/>
      <c r="N3" s="501"/>
      <c r="O3" s="199" t="s">
        <v>7</v>
      </c>
      <c r="P3" s="504"/>
      <c r="Q3" s="504"/>
      <c r="R3" s="504"/>
      <c r="S3" s="504"/>
      <c r="T3" s="504"/>
      <c r="U3" s="504"/>
      <c r="V3" s="505"/>
      <c r="W3" s="199" t="s">
        <v>8</v>
      </c>
      <c r="X3" s="187">
        <v>1</v>
      </c>
      <c r="Z3" s="35"/>
    </row>
    <row r="4" spans="1:26" ht="14.25" customHeight="1" x14ac:dyDescent="0.25">
      <c r="A4" s="3" t="s">
        <v>789</v>
      </c>
      <c r="B4" s="4"/>
      <c r="C4" s="4"/>
      <c r="D4" s="48"/>
      <c r="E4" s="28" t="s">
        <v>790</v>
      </c>
      <c r="F4" s="5" t="s">
        <v>791</v>
      </c>
      <c r="G4" s="5"/>
      <c r="H4" s="5"/>
      <c r="I4" s="4"/>
      <c r="J4" s="4"/>
      <c r="K4" s="28" t="s">
        <v>732</v>
      </c>
      <c r="L4" s="5" t="s">
        <v>734</v>
      </c>
      <c r="M4" s="4"/>
      <c r="N4" s="4"/>
      <c r="O4" s="198" t="s">
        <v>9</v>
      </c>
      <c r="P4" s="6"/>
      <c r="Q4" s="442" t="s">
        <v>792</v>
      </c>
      <c r="R4" s="443"/>
      <c r="S4" s="443"/>
      <c r="T4" s="444"/>
      <c r="U4" s="198" t="s">
        <v>11</v>
      </c>
      <c r="V4" s="7"/>
      <c r="W4" s="369" t="s">
        <v>71</v>
      </c>
      <c r="X4" s="499"/>
      <c r="Z4" s="34" t="s">
        <v>737</v>
      </c>
    </row>
    <row r="5" spans="1:26" ht="9.9499999999999993" customHeight="1" x14ac:dyDescent="0.2">
      <c r="A5" s="26" t="s">
        <v>793</v>
      </c>
      <c r="B5" s="8"/>
      <c r="C5" s="8"/>
      <c r="D5" s="8"/>
      <c r="E5" s="8"/>
      <c r="F5" s="27" t="s">
        <v>794</v>
      </c>
      <c r="G5" s="27"/>
      <c r="H5" s="27"/>
      <c r="I5" s="8"/>
      <c r="J5" s="8"/>
      <c r="K5" s="8"/>
      <c r="L5" s="27" t="s">
        <v>741</v>
      </c>
      <c r="M5" s="8"/>
      <c r="N5" s="9"/>
      <c r="O5" s="26" t="s">
        <v>10</v>
      </c>
      <c r="P5" s="10"/>
      <c r="Q5" s="445"/>
      <c r="R5" s="445"/>
      <c r="S5" s="445"/>
      <c r="T5" s="446"/>
      <c r="U5" s="199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795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796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744</v>
      </c>
      <c r="B22" s="487"/>
      <c r="C22" s="488"/>
      <c r="D22" s="466" t="s">
        <v>745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747</v>
      </c>
      <c r="X22" s="492"/>
      <c r="Z22" s="65" t="s">
        <v>797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798</v>
      </c>
      <c r="X23" s="494"/>
      <c r="Z23" s="66" t="s">
        <v>761</v>
      </c>
    </row>
    <row r="24" spans="1:28" ht="14.25" customHeight="1" x14ac:dyDescent="0.25">
      <c r="A24" s="447" t="s">
        <v>799</v>
      </c>
      <c r="B24" s="473"/>
      <c r="C24" s="33" t="s">
        <v>16</v>
      </c>
      <c r="D24" s="476" t="s">
        <v>752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197" t="s">
        <v>800</v>
      </c>
      <c r="D25" s="479" t="s">
        <v>801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764</v>
      </c>
    </row>
    <row r="26" spans="1:28" s="19" customFormat="1" ht="9.9499999999999993" customHeight="1" x14ac:dyDescent="0.25">
      <c r="A26" s="384" t="s">
        <v>802</v>
      </c>
      <c r="B26" s="384"/>
      <c r="C26" s="386" t="s">
        <v>757</v>
      </c>
      <c r="D26" s="391" t="s">
        <v>759</v>
      </c>
      <c r="E26" s="373">
        <v>0.92100000000000004</v>
      </c>
      <c r="F26" s="374"/>
      <c r="G26" s="51" t="s">
        <v>748</v>
      </c>
      <c r="H26" s="68">
        <v>3.0000000000000001E-3</v>
      </c>
      <c r="I26" s="423">
        <v>0.92149999999999999</v>
      </c>
      <c r="J26" s="423"/>
      <c r="K26" s="423">
        <v>0.92200000000000004</v>
      </c>
      <c r="L26" s="423"/>
      <c r="M26" s="423">
        <v>0.92200000000000004</v>
      </c>
      <c r="N26" s="423"/>
      <c r="O26" s="423">
        <v>0.92200000000000004</v>
      </c>
      <c r="P26" s="423"/>
      <c r="Q26" s="423">
        <v>0.92100000000000004</v>
      </c>
      <c r="R26" s="423"/>
      <c r="S26" s="423">
        <v>0.92200000000000004</v>
      </c>
      <c r="T26" s="423"/>
      <c r="U26" s="423">
        <v>0.92100000000000004</v>
      </c>
      <c r="V26" s="423"/>
      <c r="W26" s="423">
        <v>0.92149999999999999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803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804</v>
      </c>
      <c r="B28" s="384"/>
      <c r="C28" s="386" t="s">
        <v>805</v>
      </c>
      <c r="D28" s="391" t="s">
        <v>759</v>
      </c>
      <c r="E28" s="373">
        <v>0.27300000000000002</v>
      </c>
      <c r="F28" s="374"/>
      <c r="G28" s="51" t="s">
        <v>797</v>
      </c>
      <c r="H28" s="68">
        <v>2E-3</v>
      </c>
      <c r="I28" s="423">
        <v>0.27329999999999999</v>
      </c>
      <c r="J28" s="423"/>
      <c r="K28" s="423">
        <v>0.27260000000000001</v>
      </c>
      <c r="L28" s="423"/>
      <c r="M28" s="423">
        <v>0.27279999999999999</v>
      </c>
      <c r="N28" s="423"/>
      <c r="O28" s="423">
        <v>0.27200000000000002</v>
      </c>
      <c r="P28" s="423"/>
      <c r="Q28" s="423">
        <v>0.27229999999999999</v>
      </c>
      <c r="R28" s="423"/>
      <c r="S28" s="423">
        <v>0.27250000000000002</v>
      </c>
      <c r="T28" s="423"/>
      <c r="U28" s="423">
        <v>0.27260000000000001</v>
      </c>
      <c r="V28" s="423"/>
      <c r="W28" s="423">
        <v>0.27250000000000002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806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807</v>
      </c>
      <c r="B30" s="384"/>
      <c r="C30" s="386" t="s">
        <v>767</v>
      </c>
      <c r="D30" s="391"/>
      <c r="E30" s="373">
        <v>1.2999999999999999E-2</v>
      </c>
      <c r="F30" s="374"/>
      <c r="G30" s="51" t="s">
        <v>765</v>
      </c>
      <c r="H30" s="68">
        <v>2E-3</v>
      </c>
      <c r="I30" s="423">
        <v>1.2999999999999999E-2</v>
      </c>
      <c r="J30" s="423"/>
      <c r="K30" s="423">
        <v>1.2500000000000001E-2</v>
      </c>
      <c r="L30" s="423"/>
      <c r="M30" s="423">
        <v>1.2999999999999999E-2</v>
      </c>
      <c r="N30" s="423"/>
      <c r="O30" s="423">
        <v>1.2500000000000001E-2</v>
      </c>
      <c r="P30" s="423"/>
      <c r="Q30" s="423">
        <v>1.2999999999999999E-2</v>
      </c>
      <c r="R30" s="423"/>
      <c r="S30" s="423">
        <v>1.2500000000000001E-2</v>
      </c>
      <c r="T30" s="423"/>
      <c r="U30" s="423">
        <v>1.2999999999999999E-2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808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809</v>
      </c>
      <c r="B32" s="384"/>
      <c r="C32" s="386" t="s">
        <v>810</v>
      </c>
      <c r="D32" s="191" t="s">
        <v>811</v>
      </c>
      <c r="E32" s="192"/>
      <c r="F32" s="192"/>
      <c r="G32" s="192"/>
      <c r="H32" s="193"/>
      <c r="I32" s="379" t="s">
        <v>774</v>
      </c>
      <c r="J32" s="379"/>
      <c r="K32" s="379" t="s">
        <v>774</v>
      </c>
      <c r="L32" s="379"/>
      <c r="M32" s="379" t="s">
        <v>774</v>
      </c>
      <c r="N32" s="379"/>
      <c r="O32" s="379" t="s">
        <v>773</v>
      </c>
      <c r="P32" s="379"/>
      <c r="Q32" s="379" t="s">
        <v>773</v>
      </c>
      <c r="R32" s="379"/>
      <c r="S32" s="379" t="s">
        <v>774</v>
      </c>
      <c r="T32" s="379"/>
      <c r="U32" s="379" t="s">
        <v>774</v>
      </c>
      <c r="V32" s="379"/>
      <c r="W32" s="379" t="s">
        <v>773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194" t="s">
        <v>812</v>
      </c>
      <c r="E33" s="195"/>
      <c r="F33" s="195"/>
      <c r="G33" s="195"/>
      <c r="H33" s="196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194"/>
      <c r="E35" s="195"/>
      <c r="F35" s="195"/>
      <c r="G35" s="195"/>
      <c r="H35" s="196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191"/>
      <c r="E36" s="192"/>
      <c r="F36" s="192"/>
      <c r="G36" s="192"/>
      <c r="H36" s="193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194"/>
      <c r="E37" s="195"/>
      <c r="F37" s="195"/>
      <c r="G37" s="195"/>
      <c r="H37" s="196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191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194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191"/>
      <c r="E40" s="188"/>
      <c r="F40" s="189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194"/>
      <c r="E41" s="190"/>
      <c r="F41" s="190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191"/>
      <c r="E42" s="188"/>
      <c r="F42" s="189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194"/>
      <c r="E43" s="190"/>
      <c r="F43" s="190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191"/>
      <c r="E44" s="192"/>
      <c r="F44" s="192"/>
      <c r="G44" s="192"/>
      <c r="H44" s="193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194"/>
      <c r="E45" s="195"/>
      <c r="F45" s="195"/>
      <c r="G45" s="195"/>
      <c r="H45" s="196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191"/>
      <c r="E48" s="192"/>
      <c r="F48" s="192"/>
      <c r="G48" s="192"/>
      <c r="H48" s="193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194"/>
      <c r="E49" s="195"/>
      <c r="F49" s="195"/>
      <c r="G49" s="195"/>
      <c r="H49" s="196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777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778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779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780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781</v>
      </c>
      <c r="R72" s="401"/>
      <c r="S72" s="409" t="s">
        <v>782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783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784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785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55" priority="5" operator="greaterThan">
      <formula>$AA$26</formula>
    </cfRule>
    <cfRule type="cellIs" dxfId="154" priority="6" operator="lessThan">
      <formula>$AA$27</formula>
    </cfRule>
  </conditionalFormatting>
  <conditionalFormatting sqref="I28:X29">
    <cfRule type="cellIs" dxfId="153" priority="3" operator="greaterThan">
      <formula>$AA$28</formula>
    </cfRule>
    <cfRule type="cellIs" dxfId="152" priority="4" operator="lessThan">
      <formula>$AA$29</formula>
    </cfRule>
  </conditionalFormatting>
  <conditionalFormatting sqref="I30:X31">
    <cfRule type="cellIs" dxfId="151" priority="1" operator="greaterThan">
      <formula>$AA$30</formula>
    </cfRule>
    <cfRule type="cellIs" dxfId="15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813</v>
      </c>
      <c r="B2" s="496"/>
      <c r="C2" s="465" t="s">
        <v>814</v>
      </c>
      <c r="D2" s="203" t="s">
        <v>2</v>
      </c>
      <c r="E2" s="43"/>
      <c r="F2" s="369" t="s">
        <v>816</v>
      </c>
      <c r="G2" s="369"/>
      <c r="H2" s="369"/>
      <c r="I2" s="369"/>
      <c r="J2" s="369"/>
      <c r="K2" s="370"/>
      <c r="L2" s="203" t="s">
        <v>4</v>
      </c>
      <c r="M2" s="369">
        <v>4</v>
      </c>
      <c r="N2" s="499"/>
      <c r="O2" s="203" t="s">
        <v>6</v>
      </c>
      <c r="P2" s="502" t="s">
        <v>818</v>
      </c>
      <c r="Q2" s="502"/>
      <c r="R2" s="502"/>
      <c r="S2" s="502"/>
      <c r="T2" s="502"/>
      <c r="U2" s="502"/>
      <c r="V2" s="503"/>
      <c r="W2" s="203" t="s">
        <v>34</v>
      </c>
      <c r="X2" s="32">
        <v>1</v>
      </c>
      <c r="Z2" s="34" t="s">
        <v>819</v>
      </c>
    </row>
    <row r="3" spans="1:26" ht="9.9499999999999993" customHeight="1" x14ac:dyDescent="0.25">
      <c r="A3" s="497" t="s">
        <v>1</v>
      </c>
      <c r="B3" s="498"/>
      <c r="C3" s="486"/>
      <c r="D3" s="204" t="s">
        <v>3</v>
      </c>
      <c r="E3" s="44"/>
      <c r="F3" s="371"/>
      <c r="G3" s="371"/>
      <c r="H3" s="371"/>
      <c r="I3" s="371"/>
      <c r="J3" s="371"/>
      <c r="K3" s="372"/>
      <c r="L3" s="204" t="s">
        <v>5</v>
      </c>
      <c r="M3" s="500"/>
      <c r="N3" s="501"/>
      <c r="O3" s="204" t="s">
        <v>7</v>
      </c>
      <c r="P3" s="504"/>
      <c r="Q3" s="504"/>
      <c r="R3" s="504"/>
      <c r="S3" s="504"/>
      <c r="T3" s="504"/>
      <c r="U3" s="504"/>
      <c r="V3" s="505"/>
      <c r="W3" s="204" t="s">
        <v>8</v>
      </c>
      <c r="X3" s="212">
        <v>1</v>
      </c>
      <c r="Z3" s="35"/>
    </row>
    <row r="4" spans="1:26" ht="14.25" customHeight="1" x14ac:dyDescent="0.25">
      <c r="A4" s="3" t="s">
        <v>820</v>
      </c>
      <c r="B4" s="4"/>
      <c r="C4" s="4"/>
      <c r="D4" s="48"/>
      <c r="E4" s="28" t="s">
        <v>821</v>
      </c>
      <c r="F4" s="5" t="s">
        <v>822</v>
      </c>
      <c r="G4" s="5"/>
      <c r="H4" s="5"/>
      <c r="I4" s="4"/>
      <c r="J4" s="4"/>
      <c r="K4" s="28" t="s">
        <v>824</v>
      </c>
      <c r="L4" s="5" t="s">
        <v>825</v>
      </c>
      <c r="M4" s="4"/>
      <c r="N4" s="4"/>
      <c r="O4" s="203" t="s">
        <v>9</v>
      </c>
      <c r="P4" s="6"/>
      <c r="Q4" s="442" t="s">
        <v>826</v>
      </c>
      <c r="R4" s="443"/>
      <c r="S4" s="443"/>
      <c r="T4" s="444"/>
      <c r="U4" s="203" t="s">
        <v>11</v>
      </c>
      <c r="V4" s="7"/>
      <c r="W4" s="369" t="s">
        <v>71</v>
      </c>
      <c r="X4" s="499"/>
      <c r="Z4" s="34" t="s">
        <v>827</v>
      </c>
    </row>
    <row r="5" spans="1:26" ht="9.9499999999999993" customHeight="1" x14ac:dyDescent="0.2">
      <c r="A5" s="26" t="s">
        <v>828</v>
      </c>
      <c r="B5" s="8"/>
      <c r="C5" s="8"/>
      <c r="D5" s="8"/>
      <c r="E5" s="8"/>
      <c r="F5" s="27" t="s">
        <v>830</v>
      </c>
      <c r="G5" s="27"/>
      <c r="H5" s="27"/>
      <c r="I5" s="8"/>
      <c r="J5" s="8"/>
      <c r="K5" s="8"/>
      <c r="L5" s="27" t="s">
        <v>831</v>
      </c>
      <c r="M5" s="8"/>
      <c r="N5" s="9"/>
      <c r="O5" s="26" t="s">
        <v>10</v>
      </c>
      <c r="P5" s="10"/>
      <c r="Q5" s="445"/>
      <c r="R5" s="445"/>
      <c r="S5" s="445"/>
      <c r="T5" s="446"/>
      <c r="U5" s="204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833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816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834</v>
      </c>
      <c r="B22" s="487"/>
      <c r="C22" s="488"/>
      <c r="D22" s="466" t="s">
        <v>835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836</v>
      </c>
      <c r="X22" s="492"/>
      <c r="Z22" s="65" t="s">
        <v>837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838</v>
      </c>
      <c r="X23" s="494"/>
      <c r="Z23" s="66" t="s">
        <v>839</v>
      </c>
    </row>
    <row r="24" spans="1:28" ht="14.25" customHeight="1" x14ac:dyDescent="0.25">
      <c r="A24" s="447" t="s">
        <v>840</v>
      </c>
      <c r="B24" s="473"/>
      <c r="C24" s="33" t="s">
        <v>16</v>
      </c>
      <c r="D24" s="476" t="s">
        <v>841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11" t="s">
        <v>842</v>
      </c>
      <c r="D25" s="479" t="s">
        <v>843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844</v>
      </c>
    </row>
    <row r="26" spans="1:28" s="19" customFormat="1" ht="9.9499999999999993" customHeight="1" x14ac:dyDescent="0.25">
      <c r="A26" s="384" t="s">
        <v>845</v>
      </c>
      <c r="B26" s="384"/>
      <c r="C26" s="386" t="s">
        <v>846</v>
      </c>
      <c r="D26" s="391" t="s">
        <v>847</v>
      </c>
      <c r="E26" s="373">
        <v>0.92100000000000004</v>
      </c>
      <c r="F26" s="374"/>
      <c r="G26" s="51" t="s">
        <v>848</v>
      </c>
      <c r="H26" s="68">
        <v>3.0000000000000001E-3</v>
      </c>
      <c r="I26" s="423">
        <v>0.92200000000000004</v>
      </c>
      <c r="J26" s="423"/>
      <c r="K26" s="423">
        <v>0.92200000000000004</v>
      </c>
      <c r="L26" s="423"/>
      <c r="M26" s="423">
        <v>0.92200000000000004</v>
      </c>
      <c r="N26" s="423"/>
      <c r="O26" s="423">
        <v>0.92200000000000004</v>
      </c>
      <c r="P26" s="423"/>
      <c r="Q26" s="423">
        <v>0.92200000000000004</v>
      </c>
      <c r="R26" s="423"/>
      <c r="S26" s="423">
        <v>0.92200000000000004</v>
      </c>
      <c r="T26" s="423"/>
      <c r="U26" s="423">
        <v>0.92200000000000004</v>
      </c>
      <c r="V26" s="423"/>
      <c r="W26" s="423">
        <v>0.92100000000000004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849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850</v>
      </c>
      <c r="B28" s="384"/>
      <c r="C28" s="386" t="s">
        <v>851</v>
      </c>
      <c r="D28" s="391" t="s">
        <v>847</v>
      </c>
      <c r="E28" s="373">
        <v>0.27300000000000002</v>
      </c>
      <c r="F28" s="374"/>
      <c r="G28" s="51" t="s">
        <v>848</v>
      </c>
      <c r="H28" s="68">
        <v>2E-3</v>
      </c>
      <c r="I28" s="423">
        <v>0.27329999999999999</v>
      </c>
      <c r="J28" s="423"/>
      <c r="K28" s="423">
        <v>0.27279999999999999</v>
      </c>
      <c r="L28" s="423"/>
      <c r="M28" s="423">
        <v>0.27279999999999999</v>
      </c>
      <c r="N28" s="423"/>
      <c r="O28" s="423">
        <v>0.27260000000000001</v>
      </c>
      <c r="P28" s="423"/>
      <c r="Q28" s="423">
        <v>0.27279999999999999</v>
      </c>
      <c r="R28" s="423"/>
      <c r="S28" s="423">
        <v>0.27260000000000001</v>
      </c>
      <c r="T28" s="423"/>
      <c r="U28" s="423">
        <v>0.27250000000000002</v>
      </c>
      <c r="V28" s="423"/>
      <c r="W28" s="423">
        <v>0.27250000000000002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849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852</v>
      </c>
      <c r="B30" s="384"/>
      <c r="C30" s="386" t="s">
        <v>853</v>
      </c>
      <c r="D30" s="391"/>
      <c r="E30" s="373">
        <v>1.2999999999999999E-2</v>
      </c>
      <c r="F30" s="374"/>
      <c r="G30" s="51" t="s">
        <v>837</v>
      </c>
      <c r="H30" s="68">
        <v>2E-3</v>
      </c>
      <c r="I30" s="423">
        <v>1.2999999999999999E-2</v>
      </c>
      <c r="J30" s="423"/>
      <c r="K30" s="423">
        <v>1.35E-2</v>
      </c>
      <c r="L30" s="423"/>
      <c r="M30" s="423">
        <v>1.2999999999999999E-2</v>
      </c>
      <c r="N30" s="423"/>
      <c r="O30" s="423">
        <v>1.2500000000000001E-2</v>
      </c>
      <c r="P30" s="423"/>
      <c r="Q30" s="423">
        <v>1.2999999999999999E-2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839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854</v>
      </c>
      <c r="B32" s="384"/>
      <c r="C32" s="386" t="s">
        <v>856</v>
      </c>
      <c r="D32" s="205" t="s">
        <v>857</v>
      </c>
      <c r="E32" s="206"/>
      <c r="F32" s="206"/>
      <c r="G32" s="206"/>
      <c r="H32" s="207"/>
      <c r="I32" s="379" t="s">
        <v>859</v>
      </c>
      <c r="J32" s="379"/>
      <c r="K32" s="379" t="s">
        <v>859</v>
      </c>
      <c r="L32" s="379"/>
      <c r="M32" s="379" t="s">
        <v>859</v>
      </c>
      <c r="N32" s="379"/>
      <c r="O32" s="379" t="s">
        <v>859</v>
      </c>
      <c r="P32" s="379"/>
      <c r="Q32" s="379" t="s">
        <v>859</v>
      </c>
      <c r="R32" s="379"/>
      <c r="S32" s="379" t="s">
        <v>859</v>
      </c>
      <c r="T32" s="379"/>
      <c r="U32" s="379" t="s">
        <v>860</v>
      </c>
      <c r="V32" s="379"/>
      <c r="W32" s="379" t="s">
        <v>859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08" t="s">
        <v>861</v>
      </c>
      <c r="E33" s="209"/>
      <c r="F33" s="209"/>
      <c r="G33" s="209"/>
      <c r="H33" s="210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08"/>
      <c r="E35" s="209"/>
      <c r="F35" s="209"/>
      <c r="G35" s="209"/>
      <c r="H35" s="210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05"/>
      <c r="E36" s="206"/>
      <c r="F36" s="206"/>
      <c r="G36" s="206"/>
      <c r="H36" s="207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08"/>
      <c r="E37" s="209"/>
      <c r="F37" s="209"/>
      <c r="G37" s="209"/>
      <c r="H37" s="210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05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08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05"/>
      <c r="E40" s="200"/>
      <c r="F40" s="201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08"/>
      <c r="E41" s="202"/>
      <c r="F41" s="202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05"/>
      <c r="E42" s="200"/>
      <c r="F42" s="201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08"/>
      <c r="E43" s="202"/>
      <c r="F43" s="202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05"/>
      <c r="E44" s="206"/>
      <c r="F44" s="206"/>
      <c r="G44" s="206"/>
      <c r="H44" s="207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08"/>
      <c r="E45" s="209"/>
      <c r="F45" s="209"/>
      <c r="G45" s="209"/>
      <c r="H45" s="210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05"/>
      <c r="E48" s="206"/>
      <c r="F48" s="206"/>
      <c r="G48" s="206"/>
      <c r="H48" s="207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08"/>
      <c r="E49" s="209"/>
      <c r="F49" s="209"/>
      <c r="G49" s="209"/>
      <c r="H49" s="210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863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865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866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867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846</v>
      </c>
      <c r="R72" s="401"/>
      <c r="S72" s="409" t="s">
        <v>868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870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871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873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9">
    <cfRule type="cellIs" dxfId="147" priority="3" operator="greaterThan">
      <formula>$AA$28</formula>
    </cfRule>
    <cfRule type="cellIs" dxfId="146" priority="4" operator="lessThan">
      <formula>$AA$29</formula>
    </cfRule>
  </conditionalFormatting>
  <conditionalFormatting sqref="I30:X31">
    <cfRule type="cellIs" dxfId="145" priority="1" operator="greaterThan">
      <formula>$AA$30</formula>
    </cfRule>
    <cfRule type="cellIs" dxfId="14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topLeftCell="A61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813</v>
      </c>
      <c r="B2" s="496"/>
      <c r="C2" s="465" t="s">
        <v>874</v>
      </c>
      <c r="D2" s="203" t="s">
        <v>2</v>
      </c>
      <c r="E2" s="43"/>
      <c r="F2" s="369" t="s">
        <v>815</v>
      </c>
      <c r="G2" s="369"/>
      <c r="H2" s="369"/>
      <c r="I2" s="369"/>
      <c r="J2" s="369"/>
      <c r="K2" s="370"/>
      <c r="L2" s="203" t="s">
        <v>4</v>
      </c>
      <c r="M2" s="369">
        <v>4</v>
      </c>
      <c r="N2" s="499"/>
      <c r="O2" s="203" t="s">
        <v>6</v>
      </c>
      <c r="P2" s="502" t="s">
        <v>817</v>
      </c>
      <c r="Q2" s="502"/>
      <c r="R2" s="502"/>
      <c r="S2" s="502"/>
      <c r="T2" s="502"/>
      <c r="U2" s="502"/>
      <c r="V2" s="503"/>
      <c r="W2" s="203" t="s">
        <v>34</v>
      </c>
      <c r="X2" s="32">
        <v>1</v>
      </c>
      <c r="Z2" s="34" t="s">
        <v>819</v>
      </c>
    </row>
    <row r="3" spans="1:26" ht="9.9499999999999993" customHeight="1" x14ac:dyDescent="0.25">
      <c r="A3" s="497" t="s">
        <v>1</v>
      </c>
      <c r="B3" s="498"/>
      <c r="C3" s="486"/>
      <c r="D3" s="204" t="s">
        <v>3</v>
      </c>
      <c r="E3" s="44"/>
      <c r="F3" s="371"/>
      <c r="G3" s="371"/>
      <c r="H3" s="371"/>
      <c r="I3" s="371"/>
      <c r="J3" s="371"/>
      <c r="K3" s="372"/>
      <c r="L3" s="204" t="s">
        <v>5</v>
      </c>
      <c r="M3" s="500"/>
      <c r="N3" s="501"/>
      <c r="O3" s="204" t="s">
        <v>7</v>
      </c>
      <c r="P3" s="504"/>
      <c r="Q3" s="504"/>
      <c r="R3" s="504"/>
      <c r="S3" s="504"/>
      <c r="T3" s="504"/>
      <c r="U3" s="504"/>
      <c r="V3" s="505"/>
      <c r="W3" s="204" t="s">
        <v>8</v>
      </c>
      <c r="X3" s="212">
        <v>1</v>
      </c>
      <c r="Z3" s="35"/>
    </row>
    <row r="4" spans="1:26" ht="14.25" customHeight="1" x14ac:dyDescent="0.25">
      <c r="A4" s="3" t="s">
        <v>820</v>
      </c>
      <c r="B4" s="4"/>
      <c r="C4" s="4"/>
      <c r="D4" s="48"/>
      <c r="E4" s="28" t="s">
        <v>821</v>
      </c>
      <c r="F4" s="5" t="s">
        <v>875</v>
      </c>
      <c r="G4" s="5"/>
      <c r="H4" s="5"/>
      <c r="I4" s="4"/>
      <c r="J4" s="4"/>
      <c r="K4" s="28" t="s">
        <v>823</v>
      </c>
      <c r="L4" s="5" t="s">
        <v>876</v>
      </c>
      <c r="M4" s="4"/>
      <c r="N4" s="4"/>
      <c r="O4" s="203" t="s">
        <v>9</v>
      </c>
      <c r="P4" s="6"/>
      <c r="Q4" s="442" t="s">
        <v>877</v>
      </c>
      <c r="R4" s="443"/>
      <c r="S4" s="443"/>
      <c r="T4" s="444"/>
      <c r="U4" s="203" t="s">
        <v>11</v>
      </c>
      <c r="V4" s="7"/>
      <c r="W4" s="369" t="s">
        <v>71</v>
      </c>
      <c r="X4" s="499"/>
      <c r="Z4" s="34" t="s">
        <v>827</v>
      </c>
    </row>
    <row r="5" spans="1:26" ht="9.9499999999999993" customHeight="1" x14ac:dyDescent="0.2">
      <c r="A5" s="26" t="s">
        <v>878</v>
      </c>
      <c r="B5" s="8"/>
      <c r="C5" s="8"/>
      <c r="D5" s="8"/>
      <c r="E5" s="8"/>
      <c r="F5" s="27" t="s">
        <v>829</v>
      </c>
      <c r="G5" s="27"/>
      <c r="H5" s="27"/>
      <c r="I5" s="8"/>
      <c r="J5" s="8"/>
      <c r="K5" s="8"/>
      <c r="L5" s="27" t="s">
        <v>831</v>
      </c>
      <c r="M5" s="8"/>
      <c r="N5" s="9"/>
      <c r="O5" s="26" t="s">
        <v>10</v>
      </c>
      <c r="P5" s="10"/>
      <c r="Q5" s="445"/>
      <c r="R5" s="445"/>
      <c r="S5" s="445"/>
      <c r="T5" s="446"/>
      <c r="U5" s="204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832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815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879</v>
      </c>
      <c r="B22" s="487"/>
      <c r="C22" s="488"/>
      <c r="D22" s="466" t="s">
        <v>835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836</v>
      </c>
      <c r="X22" s="492"/>
      <c r="Z22" s="65" t="s">
        <v>837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880</v>
      </c>
      <c r="X23" s="494"/>
      <c r="Z23" s="66" t="s">
        <v>839</v>
      </c>
    </row>
    <row r="24" spans="1:28" ht="14.25" customHeight="1" x14ac:dyDescent="0.25">
      <c r="A24" s="447" t="s">
        <v>881</v>
      </c>
      <c r="B24" s="473"/>
      <c r="C24" s="33" t="s">
        <v>16</v>
      </c>
      <c r="D24" s="476" t="s">
        <v>882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11" t="s">
        <v>883</v>
      </c>
      <c r="D25" s="479" t="s">
        <v>884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885</v>
      </c>
    </row>
    <row r="26" spans="1:28" s="19" customFormat="1" ht="9.9499999999999993" customHeight="1" x14ac:dyDescent="0.25">
      <c r="A26" s="384" t="s">
        <v>886</v>
      </c>
      <c r="B26" s="384"/>
      <c r="C26" s="386" t="s">
        <v>887</v>
      </c>
      <c r="D26" s="391" t="s">
        <v>844</v>
      </c>
      <c r="E26" s="373">
        <v>0.92100000000000004</v>
      </c>
      <c r="F26" s="374"/>
      <c r="G26" s="51" t="s">
        <v>837</v>
      </c>
      <c r="H26" s="68">
        <v>3.0000000000000001E-3</v>
      </c>
      <c r="I26" s="423">
        <v>0.92200000000000004</v>
      </c>
      <c r="J26" s="423"/>
      <c r="K26" s="423">
        <v>0.92200000000000004</v>
      </c>
      <c r="L26" s="423"/>
      <c r="M26" s="423">
        <v>0.92200000000000004</v>
      </c>
      <c r="N26" s="423"/>
      <c r="O26" s="423">
        <v>0.92249999999999999</v>
      </c>
      <c r="P26" s="423"/>
      <c r="Q26" s="423">
        <v>0.92200000000000004</v>
      </c>
      <c r="R26" s="423"/>
      <c r="S26" s="423">
        <v>0.92200000000000004</v>
      </c>
      <c r="T26" s="423"/>
      <c r="U26" s="423">
        <v>0.92200000000000004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839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888</v>
      </c>
      <c r="B28" s="384"/>
      <c r="C28" s="386" t="s">
        <v>889</v>
      </c>
      <c r="D28" s="391" t="s">
        <v>847</v>
      </c>
      <c r="E28" s="373">
        <v>0.27300000000000002</v>
      </c>
      <c r="F28" s="374"/>
      <c r="G28" s="51" t="s">
        <v>848</v>
      </c>
      <c r="H28" s="68">
        <v>2E-3</v>
      </c>
      <c r="I28" s="423">
        <v>0.27250000000000002</v>
      </c>
      <c r="J28" s="423"/>
      <c r="K28" s="423">
        <v>0.27300000000000002</v>
      </c>
      <c r="L28" s="423"/>
      <c r="M28" s="423">
        <v>0.27279999999999999</v>
      </c>
      <c r="N28" s="423"/>
      <c r="O28" s="423">
        <v>0.27339999999999998</v>
      </c>
      <c r="P28" s="423"/>
      <c r="Q28" s="423">
        <v>0.27310000000000001</v>
      </c>
      <c r="R28" s="423"/>
      <c r="S28" s="423">
        <v>0.2737</v>
      </c>
      <c r="T28" s="423"/>
      <c r="U28" s="423">
        <v>0.27339999999999998</v>
      </c>
      <c r="V28" s="423"/>
      <c r="W28" s="423">
        <v>0.27310000000000001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849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852</v>
      </c>
      <c r="B30" s="384"/>
      <c r="C30" s="386" t="s">
        <v>853</v>
      </c>
      <c r="D30" s="391"/>
      <c r="E30" s="373">
        <v>1.2999999999999999E-2</v>
      </c>
      <c r="F30" s="374"/>
      <c r="G30" s="51" t="s">
        <v>837</v>
      </c>
      <c r="H30" s="68">
        <v>2E-3</v>
      </c>
      <c r="I30" s="423">
        <v>1.4999999999999999E-2</v>
      </c>
      <c r="J30" s="423"/>
      <c r="K30" s="423">
        <v>1.35E-2</v>
      </c>
      <c r="L30" s="423"/>
      <c r="M30" s="423">
        <v>1.2999999999999999E-2</v>
      </c>
      <c r="N30" s="423"/>
      <c r="O30" s="423">
        <v>1.2500000000000001E-2</v>
      </c>
      <c r="P30" s="423"/>
      <c r="Q30" s="423">
        <v>1.35E-2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839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890</v>
      </c>
      <c r="B32" s="384"/>
      <c r="C32" s="386" t="s">
        <v>855</v>
      </c>
      <c r="D32" s="205" t="s">
        <v>891</v>
      </c>
      <c r="E32" s="206"/>
      <c r="F32" s="206"/>
      <c r="G32" s="206"/>
      <c r="H32" s="207"/>
      <c r="I32" s="379" t="s">
        <v>859</v>
      </c>
      <c r="J32" s="379"/>
      <c r="K32" s="379" t="s">
        <v>859</v>
      </c>
      <c r="L32" s="379"/>
      <c r="M32" s="379" t="s">
        <v>859</v>
      </c>
      <c r="N32" s="379"/>
      <c r="O32" s="379" t="s">
        <v>859</v>
      </c>
      <c r="P32" s="379"/>
      <c r="Q32" s="379" t="s">
        <v>858</v>
      </c>
      <c r="R32" s="379"/>
      <c r="S32" s="379" t="s">
        <v>858</v>
      </c>
      <c r="T32" s="379"/>
      <c r="U32" s="379" t="s">
        <v>858</v>
      </c>
      <c r="V32" s="379"/>
      <c r="W32" s="379" t="s">
        <v>859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08" t="s">
        <v>861</v>
      </c>
      <c r="E33" s="209"/>
      <c r="F33" s="209"/>
      <c r="G33" s="209"/>
      <c r="H33" s="210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08"/>
      <c r="E35" s="209"/>
      <c r="F35" s="209"/>
      <c r="G35" s="209"/>
      <c r="H35" s="210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05"/>
      <c r="E36" s="206"/>
      <c r="F36" s="206"/>
      <c r="G36" s="206"/>
      <c r="H36" s="207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08"/>
      <c r="E37" s="209"/>
      <c r="F37" s="209"/>
      <c r="G37" s="209"/>
      <c r="H37" s="210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05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08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05"/>
      <c r="E40" s="200"/>
      <c r="F40" s="201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08"/>
      <c r="E41" s="202"/>
      <c r="F41" s="202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05"/>
      <c r="E42" s="200"/>
      <c r="F42" s="201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08"/>
      <c r="E43" s="202"/>
      <c r="F43" s="202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05"/>
      <c r="E44" s="206"/>
      <c r="F44" s="206"/>
      <c r="G44" s="206"/>
      <c r="H44" s="207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08"/>
      <c r="E45" s="209"/>
      <c r="F45" s="209"/>
      <c r="G45" s="209"/>
      <c r="H45" s="210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05"/>
      <c r="E48" s="206"/>
      <c r="F48" s="206"/>
      <c r="G48" s="206"/>
      <c r="H48" s="207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08"/>
      <c r="E49" s="209"/>
      <c r="F49" s="209"/>
      <c r="G49" s="209"/>
      <c r="H49" s="210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862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864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866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867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846</v>
      </c>
      <c r="R72" s="401"/>
      <c r="S72" s="409" t="s">
        <v>868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869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871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872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43" priority="5" operator="greaterThan">
      <formula>$AA$26</formula>
    </cfRule>
    <cfRule type="cellIs" dxfId="142" priority="6" operator="lessThan">
      <formula>$AA$27</formula>
    </cfRule>
  </conditionalFormatting>
  <conditionalFormatting sqref="I28:X29">
    <cfRule type="cellIs" dxfId="141" priority="3" operator="greaterThan">
      <formula>$AA$28</formula>
    </cfRule>
    <cfRule type="cellIs" dxfId="140" priority="4" operator="lessThan">
      <formula>$AA$29</formula>
    </cfRule>
  </conditionalFormatting>
  <conditionalFormatting sqref="I30:X31">
    <cfRule type="cellIs" dxfId="139" priority="1" operator="greaterThan">
      <formula>$AA$30</formula>
    </cfRule>
    <cfRule type="cellIs" dxfId="13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892</v>
      </c>
      <c r="B2" s="496"/>
      <c r="C2" s="465" t="s">
        <v>893</v>
      </c>
      <c r="D2" s="224" t="s">
        <v>2</v>
      </c>
      <c r="E2" s="43"/>
      <c r="F2" s="369" t="s">
        <v>894</v>
      </c>
      <c r="G2" s="369"/>
      <c r="H2" s="369"/>
      <c r="I2" s="369"/>
      <c r="J2" s="369"/>
      <c r="K2" s="370"/>
      <c r="L2" s="224" t="s">
        <v>4</v>
      </c>
      <c r="M2" s="369">
        <v>4</v>
      </c>
      <c r="N2" s="499"/>
      <c r="O2" s="224" t="s">
        <v>6</v>
      </c>
      <c r="P2" s="502" t="s">
        <v>895</v>
      </c>
      <c r="Q2" s="502"/>
      <c r="R2" s="502"/>
      <c r="S2" s="502"/>
      <c r="T2" s="502"/>
      <c r="U2" s="502"/>
      <c r="V2" s="503"/>
      <c r="W2" s="224" t="s">
        <v>34</v>
      </c>
      <c r="X2" s="32">
        <v>1</v>
      </c>
      <c r="Z2" s="34" t="s">
        <v>274</v>
      </c>
    </row>
    <row r="3" spans="1:26" ht="9.9499999999999993" customHeight="1" x14ac:dyDescent="0.25">
      <c r="A3" s="497" t="s">
        <v>1</v>
      </c>
      <c r="B3" s="498"/>
      <c r="C3" s="486"/>
      <c r="D3" s="225" t="s">
        <v>3</v>
      </c>
      <c r="E3" s="44"/>
      <c r="F3" s="371"/>
      <c r="G3" s="371"/>
      <c r="H3" s="371"/>
      <c r="I3" s="371"/>
      <c r="J3" s="371"/>
      <c r="K3" s="372"/>
      <c r="L3" s="225" t="s">
        <v>5</v>
      </c>
      <c r="M3" s="500"/>
      <c r="N3" s="501"/>
      <c r="O3" s="225" t="s">
        <v>7</v>
      </c>
      <c r="P3" s="504"/>
      <c r="Q3" s="504"/>
      <c r="R3" s="504"/>
      <c r="S3" s="504"/>
      <c r="T3" s="504"/>
      <c r="U3" s="504"/>
      <c r="V3" s="505"/>
      <c r="W3" s="225" t="s">
        <v>8</v>
      </c>
      <c r="X3" s="213">
        <v>1</v>
      </c>
      <c r="Z3" s="35"/>
    </row>
    <row r="4" spans="1:26" ht="14.25" customHeight="1" x14ac:dyDescent="0.25">
      <c r="A4" s="3" t="s">
        <v>896</v>
      </c>
      <c r="B4" s="4"/>
      <c r="C4" s="4"/>
      <c r="D4" s="48"/>
      <c r="E4" s="28" t="s">
        <v>897</v>
      </c>
      <c r="F4" s="5" t="s">
        <v>898</v>
      </c>
      <c r="G4" s="5"/>
      <c r="H4" s="5"/>
      <c r="I4" s="4"/>
      <c r="J4" s="4"/>
      <c r="K4" s="28" t="s">
        <v>899</v>
      </c>
      <c r="L4" s="5" t="s">
        <v>900</v>
      </c>
      <c r="M4" s="4"/>
      <c r="N4" s="4"/>
      <c r="O4" s="224" t="s">
        <v>9</v>
      </c>
      <c r="P4" s="6"/>
      <c r="Q4" s="442" t="s">
        <v>901</v>
      </c>
      <c r="R4" s="443"/>
      <c r="S4" s="443"/>
      <c r="T4" s="444"/>
      <c r="U4" s="224" t="s">
        <v>11</v>
      </c>
      <c r="V4" s="7"/>
      <c r="W4" s="369" t="s">
        <v>71</v>
      </c>
      <c r="X4" s="499"/>
      <c r="Z4" s="34" t="s">
        <v>902</v>
      </c>
    </row>
    <row r="5" spans="1:26" ht="9.9499999999999993" customHeight="1" x14ac:dyDescent="0.2">
      <c r="A5" s="26" t="s">
        <v>349</v>
      </c>
      <c r="B5" s="8"/>
      <c r="C5" s="8"/>
      <c r="D5" s="8"/>
      <c r="E5" s="8"/>
      <c r="F5" s="27" t="s">
        <v>903</v>
      </c>
      <c r="G5" s="27"/>
      <c r="H5" s="27"/>
      <c r="I5" s="8"/>
      <c r="J5" s="8"/>
      <c r="K5" s="8"/>
      <c r="L5" s="27" t="s">
        <v>905</v>
      </c>
      <c r="M5" s="8"/>
      <c r="N5" s="9"/>
      <c r="O5" s="26" t="s">
        <v>10</v>
      </c>
      <c r="P5" s="10"/>
      <c r="Q5" s="445"/>
      <c r="R5" s="445"/>
      <c r="S5" s="445"/>
      <c r="T5" s="446"/>
      <c r="U5" s="225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906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387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907</v>
      </c>
      <c r="B22" s="487"/>
      <c r="C22" s="488"/>
      <c r="D22" s="466" t="s">
        <v>417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908</v>
      </c>
      <c r="X22" s="492"/>
      <c r="Z22" s="65" t="s">
        <v>146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909</v>
      </c>
      <c r="X23" s="494"/>
      <c r="Z23" s="66" t="s">
        <v>910</v>
      </c>
    </row>
    <row r="24" spans="1:28" ht="14.25" customHeight="1" x14ac:dyDescent="0.25">
      <c r="A24" s="447" t="s">
        <v>911</v>
      </c>
      <c r="B24" s="473"/>
      <c r="C24" s="33" t="s">
        <v>16</v>
      </c>
      <c r="D24" s="476" t="s">
        <v>912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23" t="s">
        <v>913</v>
      </c>
      <c r="D25" s="479" t="s">
        <v>462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914</v>
      </c>
    </row>
    <row r="26" spans="1:28" s="19" customFormat="1" ht="9.9499999999999993" customHeight="1" x14ac:dyDescent="0.25">
      <c r="A26" s="384" t="s">
        <v>915</v>
      </c>
      <c r="B26" s="384"/>
      <c r="C26" s="386" t="s">
        <v>916</v>
      </c>
      <c r="D26" s="391" t="s">
        <v>914</v>
      </c>
      <c r="E26" s="373">
        <v>0.92100000000000004</v>
      </c>
      <c r="F26" s="374"/>
      <c r="G26" s="51" t="s">
        <v>146</v>
      </c>
      <c r="H26" s="68">
        <v>3.0000000000000001E-3</v>
      </c>
      <c r="I26" s="423">
        <v>0.92300000000000004</v>
      </c>
      <c r="J26" s="423"/>
      <c r="K26" s="423">
        <v>0.92200000000000004</v>
      </c>
      <c r="L26" s="423"/>
      <c r="M26" s="423">
        <v>0.92200000000000004</v>
      </c>
      <c r="N26" s="423"/>
      <c r="O26" s="423">
        <v>0.92249999999999999</v>
      </c>
      <c r="P26" s="423"/>
      <c r="Q26" s="423">
        <v>0.92249999999999999</v>
      </c>
      <c r="R26" s="423"/>
      <c r="S26" s="423">
        <v>0.92249999999999999</v>
      </c>
      <c r="T26" s="423"/>
      <c r="U26" s="423">
        <v>0.92200000000000004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917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918</v>
      </c>
      <c r="B28" s="384"/>
      <c r="C28" s="386" t="s">
        <v>919</v>
      </c>
      <c r="D28" s="391" t="s">
        <v>920</v>
      </c>
      <c r="E28" s="373">
        <v>0.27300000000000002</v>
      </c>
      <c r="F28" s="374"/>
      <c r="G28" s="51" t="s">
        <v>146</v>
      </c>
      <c r="H28" s="68">
        <v>2E-3</v>
      </c>
      <c r="I28" s="423">
        <v>0.27200000000000002</v>
      </c>
      <c r="J28" s="423"/>
      <c r="K28" s="423">
        <v>0.27179999999999999</v>
      </c>
      <c r="L28" s="423"/>
      <c r="M28" s="423">
        <v>0.27189999999999998</v>
      </c>
      <c r="N28" s="423"/>
      <c r="O28" s="423">
        <v>0.27160000000000001</v>
      </c>
      <c r="P28" s="423"/>
      <c r="Q28" s="423">
        <v>0.27210000000000001</v>
      </c>
      <c r="R28" s="423"/>
      <c r="S28" s="423">
        <v>0.27210000000000001</v>
      </c>
      <c r="T28" s="423"/>
      <c r="U28" s="423">
        <v>0.27179999999999999</v>
      </c>
      <c r="V28" s="423"/>
      <c r="W28" s="423">
        <v>0.27189999999999998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910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921</v>
      </c>
      <c r="B30" s="384"/>
      <c r="C30" s="386" t="s">
        <v>916</v>
      </c>
      <c r="D30" s="391"/>
      <c r="E30" s="373">
        <v>1.2999999999999999E-2</v>
      </c>
      <c r="F30" s="374"/>
      <c r="G30" s="51" t="s">
        <v>922</v>
      </c>
      <c r="H30" s="68">
        <v>2E-3</v>
      </c>
      <c r="I30" s="423">
        <v>1.35E-2</v>
      </c>
      <c r="J30" s="423"/>
      <c r="K30" s="423">
        <v>1.4E-2</v>
      </c>
      <c r="L30" s="423"/>
      <c r="M30" s="423">
        <v>1.2999999999999999E-2</v>
      </c>
      <c r="N30" s="423"/>
      <c r="O30" s="423">
        <v>1.35E-2</v>
      </c>
      <c r="P30" s="423"/>
      <c r="Q30" s="423">
        <v>1.2999999999999999E-2</v>
      </c>
      <c r="R30" s="423"/>
      <c r="S30" s="423">
        <v>1.35E-2</v>
      </c>
      <c r="T30" s="423"/>
      <c r="U30" s="423">
        <v>1.2999999999999999E-2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910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923</v>
      </c>
      <c r="B32" s="384"/>
      <c r="C32" s="386" t="s">
        <v>924</v>
      </c>
      <c r="D32" s="217" t="s">
        <v>925</v>
      </c>
      <c r="E32" s="218"/>
      <c r="F32" s="218"/>
      <c r="G32" s="218"/>
      <c r="H32" s="219"/>
      <c r="I32" s="379" t="s">
        <v>926</v>
      </c>
      <c r="J32" s="379"/>
      <c r="K32" s="379" t="s">
        <v>927</v>
      </c>
      <c r="L32" s="379"/>
      <c r="M32" s="379" t="s">
        <v>926</v>
      </c>
      <c r="N32" s="379"/>
      <c r="O32" s="379" t="s">
        <v>927</v>
      </c>
      <c r="P32" s="379"/>
      <c r="Q32" s="379" t="s">
        <v>926</v>
      </c>
      <c r="R32" s="379"/>
      <c r="S32" s="379" t="s">
        <v>926</v>
      </c>
      <c r="T32" s="379"/>
      <c r="U32" s="379" t="s">
        <v>927</v>
      </c>
      <c r="V32" s="379"/>
      <c r="W32" s="379" t="s">
        <v>926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20" t="s">
        <v>928</v>
      </c>
      <c r="E33" s="221"/>
      <c r="F33" s="221"/>
      <c r="G33" s="221"/>
      <c r="H33" s="222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20"/>
      <c r="E35" s="221"/>
      <c r="F35" s="221"/>
      <c r="G35" s="221"/>
      <c r="H35" s="222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17"/>
      <c r="E36" s="218"/>
      <c r="F36" s="218"/>
      <c r="G36" s="218"/>
      <c r="H36" s="21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20"/>
      <c r="E37" s="221"/>
      <c r="F37" s="221"/>
      <c r="G37" s="221"/>
      <c r="H37" s="222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17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20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17"/>
      <c r="E40" s="214"/>
      <c r="F40" s="215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20"/>
      <c r="E41" s="216"/>
      <c r="F41" s="216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17"/>
      <c r="E42" s="214"/>
      <c r="F42" s="215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20"/>
      <c r="E43" s="216"/>
      <c r="F43" s="216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17"/>
      <c r="E44" s="218"/>
      <c r="F44" s="218"/>
      <c r="G44" s="218"/>
      <c r="H44" s="21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20"/>
      <c r="E45" s="221"/>
      <c r="F45" s="221"/>
      <c r="G45" s="221"/>
      <c r="H45" s="222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17"/>
      <c r="E48" s="218"/>
      <c r="F48" s="218"/>
      <c r="G48" s="218"/>
      <c r="H48" s="21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20"/>
      <c r="E49" s="221"/>
      <c r="F49" s="221"/>
      <c r="G49" s="221"/>
      <c r="H49" s="222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929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930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931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932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916</v>
      </c>
      <c r="R72" s="401"/>
      <c r="S72" s="409" t="s">
        <v>933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934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935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936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37" priority="5" operator="greaterThan">
      <formula>$AA$26</formula>
    </cfRule>
    <cfRule type="cellIs" dxfId="136" priority="6" operator="lessThan">
      <formula>$AA$27</formula>
    </cfRule>
  </conditionalFormatting>
  <conditionalFormatting sqref="I28:X29">
    <cfRule type="cellIs" dxfId="135" priority="3" operator="greaterThan">
      <formula>$AA$28</formula>
    </cfRule>
    <cfRule type="cellIs" dxfId="134" priority="4" operator="lessThan">
      <formula>$AA$29</formula>
    </cfRule>
  </conditionalFormatting>
  <conditionalFormatting sqref="I30:X31">
    <cfRule type="cellIs" dxfId="133" priority="1" operator="greaterThan">
      <formula>$AA$30</formula>
    </cfRule>
    <cfRule type="cellIs" dxfId="13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937</v>
      </c>
      <c r="B2" s="496"/>
      <c r="C2" s="465" t="s">
        <v>938</v>
      </c>
      <c r="D2" s="224" t="s">
        <v>2</v>
      </c>
      <c r="E2" s="43"/>
      <c r="F2" s="369" t="s">
        <v>939</v>
      </c>
      <c r="G2" s="369"/>
      <c r="H2" s="369"/>
      <c r="I2" s="369"/>
      <c r="J2" s="369"/>
      <c r="K2" s="370"/>
      <c r="L2" s="224" t="s">
        <v>4</v>
      </c>
      <c r="M2" s="369">
        <v>4</v>
      </c>
      <c r="N2" s="499"/>
      <c r="O2" s="224" t="s">
        <v>6</v>
      </c>
      <c r="P2" s="502" t="s">
        <v>895</v>
      </c>
      <c r="Q2" s="502"/>
      <c r="R2" s="502"/>
      <c r="S2" s="502"/>
      <c r="T2" s="502"/>
      <c r="U2" s="502"/>
      <c r="V2" s="503"/>
      <c r="W2" s="224" t="s">
        <v>34</v>
      </c>
      <c r="X2" s="32">
        <v>1</v>
      </c>
      <c r="Z2" s="34" t="s">
        <v>274</v>
      </c>
    </row>
    <row r="3" spans="1:26" ht="9.9499999999999993" customHeight="1" x14ac:dyDescent="0.25">
      <c r="A3" s="497" t="s">
        <v>1</v>
      </c>
      <c r="B3" s="498"/>
      <c r="C3" s="486"/>
      <c r="D3" s="225" t="s">
        <v>3</v>
      </c>
      <c r="E3" s="44"/>
      <c r="F3" s="371"/>
      <c r="G3" s="371"/>
      <c r="H3" s="371"/>
      <c r="I3" s="371"/>
      <c r="J3" s="371"/>
      <c r="K3" s="372"/>
      <c r="L3" s="225" t="s">
        <v>5</v>
      </c>
      <c r="M3" s="500"/>
      <c r="N3" s="501"/>
      <c r="O3" s="225" t="s">
        <v>7</v>
      </c>
      <c r="P3" s="504"/>
      <c r="Q3" s="504"/>
      <c r="R3" s="504"/>
      <c r="S3" s="504"/>
      <c r="T3" s="504"/>
      <c r="U3" s="504"/>
      <c r="V3" s="505"/>
      <c r="W3" s="225" t="s">
        <v>8</v>
      </c>
      <c r="X3" s="213">
        <v>1</v>
      </c>
      <c r="Z3" s="35"/>
    </row>
    <row r="4" spans="1:26" ht="14.25" customHeight="1" x14ac:dyDescent="0.25">
      <c r="A4" s="3" t="s">
        <v>940</v>
      </c>
      <c r="B4" s="4"/>
      <c r="C4" s="4"/>
      <c r="D4" s="48"/>
      <c r="E4" s="28" t="s">
        <v>897</v>
      </c>
      <c r="F4" s="5" t="s">
        <v>941</v>
      </c>
      <c r="G4" s="5"/>
      <c r="H4" s="5"/>
      <c r="I4" s="4"/>
      <c r="J4" s="4"/>
      <c r="K4" s="28" t="s">
        <v>899</v>
      </c>
      <c r="L4" s="5" t="s">
        <v>942</v>
      </c>
      <c r="M4" s="4"/>
      <c r="N4" s="4"/>
      <c r="O4" s="224" t="s">
        <v>9</v>
      </c>
      <c r="P4" s="6"/>
      <c r="Q4" s="442" t="s">
        <v>943</v>
      </c>
      <c r="R4" s="443"/>
      <c r="S4" s="443"/>
      <c r="T4" s="444"/>
      <c r="U4" s="224" t="s">
        <v>11</v>
      </c>
      <c r="V4" s="7"/>
      <c r="W4" s="369" t="s">
        <v>71</v>
      </c>
      <c r="X4" s="499"/>
      <c r="Z4" s="34" t="s">
        <v>902</v>
      </c>
    </row>
    <row r="5" spans="1:26" ht="9.9499999999999993" customHeight="1" x14ac:dyDescent="0.2">
      <c r="A5" s="26" t="s">
        <v>944</v>
      </c>
      <c r="B5" s="8"/>
      <c r="C5" s="8"/>
      <c r="D5" s="8"/>
      <c r="E5" s="8"/>
      <c r="F5" s="27" t="s">
        <v>945</v>
      </c>
      <c r="G5" s="27"/>
      <c r="H5" s="27"/>
      <c r="I5" s="8"/>
      <c r="J5" s="8"/>
      <c r="K5" s="8"/>
      <c r="L5" s="27" t="s">
        <v>904</v>
      </c>
      <c r="M5" s="8"/>
      <c r="N5" s="9"/>
      <c r="O5" s="26" t="s">
        <v>10</v>
      </c>
      <c r="P5" s="10"/>
      <c r="Q5" s="445"/>
      <c r="R5" s="445"/>
      <c r="S5" s="445"/>
      <c r="T5" s="446"/>
      <c r="U5" s="225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946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939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947</v>
      </c>
      <c r="B22" s="487"/>
      <c r="C22" s="488"/>
      <c r="D22" s="466" t="s">
        <v>948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908</v>
      </c>
      <c r="X22" s="492"/>
      <c r="Z22" s="65" t="s">
        <v>949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950</v>
      </c>
      <c r="X23" s="494"/>
      <c r="Z23" s="66" t="s">
        <v>910</v>
      </c>
    </row>
    <row r="24" spans="1:28" ht="14.25" customHeight="1" x14ac:dyDescent="0.25">
      <c r="A24" s="447" t="s">
        <v>288</v>
      </c>
      <c r="B24" s="473"/>
      <c r="C24" s="33" t="s">
        <v>16</v>
      </c>
      <c r="D24" s="476" t="s">
        <v>951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23" t="s">
        <v>952</v>
      </c>
      <c r="D25" s="479" t="s">
        <v>953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954</v>
      </c>
    </row>
    <row r="26" spans="1:28" s="19" customFormat="1" ht="9.9499999999999993" customHeight="1" x14ac:dyDescent="0.25">
      <c r="A26" s="384" t="s">
        <v>955</v>
      </c>
      <c r="B26" s="384"/>
      <c r="C26" s="386" t="s">
        <v>956</v>
      </c>
      <c r="D26" s="391" t="s">
        <v>954</v>
      </c>
      <c r="E26" s="373">
        <v>0.92100000000000004</v>
      </c>
      <c r="F26" s="374"/>
      <c r="G26" s="51" t="s">
        <v>949</v>
      </c>
      <c r="H26" s="68">
        <v>3.0000000000000001E-3</v>
      </c>
      <c r="I26" s="423">
        <v>0.92249999999999999</v>
      </c>
      <c r="J26" s="423"/>
      <c r="K26" s="423">
        <v>0.92300000000000004</v>
      </c>
      <c r="L26" s="423"/>
      <c r="M26" s="423">
        <v>0.92200000000000004</v>
      </c>
      <c r="N26" s="423"/>
      <c r="O26" s="423">
        <v>0.92200000000000004</v>
      </c>
      <c r="P26" s="423"/>
      <c r="Q26" s="423">
        <v>0.92200000000000004</v>
      </c>
      <c r="R26" s="423"/>
      <c r="S26" s="423">
        <v>0.92200000000000004</v>
      </c>
      <c r="T26" s="423"/>
      <c r="U26" s="423">
        <v>0.92200000000000004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910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957</v>
      </c>
      <c r="B28" s="384"/>
      <c r="C28" s="386" t="s">
        <v>919</v>
      </c>
      <c r="D28" s="391" t="s">
        <v>920</v>
      </c>
      <c r="E28" s="373">
        <v>0.27300000000000002</v>
      </c>
      <c r="F28" s="374"/>
      <c r="G28" s="51" t="s">
        <v>949</v>
      </c>
      <c r="H28" s="68">
        <v>2E-3</v>
      </c>
      <c r="I28" s="423">
        <v>0.27239999999999998</v>
      </c>
      <c r="J28" s="423"/>
      <c r="K28" s="423">
        <v>0.27300000000000002</v>
      </c>
      <c r="L28" s="423"/>
      <c r="M28" s="423">
        <v>0.27279999999999999</v>
      </c>
      <c r="N28" s="423"/>
      <c r="O28" s="423">
        <v>0.2722</v>
      </c>
      <c r="P28" s="423"/>
      <c r="Q28" s="423">
        <v>0.27200000000000002</v>
      </c>
      <c r="R28" s="423"/>
      <c r="S28" s="423">
        <v>0.27260000000000001</v>
      </c>
      <c r="T28" s="423"/>
      <c r="U28" s="423">
        <v>0.27239999999999998</v>
      </c>
      <c r="V28" s="423"/>
      <c r="W28" s="423">
        <v>0.27210000000000001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958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959</v>
      </c>
      <c r="B30" s="384"/>
      <c r="C30" s="386" t="s">
        <v>916</v>
      </c>
      <c r="D30" s="391"/>
      <c r="E30" s="373">
        <v>1.2999999999999999E-2</v>
      </c>
      <c r="F30" s="374"/>
      <c r="G30" s="51" t="s">
        <v>949</v>
      </c>
      <c r="H30" s="68">
        <v>2E-3</v>
      </c>
      <c r="I30" s="423">
        <v>1.2500000000000001E-2</v>
      </c>
      <c r="J30" s="423"/>
      <c r="K30" s="423">
        <v>1.2500000000000001E-2</v>
      </c>
      <c r="L30" s="423"/>
      <c r="M30" s="423">
        <v>1.2500000000000001E-2</v>
      </c>
      <c r="N30" s="423"/>
      <c r="O30" s="423">
        <v>1.2999999999999999E-2</v>
      </c>
      <c r="P30" s="423"/>
      <c r="Q30" s="423">
        <v>1.2500000000000001E-2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917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960</v>
      </c>
      <c r="B32" s="384"/>
      <c r="C32" s="386" t="s">
        <v>961</v>
      </c>
      <c r="D32" s="217" t="s">
        <v>925</v>
      </c>
      <c r="E32" s="218"/>
      <c r="F32" s="218"/>
      <c r="G32" s="218"/>
      <c r="H32" s="219"/>
      <c r="I32" s="379" t="s">
        <v>927</v>
      </c>
      <c r="J32" s="379"/>
      <c r="K32" s="379" t="s">
        <v>962</v>
      </c>
      <c r="L32" s="379"/>
      <c r="M32" s="379" t="s">
        <v>962</v>
      </c>
      <c r="N32" s="379"/>
      <c r="O32" s="379" t="s">
        <v>926</v>
      </c>
      <c r="P32" s="379"/>
      <c r="Q32" s="379" t="s">
        <v>927</v>
      </c>
      <c r="R32" s="379"/>
      <c r="S32" s="379" t="s">
        <v>927</v>
      </c>
      <c r="T32" s="379"/>
      <c r="U32" s="379" t="s">
        <v>962</v>
      </c>
      <c r="V32" s="379"/>
      <c r="W32" s="379" t="s">
        <v>963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20" t="s">
        <v>928</v>
      </c>
      <c r="E33" s="221"/>
      <c r="F33" s="221"/>
      <c r="G33" s="221"/>
      <c r="H33" s="222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20"/>
      <c r="E35" s="221"/>
      <c r="F35" s="221"/>
      <c r="G35" s="221"/>
      <c r="H35" s="222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17"/>
      <c r="E36" s="218"/>
      <c r="F36" s="218"/>
      <c r="G36" s="218"/>
      <c r="H36" s="21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20"/>
      <c r="E37" s="221"/>
      <c r="F37" s="221"/>
      <c r="G37" s="221"/>
      <c r="H37" s="222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17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20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17"/>
      <c r="E40" s="214"/>
      <c r="F40" s="215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20"/>
      <c r="E41" s="216"/>
      <c r="F41" s="216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17"/>
      <c r="E42" s="214"/>
      <c r="F42" s="215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20"/>
      <c r="E43" s="216"/>
      <c r="F43" s="216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17"/>
      <c r="E44" s="218"/>
      <c r="F44" s="218"/>
      <c r="G44" s="218"/>
      <c r="H44" s="21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20"/>
      <c r="E45" s="221"/>
      <c r="F45" s="221"/>
      <c r="G45" s="221"/>
      <c r="H45" s="222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17"/>
      <c r="E48" s="218"/>
      <c r="F48" s="218"/>
      <c r="G48" s="218"/>
      <c r="H48" s="21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20"/>
      <c r="E49" s="221"/>
      <c r="F49" s="221"/>
      <c r="G49" s="221"/>
      <c r="H49" s="222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964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930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931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965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956</v>
      </c>
      <c r="R72" s="401"/>
      <c r="S72" s="409" t="s">
        <v>966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967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968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969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31" priority="5" operator="greaterThan">
      <formula>$AA$26</formula>
    </cfRule>
    <cfRule type="cellIs" dxfId="130" priority="6" operator="lessThan">
      <formula>$AA$27</formula>
    </cfRule>
  </conditionalFormatting>
  <conditionalFormatting sqref="I28:X29">
    <cfRule type="cellIs" dxfId="129" priority="3" operator="greaterThan">
      <formula>$AA$28</formula>
    </cfRule>
    <cfRule type="cellIs" dxfId="128" priority="4" operator="lessThan">
      <formula>$AA$29</formula>
    </cfRule>
  </conditionalFormatting>
  <conditionalFormatting sqref="I30:X31">
    <cfRule type="cellIs" dxfId="127" priority="1" operator="greaterThan">
      <formula>$AA$30</formula>
    </cfRule>
    <cfRule type="cellIs" dxfId="12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970</v>
      </c>
      <c r="B2" s="496"/>
      <c r="C2" s="465" t="s">
        <v>132</v>
      </c>
      <c r="D2" s="229" t="s">
        <v>2</v>
      </c>
      <c r="E2" s="43"/>
      <c r="F2" s="369" t="s">
        <v>89</v>
      </c>
      <c r="G2" s="369"/>
      <c r="H2" s="369"/>
      <c r="I2" s="369"/>
      <c r="J2" s="369"/>
      <c r="K2" s="370"/>
      <c r="L2" s="229" t="s">
        <v>4</v>
      </c>
      <c r="M2" s="369">
        <v>4</v>
      </c>
      <c r="N2" s="499"/>
      <c r="O2" s="229" t="s">
        <v>6</v>
      </c>
      <c r="P2" s="502" t="s">
        <v>971</v>
      </c>
      <c r="Q2" s="502"/>
      <c r="R2" s="502"/>
      <c r="S2" s="502"/>
      <c r="T2" s="502"/>
      <c r="U2" s="502"/>
      <c r="V2" s="503"/>
      <c r="W2" s="229" t="s">
        <v>34</v>
      </c>
      <c r="X2" s="32">
        <v>1</v>
      </c>
      <c r="Z2" s="34" t="s">
        <v>972</v>
      </c>
    </row>
    <row r="3" spans="1:26" ht="9.9499999999999993" customHeight="1" x14ac:dyDescent="0.25">
      <c r="A3" s="497" t="s">
        <v>1</v>
      </c>
      <c r="B3" s="498"/>
      <c r="C3" s="486"/>
      <c r="D3" s="230" t="s">
        <v>3</v>
      </c>
      <c r="E3" s="44"/>
      <c r="F3" s="371"/>
      <c r="G3" s="371"/>
      <c r="H3" s="371"/>
      <c r="I3" s="371"/>
      <c r="J3" s="371"/>
      <c r="K3" s="372"/>
      <c r="L3" s="230" t="s">
        <v>5</v>
      </c>
      <c r="M3" s="500"/>
      <c r="N3" s="501"/>
      <c r="O3" s="230" t="s">
        <v>7</v>
      </c>
      <c r="P3" s="504"/>
      <c r="Q3" s="504"/>
      <c r="R3" s="504"/>
      <c r="S3" s="504"/>
      <c r="T3" s="504"/>
      <c r="U3" s="504"/>
      <c r="V3" s="505"/>
      <c r="W3" s="230" t="s">
        <v>8</v>
      </c>
      <c r="X3" s="238">
        <v>1</v>
      </c>
      <c r="Z3" s="35"/>
    </row>
    <row r="4" spans="1:26" ht="14.25" customHeight="1" x14ac:dyDescent="0.25">
      <c r="A4" s="3" t="s">
        <v>136</v>
      </c>
      <c r="B4" s="4"/>
      <c r="C4" s="4"/>
      <c r="D4" s="48"/>
      <c r="E4" s="28" t="s">
        <v>137</v>
      </c>
      <c r="F4" s="5" t="s">
        <v>138</v>
      </c>
      <c r="G4" s="5"/>
      <c r="H4" s="5"/>
      <c r="I4" s="4"/>
      <c r="J4" s="4"/>
      <c r="K4" s="28" t="s">
        <v>973</v>
      </c>
      <c r="L4" s="5" t="s">
        <v>82</v>
      </c>
      <c r="M4" s="4"/>
      <c r="N4" s="4"/>
      <c r="O4" s="229" t="s">
        <v>9</v>
      </c>
      <c r="P4" s="6"/>
      <c r="Q4" s="442" t="s">
        <v>974</v>
      </c>
      <c r="R4" s="443"/>
      <c r="S4" s="443"/>
      <c r="T4" s="444"/>
      <c r="U4" s="229" t="s">
        <v>11</v>
      </c>
      <c r="V4" s="7"/>
      <c r="W4" s="369" t="s">
        <v>71</v>
      </c>
      <c r="X4" s="499"/>
      <c r="Z4" s="34" t="s">
        <v>975</v>
      </c>
    </row>
    <row r="5" spans="1:26" ht="9.9499999999999993" customHeight="1" x14ac:dyDescent="0.2">
      <c r="A5" s="26" t="s">
        <v>976</v>
      </c>
      <c r="B5" s="8"/>
      <c r="C5" s="8"/>
      <c r="D5" s="8"/>
      <c r="E5" s="8"/>
      <c r="F5" s="27" t="s">
        <v>977</v>
      </c>
      <c r="G5" s="27"/>
      <c r="H5" s="27"/>
      <c r="I5" s="8"/>
      <c r="J5" s="8"/>
      <c r="K5" s="8"/>
      <c r="L5" s="27" t="s">
        <v>87</v>
      </c>
      <c r="M5" s="8"/>
      <c r="N5" s="9"/>
      <c r="O5" s="26" t="s">
        <v>10</v>
      </c>
      <c r="P5" s="10"/>
      <c r="Q5" s="445"/>
      <c r="R5" s="445"/>
      <c r="S5" s="445"/>
      <c r="T5" s="446"/>
      <c r="U5" s="230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978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979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980</v>
      </c>
      <c r="B22" s="487"/>
      <c r="C22" s="488"/>
      <c r="D22" s="466" t="s">
        <v>981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982</v>
      </c>
      <c r="X22" s="492"/>
      <c r="Z22" s="65" t="s">
        <v>983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93</v>
      </c>
      <c r="X23" s="494"/>
      <c r="Z23" s="66" t="s">
        <v>984</v>
      </c>
    </row>
    <row r="24" spans="1:28" ht="14.25" customHeight="1" x14ac:dyDescent="0.25">
      <c r="A24" s="447" t="s">
        <v>985</v>
      </c>
      <c r="B24" s="473"/>
      <c r="C24" s="33" t="s">
        <v>16</v>
      </c>
      <c r="D24" s="476" t="s">
        <v>986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37" t="s">
        <v>98</v>
      </c>
      <c r="D25" s="479" t="s">
        <v>987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988</v>
      </c>
    </row>
    <row r="26" spans="1:28" s="19" customFormat="1" ht="9.9499999999999993" customHeight="1" x14ac:dyDescent="0.25">
      <c r="A26" s="384" t="s">
        <v>989</v>
      </c>
      <c r="B26" s="384"/>
      <c r="C26" s="386" t="s">
        <v>100</v>
      </c>
      <c r="D26" s="391" t="s">
        <v>990</v>
      </c>
      <c r="E26" s="373">
        <v>0.92100000000000004</v>
      </c>
      <c r="F26" s="374"/>
      <c r="G26" s="51" t="s">
        <v>991</v>
      </c>
      <c r="H26" s="68">
        <v>3.0000000000000001E-3</v>
      </c>
      <c r="I26" s="423">
        <v>0.92249999999999999</v>
      </c>
      <c r="J26" s="423"/>
      <c r="K26" s="423">
        <v>0.92300000000000004</v>
      </c>
      <c r="L26" s="423"/>
      <c r="M26" s="423">
        <v>0.92300000000000004</v>
      </c>
      <c r="N26" s="423"/>
      <c r="O26" s="423">
        <v>0.92249999999999999</v>
      </c>
      <c r="P26" s="423"/>
      <c r="Q26" s="423">
        <v>0.92349999999999999</v>
      </c>
      <c r="R26" s="423"/>
      <c r="S26" s="423">
        <v>0.92249999999999999</v>
      </c>
      <c r="T26" s="423"/>
      <c r="U26" s="423">
        <v>0.92249999999999999</v>
      </c>
      <c r="V26" s="423"/>
      <c r="W26" s="423">
        <v>0.92300000000000004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992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993</v>
      </c>
      <c r="B28" s="384"/>
      <c r="C28" s="386" t="s">
        <v>994</v>
      </c>
      <c r="D28" s="391" t="s">
        <v>995</v>
      </c>
      <c r="E28" s="373">
        <v>0.27300000000000002</v>
      </c>
      <c r="F28" s="374"/>
      <c r="G28" s="51" t="s">
        <v>991</v>
      </c>
      <c r="H28" s="68">
        <v>2E-3</v>
      </c>
      <c r="I28" s="423">
        <v>0.27300000000000002</v>
      </c>
      <c r="J28" s="423"/>
      <c r="K28" s="423">
        <v>0.27279999999999999</v>
      </c>
      <c r="L28" s="423"/>
      <c r="M28" s="423">
        <v>0.27200000000000002</v>
      </c>
      <c r="N28" s="423"/>
      <c r="O28" s="423">
        <v>0.27239999999999998</v>
      </c>
      <c r="P28" s="423"/>
      <c r="Q28" s="423">
        <v>0.27210000000000001</v>
      </c>
      <c r="R28" s="423"/>
      <c r="S28" s="423">
        <v>0.2727</v>
      </c>
      <c r="T28" s="423"/>
      <c r="U28" s="423">
        <v>0.27300000000000002</v>
      </c>
      <c r="V28" s="423"/>
      <c r="W28" s="423">
        <v>0.27250000000000002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984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105</v>
      </c>
      <c r="B30" s="384"/>
      <c r="C30" s="386" t="s">
        <v>996</v>
      </c>
      <c r="D30" s="391"/>
      <c r="E30" s="373">
        <v>1.2999999999999999E-2</v>
      </c>
      <c r="F30" s="374"/>
      <c r="G30" s="51" t="s">
        <v>997</v>
      </c>
      <c r="H30" s="68">
        <v>2E-3</v>
      </c>
      <c r="I30" s="423">
        <v>1.2999999999999999E-2</v>
      </c>
      <c r="J30" s="423"/>
      <c r="K30" s="423">
        <v>1.2999999999999999E-2</v>
      </c>
      <c r="L30" s="423"/>
      <c r="M30" s="423">
        <v>1.35E-2</v>
      </c>
      <c r="N30" s="423"/>
      <c r="O30" s="423">
        <v>1.2999999999999999E-2</v>
      </c>
      <c r="P30" s="423"/>
      <c r="Q30" s="423">
        <v>1.4E-2</v>
      </c>
      <c r="R30" s="423"/>
      <c r="S30" s="423">
        <v>1.2E-2</v>
      </c>
      <c r="T30" s="423"/>
      <c r="U30" s="423">
        <v>1.35E-2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992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998</v>
      </c>
      <c r="B32" s="384"/>
      <c r="C32" s="386" t="s">
        <v>999</v>
      </c>
      <c r="D32" s="231" t="s">
        <v>1000</v>
      </c>
      <c r="E32" s="232"/>
      <c r="F32" s="232"/>
      <c r="G32" s="232"/>
      <c r="H32" s="233"/>
      <c r="I32" s="379" t="s">
        <v>1001</v>
      </c>
      <c r="J32" s="379"/>
      <c r="K32" s="379" t="s">
        <v>1001</v>
      </c>
      <c r="L32" s="379"/>
      <c r="M32" s="379" t="s">
        <v>1001</v>
      </c>
      <c r="N32" s="379"/>
      <c r="O32" s="379" t="s">
        <v>1001</v>
      </c>
      <c r="P32" s="379"/>
      <c r="Q32" s="379" t="s">
        <v>1002</v>
      </c>
      <c r="R32" s="379"/>
      <c r="S32" s="379" t="s">
        <v>1001</v>
      </c>
      <c r="T32" s="379"/>
      <c r="U32" s="379" t="s">
        <v>1001</v>
      </c>
      <c r="V32" s="379"/>
      <c r="W32" s="379" t="s">
        <v>1001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34" t="s">
        <v>1003</v>
      </c>
      <c r="E33" s="235"/>
      <c r="F33" s="235"/>
      <c r="G33" s="235"/>
      <c r="H33" s="236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34"/>
      <c r="E35" s="235"/>
      <c r="F35" s="235"/>
      <c r="G35" s="235"/>
      <c r="H35" s="236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31"/>
      <c r="E36" s="232"/>
      <c r="F36" s="232"/>
      <c r="G36" s="232"/>
      <c r="H36" s="233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34"/>
      <c r="E37" s="235"/>
      <c r="F37" s="235"/>
      <c r="G37" s="235"/>
      <c r="H37" s="236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31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34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31"/>
      <c r="E40" s="226"/>
      <c r="F40" s="227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34"/>
      <c r="E41" s="228"/>
      <c r="F41" s="228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31"/>
      <c r="E42" s="226"/>
      <c r="F42" s="227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34"/>
      <c r="E43" s="228"/>
      <c r="F43" s="228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31"/>
      <c r="E44" s="232"/>
      <c r="F44" s="232"/>
      <c r="G44" s="232"/>
      <c r="H44" s="233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34"/>
      <c r="E45" s="235"/>
      <c r="F45" s="235"/>
      <c r="G45" s="235"/>
      <c r="H45" s="236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31"/>
      <c r="E48" s="232"/>
      <c r="F48" s="232"/>
      <c r="G48" s="232"/>
      <c r="H48" s="233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34"/>
      <c r="E49" s="235"/>
      <c r="F49" s="235"/>
      <c r="G49" s="235"/>
      <c r="H49" s="236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1004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1005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1006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1007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1008</v>
      </c>
      <c r="R72" s="401"/>
      <c r="S72" s="409" t="s">
        <v>1009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1010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1011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1012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9">
    <cfRule type="cellIs" dxfId="123" priority="3" operator="greaterThan">
      <formula>$AA$28</formula>
    </cfRule>
    <cfRule type="cellIs" dxfId="122" priority="4" operator="lessThan">
      <formula>$AA$29</formula>
    </cfRule>
  </conditionalFormatting>
  <conditionalFormatting sqref="I30:X31">
    <cfRule type="cellIs" dxfId="121" priority="1" operator="greaterThan">
      <formula>$AA$30</formula>
    </cfRule>
    <cfRule type="cellIs" dxfId="12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1017</v>
      </c>
      <c r="B2" s="496"/>
      <c r="C2" s="465" t="s">
        <v>1018</v>
      </c>
      <c r="D2" s="229" t="s">
        <v>2</v>
      </c>
      <c r="E2" s="43"/>
      <c r="F2" s="369" t="s">
        <v>89</v>
      </c>
      <c r="G2" s="369"/>
      <c r="H2" s="369"/>
      <c r="I2" s="369"/>
      <c r="J2" s="369"/>
      <c r="K2" s="370"/>
      <c r="L2" s="229" t="s">
        <v>4</v>
      </c>
      <c r="M2" s="369">
        <v>4</v>
      </c>
      <c r="N2" s="499"/>
      <c r="O2" s="229" t="s">
        <v>6</v>
      </c>
      <c r="P2" s="502" t="s">
        <v>971</v>
      </c>
      <c r="Q2" s="502"/>
      <c r="R2" s="502"/>
      <c r="S2" s="502"/>
      <c r="T2" s="502"/>
      <c r="U2" s="502"/>
      <c r="V2" s="503"/>
      <c r="W2" s="229" t="s">
        <v>34</v>
      </c>
      <c r="X2" s="32">
        <v>1</v>
      </c>
      <c r="Z2" s="34" t="s">
        <v>1019</v>
      </c>
    </row>
    <row r="3" spans="1:26" ht="9.9499999999999993" customHeight="1" x14ac:dyDescent="0.25">
      <c r="A3" s="497" t="s">
        <v>1</v>
      </c>
      <c r="B3" s="498"/>
      <c r="C3" s="486"/>
      <c r="D3" s="230" t="s">
        <v>3</v>
      </c>
      <c r="E3" s="44"/>
      <c r="F3" s="371"/>
      <c r="G3" s="371"/>
      <c r="H3" s="371"/>
      <c r="I3" s="371"/>
      <c r="J3" s="371"/>
      <c r="K3" s="372"/>
      <c r="L3" s="230" t="s">
        <v>5</v>
      </c>
      <c r="M3" s="500"/>
      <c r="N3" s="501"/>
      <c r="O3" s="230" t="s">
        <v>7</v>
      </c>
      <c r="P3" s="504"/>
      <c r="Q3" s="504"/>
      <c r="R3" s="504"/>
      <c r="S3" s="504"/>
      <c r="T3" s="504"/>
      <c r="U3" s="504"/>
      <c r="V3" s="505"/>
      <c r="W3" s="230" t="s">
        <v>8</v>
      </c>
      <c r="X3" s="238">
        <v>1</v>
      </c>
      <c r="Z3" s="35"/>
    </row>
    <row r="4" spans="1:26" ht="14.25" customHeight="1" x14ac:dyDescent="0.25">
      <c r="A4" s="3" t="s">
        <v>136</v>
      </c>
      <c r="B4" s="4"/>
      <c r="C4" s="4"/>
      <c r="D4" s="48"/>
      <c r="E4" s="28" t="s">
        <v>1020</v>
      </c>
      <c r="F4" s="5" t="s">
        <v>138</v>
      </c>
      <c r="G4" s="5"/>
      <c r="H4" s="5"/>
      <c r="I4" s="4"/>
      <c r="J4" s="4"/>
      <c r="K4" s="28" t="s">
        <v>973</v>
      </c>
      <c r="L4" s="5" t="s">
        <v>1021</v>
      </c>
      <c r="M4" s="4"/>
      <c r="N4" s="4"/>
      <c r="O4" s="229" t="s">
        <v>9</v>
      </c>
      <c r="P4" s="6"/>
      <c r="Q4" s="442" t="s">
        <v>1022</v>
      </c>
      <c r="R4" s="443"/>
      <c r="S4" s="443"/>
      <c r="T4" s="444"/>
      <c r="U4" s="229" t="s">
        <v>11</v>
      </c>
      <c r="V4" s="7"/>
      <c r="W4" s="369" t="s">
        <v>71</v>
      </c>
      <c r="X4" s="499"/>
      <c r="Z4" s="34" t="s">
        <v>1023</v>
      </c>
    </row>
    <row r="5" spans="1:26" ht="9.9499999999999993" customHeight="1" x14ac:dyDescent="0.2">
      <c r="A5" s="26" t="s">
        <v>1024</v>
      </c>
      <c r="B5" s="8"/>
      <c r="C5" s="8"/>
      <c r="D5" s="8"/>
      <c r="E5" s="8"/>
      <c r="F5" s="27" t="s">
        <v>1025</v>
      </c>
      <c r="G5" s="27"/>
      <c r="H5" s="27"/>
      <c r="I5" s="8"/>
      <c r="J5" s="8"/>
      <c r="K5" s="8"/>
      <c r="L5" s="27" t="s">
        <v>1026</v>
      </c>
      <c r="M5" s="8"/>
      <c r="N5" s="9"/>
      <c r="O5" s="26" t="s">
        <v>10</v>
      </c>
      <c r="P5" s="10"/>
      <c r="Q5" s="445"/>
      <c r="R5" s="445"/>
      <c r="S5" s="445"/>
      <c r="T5" s="446"/>
      <c r="U5" s="230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978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89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1027</v>
      </c>
      <c r="B22" s="487"/>
      <c r="C22" s="488"/>
      <c r="D22" s="466" t="s">
        <v>1028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1029</v>
      </c>
      <c r="X22" s="492"/>
      <c r="Z22" s="65" t="s">
        <v>102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1030</v>
      </c>
      <c r="X23" s="494"/>
      <c r="Z23" s="66" t="s">
        <v>1031</v>
      </c>
    </row>
    <row r="24" spans="1:28" ht="14.25" customHeight="1" x14ac:dyDescent="0.25">
      <c r="A24" s="447" t="s">
        <v>1032</v>
      </c>
      <c r="B24" s="473"/>
      <c r="C24" s="33" t="s">
        <v>16</v>
      </c>
      <c r="D24" s="476" t="s">
        <v>1033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37" t="s">
        <v>1013</v>
      </c>
      <c r="D25" s="479" t="s">
        <v>99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1034</v>
      </c>
    </row>
    <row r="26" spans="1:28" s="19" customFormat="1" ht="9.9499999999999993" customHeight="1" x14ac:dyDescent="0.25">
      <c r="A26" s="384" t="s">
        <v>1035</v>
      </c>
      <c r="B26" s="384"/>
      <c r="C26" s="386" t="s">
        <v>1008</v>
      </c>
      <c r="D26" s="391" t="s">
        <v>995</v>
      </c>
      <c r="E26" s="373">
        <v>0.92100000000000004</v>
      </c>
      <c r="F26" s="374"/>
      <c r="G26" s="51" t="s">
        <v>1036</v>
      </c>
      <c r="H26" s="68">
        <v>3.0000000000000001E-3</v>
      </c>
      <c r="I26" s="423">
        <v>0.92300000000000004</v>
      </c>
      <c r="J26" s="423"/>
      <c r="K26" s="423">
        <v>0.92300000000000004</v>
      </c>
      <c r="L26" s="423"/>
      <c r="M26" s="423">
        <v>0.92249999999999999</v>
      </c>
      <c r="N26" s="423"/>
      <c r="O26" s="423">
        <v>0.92249999999999999</v>
      </c>
      <c r="P26" s="423"/>
      <c r="Q26" s="423">
        <v>0.92200000000000004</v>
      </c>
      <c r="R26" s="423"/>
      <c r="S26" s="423">
        <v>0.92200000000000004</v>
      </c>
      <c r="T26" s="423"/>
      <c r="U26" s="423">
        <v>0.92249999999999999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992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1037</v>
      </c>
      <c r="B28" s="384"/>
      <c r="C28" s="386" t="s">
        <v>121</v>
      </c>
      <c r="D28" s="391" t="s">
        <v>995</v>
      </c>
      <c r="E28" s="373">
        <v>0.27300000000000002</v>
      </c>
      <c r="F28" s="374"/>
      <c r="G28" s="51" t="s">
        <v>1036</v>
      </c>
      <c r="H28" s="68">
        <v>2E-3</v>
      </c>
      <c r="I28" s="423">
        <v>0.27279999999999999</v>
      </c>
      <c r="J28" s="423"/>
      <c r="K28" s="423">
        <v>0.27300000000000002</v>
      </c>
      <c r="L28" s="423"/>
      <c r="M28" s="423">
        <v>0.27260000000000001</v>
      </c>
      <c r="N28" s="423"/>
      <c r="O28" s="423">
        <v>0.27279999999999999</v>
      </c>
      <c r="P28" s="423"/>
      <c r="Q28" s="423">
        <v>0.27239999999999998</v>
      </c>
      <c r="R28" s="423"/>
      <c r="S28" s="423">
        <v>0.27260000000000001</v>
      </c>
      <c r="T28" s="423"/>
      <c r="U28" s="423">
        <v>0.2722</v>
      </c>
      <c r="V28" s="423"/>
      <c r="W28" s="423">
        <v>0.27279999999999999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992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1038</v>
      </c>
      <c r="B30" s="384"/>
      <c r="C30" s="386" t="s">
        <v>1039</v>
      </c>
      <c r="D30" s="391"/>
      <c r="E30" s="373">
        <v>1.2999999999999999E-2</v>
      </c>
      <c r="F30" s="374"/>
      <c r="G30" s="51" t="s">
        <v>1036</v>
      </c>
      <c r="H30" s="68">
        <v>2E-3</v>
      </c>
      <c r="I30" s="423">
        <v>1.2999999999999999E-2</v>
      </c>
      <c r="J30" s="423"/>
      <c r="K30" s="423">
        <v>1.2999999999999999E-2</v>
      </c>
      <c r="L30" s="423"/>
      <c r="M30" s="423">
        <v>1.35E-2</v>
      </c>
      <c r="N30" s="423"/>
      <c r="O30" s="423">
        <v>1.2999999999999999E-2</v>
      </c>
      <c r="P30" s="423"/>
      <c r="Q30" s="423">
        <v>1.2500000000000001E-2</v>
      </c>
      <c r="R30" s="423"/>
      <c r="S30" s="423">
        <v>1.2999999999999999E-2</v>
      </c>
      <c r="T30" s="423"/>
      <c r="U30" s="423">
        <v>1.35E-2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1031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1040</v>
      </c>
      <c r="B32" s="384"/>
      <c r="C32" s="386" t="s">
        <v>1041</v>
      </c>
      <c r="D32" s="231" t="s">
        <v>1000</v>
      </c>
      <c r="E32" s="232"/>
      <c r="F32" s="232"/>
      <c r="G32" s="232"/>
      <c r="H32" s="233"/>
      <c r="I32" s="379" t="s">
        <v>1042</v>
      </c>
      <c r="J32" s="379"/>
      <c r="K32" s="379" t="s">
        <v>1042</v>
      </c>
      <c r="L32" s="379"/>
      <c r="M32" s="379" t="s">
        <v>1042</v>
      </c>
      <c r="N32" s="379"/>
      <c r="O32" s="379" t="s">
        <v>1042</v>
      </c>
      <c r="P32" s="379"/>
      <c r="Q32" s="379" t="s">
        <v>1043</v>
      </c>
      <c r="R32" s="379"/>
      <c r="S32" s="379" t="s">
        <v>1001</v>
      </c>
      <c r="T32" s="379"/>
      <c r="U32" s="379" t="s">
        <v>1001</v>
      </c>
      <c r="V32" s="379"/>
      <c r="W32" s="379" t="s">
        <v>1042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34" t="s">
        <v>112</v>
      </c>
      <c r="E33" s="235"/>
      <c r="F33" s="235"/>
      <c r="G33" s="235"/>
      <c r="H33" s="236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34"/>
      <c r="E35" s="235"/>
      <c r="F35" s="235"/>
      <c r="G35" s="235"/>
      <c r="H35" s="236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31"/>
      <c r="E36" s="232"/>
      <c r="F36" s="232"/>
      <c r="G36" s="232"/>
      <c r="H36" s="233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34"/>
      <c r="E37" s="235"/>
      <c r="F37" s="235"/>
      <c r="G37" s="235"/>
      <c r="H37" s="236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31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34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31"/>
      <c r="E40" s="226"/>
      <c r="F40" s="227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34"/>
      <c r="E41" s="228"/>
      <c r="F41" s="228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31"/>
      <c r="E42" s="226"/>
      <c r="F42" s="227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34"/>
      <c r="E43" s="228"/>
      <c r="F43" s="228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31"/>
      <c r="E44" s="232"/>
      <c r="F44" s="232"/>
      <c r="G44" s="232"/>
      <c r="H44" s="233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34"/>
      <c r="E45" s="235"/>
      <c r="F45" s="235"/>
      <c r="G45" s="235"/>
      <c r="H45" s="236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31"/>
      <c r="E48" s="232"/>
      <c r="F48" s="232"/>
      <c r="G48" s="232"/>
      <c r="H48" s="233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34"/>
      <c r="E49" s="235"/>
      <c r="F49" s="235"/>
      <c r="G49" s="235"/>
      <c r="H49" s="236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1004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1005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1006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1007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1008</v>
      </c>
      <c r="R72" s="401"/>
      <c r="S72" s="409" t="s">
        <v>1044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1014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1015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1016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9" priority="5" operator="greaterThan">
      <formula>$AA$26</formula>
    </cfRule>
    <cfRule type="cellIs" dxfId="118" priority="6" operator="lessThan">
      <formula>$AA$27</formula>
    </cfRule>
  </conditionalFormatting>
  <conditionalFormatting sqref="I28:X29">
    <cfRule type="cellIs" dxfId="117" priority="3" operator="greaterThan">
      <formula>$AA$28</formula>
    </cfRule>
    <cfRule type="cellIs" dxfId="116" priority="4" operator="lessThan">
      <formula>$AA$29</formula>
    </cfRule>
  </conditionalFormatting>
  <conditionalFormatting sqref="I30:X31">
    <cfRule type="cellIs" dxfId="115" priority="1" operator="greaterThan">
      <formula>$AA$30</formula>
    </cfRule>
    <cfRule type="cellIs" dxfId="11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30</v>
      </c>
      <c r="B2" s="496"/>
      <c r="C2" s="465" t="s">
        <v>53</v>
      </c>
      <c r="D2" s="250" t="s">
        <v>2</v>
      </c>
      <c r="E2" s="43"/>
      <c r="F2" s="369" t="s">
        <v>55</v>
      </c>
      <c r="G2" s="369"/>
      <c r="H2" s="369"/>
      <c r="I2" s="369"/>
      <c r="J2" s="369"/>
      <c r="K2" s="370"/>
      <c r="L2" s="250" t="s">
        <v>4</v>
      </c>
      <c r="M2" s="369">
        <v>4</v>
      </c>
      <c r="N2" s="499"/>
      <c r="O2" s="250" t="s">
        <v>6</v>
      </c>
      <c r="P2" s="502" t="s">
        <v>54</v>
      </c>
      <c r="Q2" s="502"/>
      <c r="R2" s="502"/>
      <c r="S2" s="502"/>
      <c r="T2" s="502"/>
      <c r="U2" s="502"/>
      <c r="V2" s="503"/>
      <c r="W2" s="250" t="s">
        <v>34</v>
      </c>
      <c r="X2" s="32">
        <v>1</v>
      </c>
      <c r="Z2" s="34" t="s">
        <v>48</v>
      </c>
    </row>
    <row r="3" spans="1:26" ht="9.9499999999999993" customHeight="1" x14ac:dyDescent="0.25">
      <c r="A3" s="497" t="s">
        <v>1</v>
      </c>
      <c r="B3" s="498"/>
      <c r="C3" s="486"/>
      <c r="D3" s="251" t="s">
        <v>3</v>
      </c>
      <c r="E3" s="44"/>
      <c r="F3" s="371"/>
      <c r="G3" s="371"/>
      <c r="H3" s="371"/>
      <c r="I3" s="371"/>
      <c r="J3" s="371"/>
      <c r="K3" s="372"/>
      <c r="L3" s="251" t="s">
        <v>5</v>
      </c>
      <c r="M3" s="500"/>
      <c r="N3" s="501"/>
      <c r="O3" s="251" t="s">
        <v>7</v>
      </c>
      <c r="P3" s="504"/>
      <c r="Q3" s="504"/>
      <c r="R3" s="504"/>
      <c r="S3" s="504"/>
      <c r="T3" s="504"/>
      <c r="U3" s="504"/>
      <c r="V3" s="505"/>
      <c r="W3" s="251" t="s">
        <v>8</v>
      </c>
      <c r="X3" s="239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1045</v>
      </c>
      <c r="F4" s="5" t="s">
        <v>1046</v>
      </c>
      <c r="G4" s="5"/>
      <c r="H4" s="5"/>
      <c r="I4" s="4"/>
      <c r="J4" s="4"/>
      <c r="K4" s="28" t="s">
        <v>1047</v>
      </c>
      <c r="L4" s="5" t="s">
        <v>1048</v>
      </c>
      <c r="M4" s="4"/>
      <c r="N4" s="4"/>
      <c r="O4" s="250" t="s">
        <v>9</v>
      </c>
      <c r="P4" s="6"/>
      <c r="Q4" s="442" t="s">
        <v>1049</v>
      </c>
      <c r="R4" s="443"/>
      <c r="S4" s="443"/>
      <c r="T4" s="444"/>
      <c r="U4" s="250" t="s">
        <v>11</v>
      </c>
      <c r="V4" s="7"/>
      <c r="W4" s="369" t="s">
        <v>71</v>
      </c>
      <c r="X4" s="499"/>
      <c r="Z4" s="34" t="s">
        <v>1050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1051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45"/>
      <c r="R5" s="445"/>
      <c r="S5" s="445"/>
      <c r="T5" s="446"/>
      <c r="U5" s="251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36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55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35</v>
      </c>
      <c r="B22" s="487"/>
      <c r="C22" s="488"/>
      <c r="D22" s="466" t="s">
        <v>40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1052</v>
      </c>
      <c r="X22" s="492"/>
      <c r="Z22" s="65" t="s">
        <v>1053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1054</v>
      </c>
      <c r="X23" s="494"/>
      <c r="Z23" s="66" t="s">
        <v>1055</v>
      </c>
    </row>
    <row r="24" spans="1:28" ht="14.25" customHeight="1" x14ac:dyDescent="0.25">
      <c r="A24" s="447" t="s">
        <v>1056</v>
      </c>
      <c r="B24" s="473"/>
      <c r="C24" s="33" t="s">
        <v>16</v>
      </c>
      <c r="D24" s="476" t="s">
        <v>38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49" t="s">
        <v>46</v>
      </c>
      <c r="D25" s="479" t="s">
        <v>1057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1058</v>
      </c>
    </row>
    <row r="26" spans="1:28" s="19" customFormat="1" ht="9.9499999999999993" customHeight="1" x14ac:dyDescent="0.25">
      <c r="A26" s="384" t="s">
        <v>56</v>
      </c>
      <c r="B26" s="384"/>
      <c r="C26" s="386" t="s">
        <v>57</v>
      </c>
      <c r="D26" s="391" t="s">
        <v>1059</v>
      </c>
      <c r="E26" s="373">
        <v>0.92100000000000004</v>
      </c>
      <c r="F26" s="374"/>
      <c r="G26" s="51" t="s">
        <v>1053</v>
      </c>
      <c r="H26" s="68">
        <v>3.0000000000000001E-3</v>
      </c>
      <c r="I26" s="423">
        <v>0.92200000000000004</v>
      </c>
      <c r="J26" s="423"/>
      <c r="K26" s="423">
        <v>0.92200000000000004</v>
      </c>
      <c r="L26" s="423"/>
      <c r="M26" s="423">
        <v>0.92200000000000004</v>
      </c>
      <c r="N26" s="423"/>
      <c r="O26" s="423">
        <v>0.92249999999999999</v>
      </c>
      <c r="P26" s="423"/>
      <c r="Q26" s="423">
        <v>0.92249999999999999</v>
      </c>
      <c r="R26" s="423"/>
      <c r="S26" s="423">
        <v>0.92249999999999999</v>
      </c>
      <c r="T26" s="423"/>
      <c r="U26" s="423">
        <v>0.92249999999999999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51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1060</v>
      </c>
      <c r="B28" s="384"/>
      <c r="C28" s="386" t="s">
        <v>59</v>
      </c>
      <c r="D28" s="391" t="s">
        <v>1058</v>
      </c>
      <c r="E28" s="373">
        <v>0.27300000000000002</v>
      </c>
      <c r="F28" s="374"/>
      <c r="G28" s="51" t="s">
        <v>1061</v>
      </c>
      <c r="H28" s="68">
        <v>2E-3</v>
      </c>
      <c r="I28" s="423">
        <v>0.27260000000000001</v>
      </c>
      <c r="J28" s="423"/>
      <c r="K28" s="423">
        <v>0.27279999999999999</v>
      </c>
      <c r="L28" s="423"/>
      <c r="M28" s="423">
        <v>0.27239999999999998</v>
      </c>
      <c r="N28" s="423"/>
      <c r="O28" s="423">
        <v>0.27260000000000001</v>
      </c>
      <c r="P28" s="423"/>
      <c r="Q28" s="423">
        <v>0.27210000000000001</v>
      </c>
      <c r="R28" s="423"/>
      <c r="S28" s="423">
        <v>0.27260000000000001</v>
      </c>
      <c r="T28" s="423"/>
      <c r="U28" s="423">
        <v>0.27300000000000002</v>
      </c>
      <c r="V28" s="423"/>
      <c r="W28" s="423">
        <v>0.27210000000000001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51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60</v>
      </c>
      <c r="B30" s="384"/>
      <c r="C30" s="386" t="s">
        <v>1062</v>
      </c>
      <c r="D30" s="391"/>
      <c r="E30" s="373">
        <v>1.2999999999999999E-2</v>
      </c>
      <c r="F30" s="374"/>
      <c r="G30" s="51" t="s">
        <v>50</v>
      </c>
      <c r="H30" s="68">
        <v>2E-3</v>
      </c>
      <c r="I30" s="423">
        <v>1.2999999999999999E-2</v>
      </c>
      <c r="J30" s="423"/>
      <c r="K30" s="423">
        <v>1.2999999999999999E-2</v>
      </c>
      <c r="L30" s="423"/>
      <c r="M30" s="423">
        <v>1.2999999999999999E-2</v>
      </c>
      <c r="N30" s="423"/>
      <c r="O30" s="423">
        <v>1.2999999999999999E-2</v>
      </c>
      <c r="P30" s="423"/>
      <c r="Q30" s="423">
        <v>1.2999999999999999E-2</v>
      </c>
      <c r="R30" s="423"/>
      <c r="S30" s="423">
        <v>1.2999999999999999E-2</v>
      </c>
      <c r="T30" s="423"/>
      <c r="U30" s="423">
        <v>1.35E-2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51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1063</v>
      </c>
      <c r="B32" s="384"/>
      <c r="C32" s="386" t="s">
        <v>62</v>
      </c>
      <c r="D32" s="243" t="s">
        <v>63</v>
      </c>
      <c r="E32" s="244"/>
      <c r="F32" s="244"/>
      <c r="G32" s="244"/>
      <c r="H32" s="245"/>
      <c r="I32" s="379" t="s">
        <v>1064</v>
      </c>
      <c r="J32" s="379"/>
      <c r="K32" s="379" t="s">
        <v>1065</v>
      </c>
      <c r="L32" s="379"/>
      <c r="M32" s="379" t="s">
        <v>1065</v>
      </c>
      <c r="N32" s="379"/>
      <c r="O32" s="379" t="s">
        <v>1064</v>
      </c>
      <c r="P32" s="379"/>
      <c r="Q32" s="379" t="s">
        <v>73</v>
      </c>
      <c r="R32" s="379"/>
      <c r="S32" s="379" t="s">
        <v>1065</v>
      </c>
      <c r="T32" s="379"/>
      <c r="U32" s="379" t="s">
        <v>1065</v>
      </c>
      <c r="V32" s="379"/>
      <c r="W32" s="379" t="s">
        <v>1065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46" t="s">
        <v>1066</v>
      </c>
      <c r="E33" s="247"/>
      <c r="F33" s="247"/>
      <c r="G33" s="247"/>
      <c r="H33" s="248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46"/>
      <c r="E35" s="247"/>
      <c r="F35" s="247"/>
      <c r="G35" s="247"/>
      <c r="H35" s="248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43"/>
      <c r="E36" s="244"/>
      <c r="F36" s="244"/>
      <c r="G36" s="244"/>
      <c r="H36" s="245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46"/>
      <c r="E37" s="247"/>
      <c r="F37" s="247"/>
      <c r="G37" s="247"/>
      <c r="H37" s="248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43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46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43"/>
      <c r="E40" s="240"/>
      <c r="F40" s="241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46"/>
      <c r="E41" s="242"/>
      <c r="F41" s="242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43"/>
      <c r="E42" s="240"/>
      <c r="F42" s="241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46"/>
      <c r="E43" s="242"/>
      <c r="F43" s="242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43"/>
      <c r="E44" s="244"/>
      <c r="F44" s="244"/>
      <c r="G44" s="244"/>
      <c r="H44" s="245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46"/>
      <c r="E45" s="247"/>
      <c r="F45" s="247"/>
      <c r="G45" s="247"/>
      <c r="H45" s="248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43"/>
      <c r="E48" s="244"/>
      <c r="F48" s="244"/>
      <c r="G48" s="244"/>
      <c r="H48" s="245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46"/>
      <c r="E49" s="247"/>
      <c r="F49" s="247"/>
      <c r="G49" s="247"/>
      <c r="H49" s="248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1067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43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57</v>
      </c>
      <c r="R72" s="401"/>
      <c r="S72" s="409" t="s">
        <v>1068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47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1069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13" priority="5" operator="greaterThan">
      <formula>$AA$26</formula>
    </cfRule>
    <cfRule type="cellIs" dxfId="112" priority="6" operator="lessThan">
      <formula>$AA$27</formula>
    </cfRule>
  </conditionalFormatting>
  <conditionalFormatting sqref="I28:X29">
    <cfRule type="cellIs" dxfId="111" priority="3" operator="greaterThan">
      <formula>$AA$28</formula>
    </cfRule>
    <cfRule type="cellIs" dxfId="110" priority="4" operator="lessThan">
      <formula>$AA$29</formula>
    </cfRule>
  </conditionalFormatting>
  <conditionalFormatting sqref="I30:X31">
    <cfRule type="cellIs" dxfId="109" priority="1" operator="greaterThan">
      <formula>$AA$30</formula>
    </cfRule>
    <cfRule type="cellIs" dxfId="10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30</v>
      </c>
      <c r="B2" s="496"/>
      <c r="C2" s="465" t="s">
        <v>53</v>
      </c>
      <c r="D2" s="250" t="s">
        <v>2</v>
      </c>
      <c r="E2" s="43"/>
      <c r="F2" s="369" t="s">
        <v>1070</v>
      </c>
      <c r="G2" s="369"/>
      <c r="H2" s="369"/>
      <c r="I2" s="369"/>
      <c r="J2" s="369"/>
      <c r="K2" s="370"/>
      <c r="L2" s="250" t="s">
        <v>4</v>
      </c>
      <c r="M2" s="369">
        <v>4</v>
      </c>
      <c r="N2" s="499"/>
      <c r="O2" s="250" t="s">
        <v>6</v>
      </c>
      <c r="P2" s="502" t="s">
        <v>1071</v>
      </c>
      <c r="Q2" s="502"/>
      <c r="R2" s="502"/>
      <c r="S2" s="502"/>
      <c r="T2" s="502"/>
      <c r="U2" s="502"/>
      <c r="V2" s="503"/>
      <c r="W2" s="250" t="s">
        <v>34</v>
      </c>
      <c r="X2" s="32">
        <v>1</v>
      </c>
      <c r="Z2" s="34" t="s">
        <v>48</v>
      </c>
    </row>
    <row r="3" spans="1:26" ht="9.9499999999999993" customHeight="1" x14ac:dyDescent="0.25">
      <c r="A3" s="497" t="s">
        <v>1</v>
      </c>
      <c r="B3" s="498"/>
      <c r="C3" s="486"/>
      <c r="D3" s="251" t="s">
        <v>3</v>
      </c>
      <c r="E3" s="44"/>
      <c r="F3" s="371"/>
      <c r="G3" s="371"/>
      <c r="H3" s="371"/>
      <c r="I3" s="371"/>
      <c r="J3" s="371"/>
      <c r="K3" s="372"/>
      <c r="L3" s="251" t="s">
        <v>5</v>
      </c>
      <c r="M3" s="500"/>
      <c r="N3" s="501"/>
      <c r="O3" s="251" t="s">
        <v>7</v>
      </c>
      <c r="P3" s="504"/>
      <c r="Q3" s="504"/>
      <c r="R3" s="504"/>
      <c r="S3" s="504"/>
      <c r="T3" s="504"/>
      <c r="U3" s="504"/>
      <c r="V3" s="505"/>
      <c r="W3" s="251" t="s">
        <v>8</v>
      </c>
      <c r="X3" s="239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114</v>
      </c>
      <c r="L4" s="5" t="s">
        <v>33</v>
      </c>
      <c r="M4" s="4"/>
      <c r="N4" s="4"/>
      <c r="O4" s="250" t="s">
        <v>9</v>
      </c>
      <c r="P4" s="6"/>
      <c r="Q4" s="442" t="s">
        <v>1072</v>
      </c>
      <c r="R4" s="443"/>
      <c r="S4" s="443"/>
      <c r="T4" s="444"/>
      <c r="U4" s="250" t="s">
        <v>11</v>
      </c>
      <c r="V4" s="7"/>
      <c r="W4" s="369" t="s">
        <v>71</v>
      </c>
      <c r="X4" s="499"/>
      <c r="Z4" s="34" t="s">
        <v>1073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1074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45"/>
      <c r="R5" s="445"/>
      <c r="S5" s="445"/>
      <c r="T5" s="446"/>
      <c r="U5" s="251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1075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55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35</v>
      </c>
      <c r="B22" s="487"/>
      <c r="C22" s="488"/>
      <c r="D22" s="466" t="s">
        <v>1076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37</v>
      </c>
      <c r="X22" s="492"/>
      <c r="Z22" s="65" t="s">
        <v>50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1077</v>
      </c>
      <c r="X23" s="494"/>
      <c r="Z23" s="66" t="s">
        <v>51</v>
      </c>
    </row>
    <row r="24" spans="1:28" ht="14.25" customHeight="1" x14ac:dyDescent="0.25">
      <c r="A24" s="447" t="s">
        <v>29</v>
      </c>
      <c r="B24" s="473"/>
      <c r="C24" s="33" t="s">
        <v>16</v>
      </c>
      <c r="D24" s="476" t="s">
        <v>1078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49" t="s">
        <v>1079</v>
      </c>
      <c r="D25" s="479" t="s">
        <v>1080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1081</v>
      </c>
    </row>
    <row r="26" spans="1:28" s="19" customFormat="1" ht="9.9499999999999993" customHeight="1" x14ac:dyDescent="0.25">
      <c r="A26" s="384" t="s">
        <v>1082</v>
      </c>
      <c r="B26" s="384"/>
      <c r="C26" s="386" t="s">
        <v>1062</v>
      </c>
      <c r="D26" s="391" t="s">
        <v>52</v>
      </c>
      <c r="E26" s="373">
        <v>0.92100000000000004</v>
      </c>
      <c r="F26" s="374"/>
      <c r="G26" s="51" t="s">
        <v>50</v>
      </c>
      <c r="H26" s="68">
        <v>3.0000000000000001E-3</v>
      </c>
      <c r="I26" s="423">
        <v>0.92249999999999999</v>
      </c>
      <c r="J26" s="423"/>
      <c r="K26" s="423">
        <v>0.92249999999999999</v>
      </c>
      <c r="L26" s="423"/>
      <c r="M26" s="423">
        <v>0.92300000000000004</v>
      </c>
      <c r="N26" s="423"/>
      <c r="O26" s="423">
        <v>0.92300000000000004</v>
      </c>
      <c r="P26" s="423"/>
      <c r="Q26" s="423">
        <v>0.92300000000000004</v>
      </c>
      <c r="R26" s="423"/>
      <c r="S26" s="423">
        <v>0.92300000000000004</v>
      </c>
      <c r="T26" s="423"/>
      <c r="U26" s="423">
        <v>0.92249999999999999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1055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1060</v>
      </c>
      <c r="B28" s="384"/>
      <c r="C28" s="386" t="s">
        <v>1083</v>
      </c>
      <c r="D28" s="391" t="s">
        <v>52</v>
      </c>
      <c r="E28" s="373">
        <v>0.27300000000000002</v>
      </c>
      <c r="F28" s="374"/>
      <c r="G28" s="51" t="s">
        <v>1084</v>
      </c>
      <c r="H28" s="68">
        <v>2E-3</v>
      </c>
      <c r="I28" s="423">
        <v>0.27300000000000002</v>
      </c>
      <c r="J28" s="423"/>
      <c r="K28" s="423">
        <v>0.27279999999999999</v>
      </c>
      <c r="L28" s="423"/>
      <c r="M28" s="423">
        <v>0.27260000000000001</v>
      </c>
      <c r="N28" s="423"/>
      <c r="O28" s="423">
        <v>0.27279999999999999</v>
      </c>
      <c r="P28" s="423"/>
      <c r="Q28" s="423">
        <v>0.27260000000000001</v>
      </c>
      <c r="R28" s="423"/>
      <c r="S28" s="423">
        <v>0.27279999999999999</v>
      </c>
      <c r="T28" s="423"/>
      <c r="U28" s="423">
        <v>0.27260000000000001</v>
      </c>
      <c r="V28" s="423"/>
      <c r="W28" s="423">
        <v>0.27239999999999998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1085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1086</v>
      </c>
      <c r="B30" s="384"/>
      <c r="C30" s="386" t="s">
        <v>1087</v>
      </c>
      <c r="D30" s="391"/>
      <c r="E30" s="373">
        <v>1.2999999999999999E-2</v>
      </c>
      <c r="F30" s="374"/>
      <c r="G30" s="51" t="s">
        <v>50</v>
      </c>
      <c r="H30" s="68">
        <v>2E-3</v>
      </c>
      <c r="I30" s="423">
        <v>1.35E-2</v>
      </c>
      <c r="J30" s="423"/>
      <c r="K30" s="423">
        <v>1.2999999999999999E-2</v>
      </c>
      <c r="L30" s="423"/>
      <c r="M30" s="423">
        <v>1.35E-2</v>
      </c>
      <c r="N30" s="423"/>
      <c r="O30" s="423">
        <v>1.2999999999999999E-2</v>
      </c>
      <c r="P30" s="423"/>
      <c r="Q30" s="423">
        <v>1.2999999999999999E-2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1055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1088</v>
      </c>
      <c r="B32" s="384"/>
      <c r="C32" s="386" t="s">
        <v>62</v>
      </c>
      <c r="D32" s="243" t="s">
        <v>1089</v>
      </c>
      <c r="E32" s="244"/>
      <c r="F32" s="244"/>
      <c r="G32" s="244"/>
      <c r="H32" s="245"/>
      <c r="I32" s="379" t="s">
        <v>1090</v>
      </c>
      <c r="J32" s="379"/>
      <c r="K32" s="379" t="s">
        <v>1091</v>
      </c>
      <c r="L32" s="379"/>
      <c r="M32" s="379" t="s">
        <v>1092</v>
      </c>
      <c r="N32" s="379"/>
      <c r="O32" s="379" t="s">
        <v>1065</v>
      </c>
      <c r="P32" s="379"/>
      <c r="Q32" s="379" t="s">
        <v>1065</v>
      </c>
      <c r="R32" s="379"/>
      <c r="S32" s="379" t="s">
        <v>1090</v>
      </c>
      <c r="T32" s="379"/>
      <c r="U32" s="379" t="s">
        <v>1065</v>
      </c>
      <c r="V32" s="379"/>
      <c r="W32" s="379" t="s">
        <v>73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46" t="s">
        <v>64</v>
      </c>
      <c r="E33" s="247"/>
      <c r="F33" s="247"/>
      <c r="G33" s="247"/>
      <c r="H33" s="248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46"/>
      <c r="E35" s="247"/>
      <c r="F35" s="247"/>
      <c r="G35" s="247"/>
      <c r="H35" s="248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43"/>
      <c r="E36" s="244"/>
      <c r="F36" s="244"/>
      <c r="G36" s="244"/>
      <c r="H36" s="245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46"/>
      <c r="E37" s="247"/>
      <c r="F37" s="247"/>
      <c r="G37" s="247"/>
      <c r="H37" s="248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43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46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43"/>
      <c r="E40" s="240"/>
      <c r="F40" s="241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46"/>
      <c r="E41" s="242"/>
      <c r="F41" s="242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43"/>
      <c r="E42" s="240"/>
      <c r="F42" s="241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46"/>
      <c r="E43" s="242"/>
      <c r="F43" s="242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43"/>
      <c r="E44" s="244"/>
      <c r="F44" s="244"/>
      <c r="G44" s="244"/>
      <c r="H44" s="245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46"/>
      <c r="E45" s="247"/>
      <c r="F45" s="247"/>
      <c r="G45" s="247"/>
      <c r="H45" s="248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43"/>
      <c r="E48" s="244"/>
      <c r="F48" s="244"/>
      <c r="G48" s="244"/>
      <c r="H48" s="245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46"/>
      <c r="E49" s="247"/>
      <c r="F49" s="247"/>
      <c r="G49" s="247"/>
      <c r="H49" s="248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1093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43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1094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57</v>
      </c>
      <c r="R72" s="401"/>
      <c r="S72" s="409" t="s">
        <v>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47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45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107" priority="5" operator="greaterThan">
      <formula>$AA$26</formula>
    </cfRule>
    <cfRule type="cellIs" dxfId="106" priority="6" operator="lessThan">
      <formula>$AA$27</formula>
    </cfRule>
  </conditionalFormatting>
  <conditionalFormatting sqref="I28:X29">
    <cfRule type="cellIs" dxfId="105" priority="3" operator="greaterThan">
      <formula>$AA$28</formula>
    </cfRule>
    <cfRule type="cellIs" dxfId="104" priority="4" operator="lessThan">
      <formula>$AA$29</formula>
    </cfRule>
  </conditionalFormatting>
  <conditionalFormatting sqref="I30:X31">
    <cfRule type="cellIs" dxfId="103" priority="1" operator="greaterThan">
      <formula>$AA$30</formula>
    </cfRule>
    <cfRule type="cellIs" dxfId="10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30</v>
      </c>
      <c r="B2" s="496"/>
      <c r="C2" s="465" t="s">
        <v>53</v>
      </c>
      <c r="D2" s="255" t="s">
        <v>2</v>
      </c>
      <c r="E2" s="43"/>
      <c r="F2" s="369" t="s">
        <v>55</v>
      </c>
      <c r="G2" s="369"/>
      <c r="H2" s="369"/>
      <c r="I2" s="369"/>
      <c r="J2" s="369"/>
      <c r="K2" s="370"/>
      <c r="L2" s="255" t="s">
        <v>4</v>
      </c>
      <c r="M2" s="369">
        <v>4</v>
      </c>
      <c r="N2" s="499"/>
      <c r="O2" s="255" t="s">
        <v>6</v>
      </c>
      <c r="P2" s="502" t="s">
        <v>54</v>
      </c>
      <c r="Q2" s="502"/>
      <c r="R2" s="502"/>
      <c r="S2" s="502"/>
      <c r="T2" s="502"/>
      <c r="U2" s="502"/>
      <c r="V2" s="503"/>
      <c r="W2" s="255" t="s">
        <v>34</v>
      </c>
      <c r="X2" s="32">
        <v>1</v>
      </c>
      <c r="Z2" s="34" t="s">
        <v>48</v>
      </c>
    </row>
    <row r="3" spans="1:26" ht="9.9499999999999993" customHeight="1" x14ac:dyDescent="0.25">
      <c r="A3" s="497" t="s">
        <v>1</v>
      </c>
      <c r="B3" s="498"/>
      <c r="C3" s="486"/>
      <c r="D3" s="256" t="s">
        <v>3</v>
      </c>
      <c r="E3" s="44"/>
      <c r="F3" s="371"/>
      <c r="G3" s="371"/>
      <c r="H3" s="371"/>
      <c r="I3" s="371"/>
      <c r="J3" s="371"/>
      <c r="K3" s="372"/>
      <c r="L3" s="256" t="s">
        <v>5</v>
      </c>
      <c r="M3" s="500"/>
      <c r="N3" s="501"/>
      <c r="O3" s="256" t="s">
        <v>7</v>
      </c>
      <c r="P3" s="504"/>
      <c r="Q3" s="504"/>
      <c r="R3" s="504"/>
      <c r="S3" s="504"/>
      <c r="T3" s="504"/>
      <c r="U3" s="504"/>
      <c r="V3" s="505"/>
      <c r="W3" s="256" t="s">
        <v>8</v>
      </c>
      <c r="X3" s="264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114</v>
      </c>
      <c r="L4" s="5" t="s">
        <v>33</v>
      </c>
      <c r="M4" s="4"/>
      <c r="N4" s="4"/>
      <c r="O4" s="255" t="s">
        <v>9</v>
      </c>
      <c r="P4" s="6"/>
      <c r="Q4" s="442" t="s">
        <v>1095</v>
      </c>
      <c r="R4" s="443"/>
      <c r="S4" s="443"/>
      <c r="T4" s="444"/>
      <c r="U4" s="255" t="s">
        <v>11</v>
      </c>
      <c r="V4" s="7"/>
      <c r="W4" s="369" t="s">
        <v>71</v>
      </c>
      <c r="X4" s="499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45"/>
      <c r="R5" s="445"/>
      <c r="S5" s="445"/>
      <c r="T5" s="446"/>
      <c r="U5" s="256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36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55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35</v>
      </c>
      <c r="B22" s="487"/>
      <c r="C22" s="488"/>
      <c r="D22" s="466" t="s">
        <v>40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37</v>
      </c>
      <c r="X22" s="492"/>
      <c r="Z22" s="65" t="s">
        <v>50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66</v>
      </c>
      <c r="X23" s="494"/>
      <c r="Z23" s="66" t="s">
        <v>51</v>
      </c>
    </row>
    <row r="24" spans="1:28" ht="14.25" customHeight="1" x14ac:dyDescent="0.25">
      <c r="A24" s="447" t="s">
        <v>29</v>
      </c>
      <c r="B24" s="473"/>
      <c r="C24" s="33" t="s">
        <v>16</v>
      </c>
      <c r="D24" s="476" t="s">
        <v>38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63" t="s">
        <v>46</v>
      </c>
      <c r="D25" s="479" t="s">
        <v>41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52</v>
      </c>
    </row>
    <row r="26" spans="1:28" s="19" customFormat="1" ht="9.9499999999999993" customHeight="1" x14ac:dyDescent="0.25">
      <c r="A26" s="384" t="s">
        <v>56</v>
      </c>
      <c r="B26" s="384"/>
      <c r="C26" s="386" t="s">
        <v>1096</v>
      </c>
      <c r="D26" s="391" t="s">
        <v>52</v>
      </c>
      <c r="E26" s="373">
        <v>0.92100000000000004</v>
      </c>
      <c r="F26" s="374"/>
      <c r="G26" s="51" t="s">
        <v>50</v>
      </c>
      <c r="H26" s="68">
        <v>3.0000000000000001E-3</v>
      </c>
      <c r="I26" s="423">
        <v>0.92249999999999999</v>
      </c>
      <c r="J26" s="423"/>
      <c r="K26" s="423">
        <v>0.92200000000000004</v>
      </c>
      <c r="L26" s="423"/>
      <c r="M26" s="423">
        <v>0.92249999999999999</v>
      </c>
      <c r="N26" s="423"/>
      <c r="O26" s="423">
        <v>0.92249999999999999</v>
      </c>
      <c r="P26" s="423"/>
      <c r="Q26" s="423">
        <v>0.92249999999999999</v>
      </c>
      <c r="R26" s="423"/>
      <c r="S26" s="423">
        <v>0.92200000000000004</v>
      </c>
      <c r="T26" s="423"/>
      <c r="U26" s="423">
        <v>0.92200000000000004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51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58</v>
      </c>
      <c r="B28" s="384"/>
      <c r="C28" s="386" t="s">
        <v>59</v>
      </c>
      <c r="D28" s="391" t="s">
        <v>52</v>
      </c>
      <c r="E28" s="373">
        <v>0.27300000000000002</v>
      </c>
      <c r="F28" s="374"/>
      <c r="G28" s="51" t="s">
        <v>50</v>
      </c>
      <c r="H28" s="68">
        <v>2E-3</v>
      </c>
      <c r="I28" s="423">
        <v>0.27210000000000001</v>
      </c>
      <c r="J28" s="423"/>
      <c r="K28" s="423">
        <v>0.27239999999999998</v>
      </c>
      <c r="L28" s="423"/>
      <c r="M28" s="423">
        <v>0.27239999999999998</v>
      </c>
      <c r="N28" s="423"/>
      <c r="O28" s="423">
        <v>0.27260000000000001</v>
      </c>
      <c r="P28" s="423"/>
      <c r="Q28" s="423">
        <v>0.2722</v>
      </c>
      <c r="R28" s="423"/>
      <c r="S28" s="423">
        <v>0.27260000000000001</v>
      </c>
      <c r="T28" s="423"/>
      <c r="U28" s="423">
        <v>0.2727</v>
      </c>
      <c r="V28" s="423"/>
      <c r="W28" s="423">
        <v>0.27239999999999998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51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60</v>
      </c>
      <c r="B30" s="384"/>
      <c r="C30" s="386" t="s">
        <v>57</v>
      </c>
      <c r="D30" s="391"/>
      <c r="E30" s="373">
        <v>1.2999999999999999E-2</v>
      </c>
      <c r="F30" s="374"/>
      <c r="G30" s="51" t="s">
        <v>1097</v>
      </c>
      <c r="H30" s="68">
        <v>2E-3</v>
      </c>
      <c r="I30" s="423">
        <v>1.35E-2</v>
      </c>
      <c r="J30" s="423"/>
      <c r="K30" s="423">
        <v>1.2999999999999999E-2</v>
      </c>
      <c r="L30" s="423"/>
      <c r="M30" s="423">
        <v>1.35E-2</v>
      </c>
      <c r="N30" s="423"/>
      <c r="O30" s="423">
        <v>1.2999999999999999E-2</v>
      </c>
      <c r="P30" s="423"/>
      <c r="Q30" s="423">
        <v>1.35E-2</v>
      </c>
      <c r="R30" s="423"/>
      <c r="S30" s="423">
        <v>1.2999999999999999E-2</v>
      </c>
      <c r="T30" s="423"/>
      <c r="U30" s="423">
        <v>1.35E-2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51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61</v>
      </c>
      <c r="B32" s="384"/>
      <c r="C32" s="386" t="s">
        <v>1098</v>
      </c>
      <c r="D32" s="257" t="s">
        <v>1099</v>
      </c>
      <c r="E32" s="258"/>
      <c r="F32" s="258"/>
      <c r="G32" s="258"/>
      <c r="H32" s="259"/>
      <c r="I32" s="379" t="s">
        <v>73</v>
      </c>
      <c r="J32" s="379"/>
      <c r="K32" s="379" t="s">
        <v>73</v>
      </c>
      <c r="L32" s="379"/>
      <c r="M32" s="379" t="s">
        <v>73</v>
      </c>
      <c r="N32" s="379"/>
      <c r="O32" s="379" t="s">
        <v>73</v>
      </c>
      <c r="P32" s="379"/>
      <c r="Q32" s="379" t="s">
        <v>73</v>
      </c>
      <c r="R32" s="379"/>
      <c r="S32" s="379" t="s">
        <v>73</v>
      </c>
      <c r="T32" s="379"/>
      <c r="U32" s="379" t="s">
        <v>73</v>
      </c>
      <c r="V32" s="379"/>
      <c r="W32" s="379" t="s">
        <v>73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60" t="s">
        <v>64</v>
      </c>
      <c r="E33" s="261"/>
      <c r="F33" s="261"/>
      <c r="G33" s="261"/>
      <c r="H33" s="262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60"/>
      <c r="E35" s="261"/>
      <c r="F35" s="261"/>
      <c r="G35" s="261"/>
      <c r="H35" s="262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57"/>
      <c r="E36" s="258"/>
      <c r="F36" s="258"/>
      <c r="G36" s="258"/>
      <c r="H36" s="25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60"/>
      <c r="E37" s="261"/>
      <c r="F37" s="261"/>
      <c r="G37" s="261"/>
      <c r="H37" s="262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57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60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57"/>
      <c r="E40" s="252"/>
      <c r="F40" s="253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60"/>
      <c r="E41" s="254"/>
      <c r="F41" s="254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57"/>
      <c r="E42" s="252"/>
      <c r="F42" s="253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60"/>
      <c r="E43" s="254"/>
      <c r="F43" s="254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57"/>
      <c r="E44" s="258"/>
      <c r="F44" s="258"/>
      <c r="G44" s="258"/>
      <c r="H44" s="25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60"/>
      <c r="E45" s="261"/>
      <c r="F45" s="261"/>
      <c r="G45" s="261"/>
      <c r="H45" s="262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57"/>
      <c r="E48" s="258"/>
      <c r="F48" s="258"/>
      <c r="G48" s="258"/>
      <c r="H48" s="25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60"/>
      <c r="E49" s="261"/>
      <c r="F49" s="261"/>
      <c r="G49" s="261"/>
      <c r="H49" s="262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42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1100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1101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1096</v>
      </c>
      <c r="R72" s="401"/>
      <c r="S72" s="409" t="s">
        <v>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1102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1103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9">
    <cfRule type="cellIs" dxfId="99" priority="3" operator="greaterThan">
      <formula>$AA$28</formula>
    </cfRule>
    <cfRule type="cellIs" dxfId="98" priority="4" operator="lessThan">
      <formula>$AA$29</formula>
    </cfRule>
  </conditionalFormatting>
  <conditionalFormatting sqref="I30:X31">
    <cfRule type="cellIs" dxfId="97" priority="1" operator="greaterThan">
      <formula>$AA$30</formula>
    </cfRule>
    <cfRule type="cellIs" dxfId="9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1104</v>
      </c>
      <c r="B2" s="496"/>
      <c r="C2" s="465" t="s">
        <v>1105</v>
      </c>
      <c r="D2" s="255" t="s">
        <v>2</v>
      </c>
      <c r="E2" s="43"/>
      <c r="F2" s="369" t="s">
        <v>1106</v>
      </c>
      <c r="G2" s="369"/>
      <c r="H2" s="369"/>
      <c r="I2" s="369"/>
      <c r="J2" s="369"/>
      <c r="K2" s="370"/>
      <c r="L2" s="255" t="s">
        <v>4</v>
      </c>
      <c r="M2" s="369">
        <v>4</v>
      </c>
      <c r="N2" s="499"/>
      <c r="O2" s="255" t="s">
        <v>6</v>
      </c>
      <c r="P2" s="502" t="s">
        <v>1107</v>
      </c>
      <c r="Q2" s="502"/>
      <c r="R2" s="502"/>
      <c r="S2" s="502"/>
      <c r="T2" s="502"/>
      <c r="U2" s="502"/>
      <c r="V2" s="503"/>
      <c r="W2" s="255" t="s">
        <v>34</v>
      </c>
      <c r="X2" s="32">
        <v>1</v>
      </c>
      <c r="Z2" s="34" t="s">
        <v>1108</v>
      </c>
    </row>
    <row r="3" spans="1:26" ht="9.9499999999999993" customHeight="1" x14ac:dyDescent="0.25">
      <c r="A3" s="497" t="s">
        <v>1</v>
      </c>
      <c r="B3" s="498"/>
      <c r="C3" s="486"/>
      <c r="D3" s="256" t="s">
        <v>3</v>
      </c>
      <c r="E3" s="44"/>
      <c r="F3" s="371"/>
      <c r="G3" s="371"/>
      <c r="H3" s="371"/>
      <c r="I3" s="371"/>
      <c r="J3" s="371"/>
      <c r="K3" s="372"/>
      <c r="L3" s="256" t="s">
        <v>5</v>
      </c>
      <c r="M3" s="500"/>
      <c r="N3" s="501"/>
      <c r="O3" s="256" t="s">
        <v>7</v>
      </c>
      <c r="P3" s="504"/>
      <c r="Q3" s="504"/>
      <c r="R3" s="504"/>
      <c r="S3" s="504"/>
      <c r="T3" s="504"/>
      <c r="U3" s="504"/>
      <c r="V3" s="505"/>
      <c r="W3" s="256" t="s">
        <v>8</v>
      </c>
      <c r="X3" s="264">
        <v>1</v>
      </c>
      <c r="Z3" s="35"/>
    </row>
    <row r="4" spans="1:26" ht="14.25" customHeight="1" x14ac:dyDescent="0.25">
      <c r="A4" s="3" t="s">
        <v>1109</v>
      </c>
      <c r="B4" s="4"/>
      <c r="C4" s="4"/>
      <c r="D4" s="48"/>
      <c r="E4" s="28" t="s">
        <v>1110</v>
      </c>
      <c r="F4" s="5" t="s">
        <v>1111</v>
      </c>
      <c r="G4" s="5"/>
      <c r="H4" s="5"/>
      <c r="I4" s="4"/>
      <c r="J4" s="4"/>
      <c r="K4" s="28" t="s">
        <v>1112</v>
      </c>
      <c r="L4" s="5" t="s">
        <v>1113</v>
      </c>
      <c r="M4" s="4"/>
      <c r="N4" s="4"/>
      <c r="O4" s="255" t="s">
        <v>9</v>
      </c>
      <c r="P4" s="6"/>
      <c r="Q4" s="442" t="s">
        <v>1114</v>
      </c>
      <c r="R4" s="443"/>
      <c r="S4" s="443"/>
      <c r="T4" s="444"/>
      <c r="U4" s="255" t="s">
        <v>11</v>
      </c>
      <c r="V4" s="7"/>
      <c r="W4" s="369" t="s">
        <v>71</v>
      </c>
      <c r="X4" s="499"/>
      <c r="Z4" s="34" t="s">
        <v>1115</v>
      </c>
    </row>
    <row r="5" spans="1:26" ht="9.9499999999999993" customHeight="1" x14ac:dyDescent="0.2">
      <c r="A5" s="26" t="s">
        <v>1116</v>
      </c>
      <c r="B5" s="8"/>
      <c r="C5" s="8"/>
      <c r="D5" s="8"/>
      <c r="E5" s="8"/>
      <c r="F5" s="27" t="s">
        <v>1117</v>
      </c>
      <c r="G5" s="27"/>
      <c r="H5" s="27"/>
      <c r="I5" s="8"/>
      <c r="J5" s="8"/>
      <c r="K5" s="8"/>
      <c r="L5" s="27" t="s">
        <v>1118</v>
      </c>
      <c r="M5" s="8"/>
      <c r="N5" s="9"/>
      <c r="O5" s="26" t="s">
        <v>10</v>
      </c>
      <c r="P5" s="10"/>
      <c r="Q5" s="445"/>
      <c r="R5" s="445"/>
      <c r="S5" s="445"/>
      <c r="T5" s="446"/>
      <c r="U5" s="256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1119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1120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1121</v>
      </c>
      <c r="B22" s="487"/>
      <c r="C22" s="488"/>
      <c r="D22" s="466" t="s">
        <v>1122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1123</v>
      </c>
      <c r="X22" s="492"/>
      <c r="Z22" s="65" t="s">
        <v>1097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1124</v>
      </c>
      <c r="X23" s="494"/>
      <c r="Z23" s="66" t="s">
        <v>1125</v>
      </c>
    </row>
    <row r="24" spans="1:28" ht="14.25" customHeight="1" x14ac:dyDescent="0.25">
      <c r="A24" s="447" t="s">
        <v>1126</v>
      </c>
      <c r="B24" s="473"/>
      <c r="C24" s="33" t="s">
        <v>16</v>
      </c>
      <c r="D24" s="476" t="s">
        <v>1127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63" t="s">
        <v>1128</v>
      </c>
      <c r="D25" s="479" t="s">
        <v>1129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1130</v>
      </c>
    </row>
    <row r="26" spans="1:28" s="19" customFormat="1" ht="9.9499999999999993" customHeight="1" x14ac:dyDescent="0.25">
      <c r="A26" s="384" t="s">
        <v>1131</v>
      </c>
      <c r="B26" s="384"/>
      <c r="C26" s="386" t="s">
        <v>1096</v>
      </c>
      <c r="D26" s="391" t="s">
        <v>1130</v>
      </c>
      <c r="E26" s="373">
        <v>0.92100000000000004</v>
      </c>
      <c r="F26" s="374"/>
      <c r="G26" s="51" t="s">
        <v>1097</v>
      </c>
      <c r="H26" s="68">
        <v>3.0000000000000001E-3</v>
      </c>
      <c r="I26" s="423">
        <v>0.92300000000000004</v>
      </c>
      <c r="J26" s="423"/>
      <c r="K26" s="423">
        <v>0.92200000000000004</v>
      </c>
      <c r="L26" s="423"/>
      <c r="M26" s="423">
        <v>0.92249999999999999</v>
      </c>
      <c r="N26" s="423"/>
      <c r="O26" s="423">
        <v>0.92300000000000004</v>
      </c>
      <c r="P26" s="423"/>
      <c r="Q26" s="423">
        <v>0.92349999999999999</v>
      </c>
      <c r="R26" s="423"/>
      <c r="S26" s="423">
        <v>0.92300000000000004</v>
      </c>
      <c r="T26" s="423"/>
      <c r="U26" s="423">
        <v>0.92200000000000004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51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1132</v>
      </c>
      <c r="B28" s="384"/>
      <c r="C28" s="386" t="s">
        <v>1133</v>
      </c>
      <c r="D28" s="391" t="s">
        <v>1134</v>
      </c>
      <c r="E28" s="373">
        <v>0.27300000000000002</v>
      </c>
      <c r="F28" s="374"/>
      <c r="G28" s="51" t="s">
        <v>1135</v>
      </c>
      <c r="H28" s="68">
        <v>2E-3</v>
      </c>
      <c r="I28" s="423">
        <v>0.27350000000000002</v>
      </c>
      <c r="J28" s="423"/>
      <c r="K28" s="423">
        <v>0.27279999999999999</v>
      </c>
      <c r="L28" s="423"/>
      <c r="M28" s="423">
        <v>0.27260000000000001</v>
      </c>
      <c r="N28" s="423"/>
      <c r="O28" s="423">
        <v>0.2727</v>
      </c>
      <c r="P28" s="423"/>
      <c r="Q28" s="423">
        <v>0.27260000000000001</v>
      </c>
      <c r="R28" s="423"/>
      <c r="S28" s="423">
        <v>0.27279999999999999</v>
      </c>
      <c r="T28" s="423"/>
      <c r="U28" s="423">
        <v>0.27250000000000002</v>
      </c>
      <c r="V28" s="423"/>
      <c r="W28" s="423">
        <v>0.27260000000000001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1136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1137</v>
      </c>
      <c r="B30" s="384"/>
      <c r="C30" s="386" t="s">
        <v>1138</v>
      </c>
      <c r="D30" s="391"/>
      <c r="E30" s="373">
        <v>1.2999999999999999E-2</v>
      </c>
      <c r="F30" s="374"/>
      <c r="G30" s="51" t="s">
        <v>1135</v>
      </c>
      <c r="H30" s="68">
        <v>2E-3</v>
      </c>
      <c r="I30" s="423">
        <v>1.35E-2</v>
      </c>
      <c r="J30" s="423"/>
      <c r="K30" s="423">
        <v>1.2999999999999999E-2</v>
      </c>
      <c r="L30" s="423"/>
      <c r="M30" s="423">
        <v>1.35E-2</v>
      </c>
      <c r="N30" s="423"/>
      <c r="O30" s="423">
        <v>1.2999999999999999E-2</v>
      </c>
      <c r="P30" s="423"/>
      <c r="Q30" s="423">
        <v>1.35E-2</v>
      </c>
      <c r="R30" s="423"/>
      <c r="S30" s="423">
        <v>1.2999999999999999E-2</v>
      </c>
      <c r="T30" s="423"/>
      <c r="U30" s="423">
        <v>1.35E-2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1136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1139</v>
      </c>
      <c r="B32" s="384"/>
      <c r="C32" s="386" t="s">
        <v>1140</v>
      </c>
      <c r="D32" s="257" t="s">
        <v>1141</v>
      </c>
      <c r="E32" s="258"/>
      <c r="F32" s="258"/>
      <c r="G32" s="258"/>
      <c r="H32" s="259"/>
      <c r="I32" s="379" t="s">
        <v>1142</v>
      </c>
      <c r="J32" s="379"/>
      <c r="K32" s="379" t="s">
        <v>1143</v>
      </c>
      <c r="L32" s="379"/>
      <c r="M32" s="379" t="s">
        <v>73</v>
      </c>
      <c r="N32" s="379"/>
      <c r="O32" s="379" t="s">
        <v>73</v>
      </c>
      <c r="P32" s="379"/>
      <c r="Q32" s="379" t="s">
        <v>1143</v>
      </c>
      <c r="R32" s="379"/>
      <c r="S32" s="379" t="s">
        <v>1143</v>
      </c>
      <c r="T32" s="379"/>
      <c r="U32" s="379" t="s">
        <v>73</v>
      </c>
      <c r="V32" s="379"/>
      <c r="W32" s="379" t="s">
        <v>1143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60" t="s">
        <v>1144</v>
      </c>
      <c r="E33" s="261"/>
      <c r="F33" s="261"/>
      <c r="G33" s="261"/>
      <c r="H33" s="262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60"/>
      <c r="E35" s="261"/>
      <c r="F35" s="261"/>
      <c r="G35" s="261"/>
      <c r="H35" s="262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57"/>
      <c r="E36" s="258"/>
      <c r="F36" s="258"/>
      <c r="G36" s="258"/>
      <c r="H36" s="25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60"/>
      <c r="E37" s="261"/>
      <c r="F37" s="261"/>
      <c r="G37" s="261"/>
      <c r="H37" s="262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57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60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57"/>
      <c r="E40" s="252"/>
      <c r="F40" s="253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60"/>
      <c r="E41" s="254"/>
      <c r="F41" s="254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57"/>
      <c r="E42" s="252"/>
      <c r="F42" s="253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60"/>
      <c r="E43" s="254"/>
      <c r="F43" s="254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57"/>
      <c r="E44" s="258"/>
      <c r="F44" s="258"/>
      <c r="G44" s="258"/>
      <c r="H44" s="25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60"/>
      <c r="E45" s="261"/>
      <c r="F45" s="261"/>
      <c r="G45" s="261"/>
      <c r="H45" s="262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57"/>
      <c r="E48" s="258"/>
      <c r="F48" s="258"/>
      <c r="G48" s="258"/>
      <c r="H48" s="25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60"/>
      <c r="E49" s="261"/>
      <c r="F49" s="261"/>
      <c r="G49" s="261"/>
      <c r="H49" s="262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1145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1146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1147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1148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1138</v>
      </c>
      <c r="R72" s="401"/>
      <c r="S72" s="409" t="s">
        <v>1149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1150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1102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1103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95" priority="5" operator="greaterThan">
      <formula>$AA$26</formula>
    </cfRule>
    <cfRule type="cellIs" dxfId="94" priority="6" operator="lessThan">
      <formula>$AA$27</formula>
    </cfRule>
  </conditionalFormatting>
  <conditionalFormatting sqref="I28:X29">
    <cfRule type="cellIs" dxfId="93" priority="3" operator="greaterThan">
      <formula>$AA$28</formula>
    </cfRule>
    <cfRule type="cellIs" dxfId="92" priority="4" operator="lessThan">
      <formula>$AA$29</formula>
    </cfRule>
  </conditionalFormatting>
  <conditionalFormatting sqref="I30:X31">
    <cfRule type="cellIs" dxfId="91" priority="1" operator="greaterThan">
      <formula>$AA$30</formula>
    </cfRule>
    <cfRule type="cellIs" dxfId="9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1151</v>
      </c>
      <c r="B2" s="496"/>
      <c r="C2" s="465" t="s">
        <v>1152</v>
      </c>
      <c r="D2" s="276" t="s">
        <v>2</v>
      </c>
      <c r="E2" s="43"/>
      <c r="F2" s="369" t="s">
        <v>1153</v>
      </c>
      <c r="G2" s="369"/>
      <c r="H2" s="369"/>
      <c r="I2" s="369"/>
      <c r="J2" s="369"/>
      <c r="K2" s="370"/>
      <c r="L2" s="276" t="s">
        <v>4</v>
      </c>
      <c r="M2" s="369">
        <v>4</v>
      </c>
      <c r="N2" s="499"/>
      <c r="O2" s="276" t="s">
        <v>6</v>
      </c>
      <c r="P2" s="502" t="s">
        <v>1154</v>
      </c>
      <c r="Q2" s="502"/>
      <c r="R2" s="502"/>
      <c r="S2" s="502"/>
      <c r="T2" s="502"/>
      <c r="U2" s="502"/>
      <c r="V2" s="503"/>
      <c r="W2" s="276" t="s">
        <v>34</v>
      </c>
      <c r="X2" s="32">
        <v>1</v>
      </c>
      <c r="Z2" s="34" t="s">
        <v>1155</v>
      </c>
    </row>
    <row r="3" spans="1:26" ht="9.9499999999999993" customHeight="1" x14ac:dyDescent="0.25">
      <c r="A3" s="497" t="s">
        <v>1</v>
      </c>
      <c r="B3" s="498"/>
      <c r="C3" s="486"/>
      <c r="D3" s="277" t="s">
        <v>3</v>
      </c>
      <c r="E3" s="44"/>
      <c r="F3" s="371"/>
      <c r="G3" s="371"/>
      <c r="H3" s="371"/>
      <c r="I3" s="371"/>
      <c r="J3" s="371"/>
      <c r="K3" s="372"/>
      <c r="L3" s="277" t="s">
        <v>5</v>
      </c>
      <c r="M3" s="500"/>
      <c r="N3" s="501"/>
      <c r="O3" s="277" t="s">
        <v>7</v>
      </c>
      <c r="P3" s="504"/>
      <c r="Q3" s="504"/>
      <c r="R3" s="504"/>
      <c r="S3" s="504"/>
      <c r="T3" s="504"/>
      <c r="U3" s="504"/>
      <c r="V3" s="505"/>
      <c r="W3" s="277" t="s">
        <v>8</v>
      </c>
      <c r="X3" s="265">
        <v>1</v>
      </c>
      <c r="Z3" s="35"/>
    </row>
    <row r="4" spans="1:26" ht="14.25" customHeight="1" x14ac:dyDescent="0.25">
      <c r="A4" s="3" t="s">
        <v>1156</v>
      </c>
      <c r="B4" s="4"/>
      <c r="C4" s="4"/>
      <c r="D4" s="48"/>
      <c r="E4" s="28" t="s">
        <v>1157</v>
      </c>
      <c r="F4" s="5" t="s">
        <v>1158</v>
      </c>
      <c r="G4" s="5"/>
      <c r="H4" s="5"/>
      <c r="I4" s="4"/>
      <c r="J4" s="4"/>
      <c r="K4" s="28" t="s">
        <v>114</v>
      </c>
      <c r="L4" s="5" t="s">
        <v>33</v>
      </c>
      <c r="M4" s="4"/>
      <c r="N4" s="4"/>
      <c r="O4" s="276" t="s">
        <v>9</v>
      </c>
      <c r="P4" s="6"/>
      <c r="Q4" s="442" t="s">
        <v>1159</v>
      </c>
      <c r="R4" s="443"/>
      <c r="S4" s="443"/>
      <c r="T4" s="444"/>
      <c r="U4" s="276" t="s">
        <v>11</v>
      </c>
      <c r="V4" s="7"/>
      <c r="W4" s="369" t="s">
        <v>71</v>
      </c>
      <c r="X4" s="499"/>
      <c r="Z4" s="34" t="s">
        <v>1160</v>
      </c>
    </row>
    <row r="5" spans="1:26" ht="9.9499999999999993" customHeight="1" x14ac:dyDescent="0.2">
      <c r="A5" s="26" t="s">
        <v>1161</v>
      </c>
      <c r="B5" s="8"/>
      <c r="C5" s="8"/>
      <c r="D5" s="8"/>
      <c r="E5" s="8"/>
      <c r="F5" s="27" t="s">
        <v>1162</v>
      </c>
      <c r="G5" s="27"/>
      <c r="H5" s="27"/>
      <c r="I5" s="8"/>
      <c r="J5" s="8"/>
      <c r="K5" s="8"/>
      <c r="L5" s="27" t="s">
        <v>1163</v>
      </c>
      <c r="M5" s="8"/>
      <c r="N5" s="9"/>
      <c r="O5" s="26" t="s">
        <v>10</v>
      </c>
      <c r="P5" s="10"/>
      <c r="Q5" s="445"/>
      <c r="R5" s="445"/>
      <c r="S5" s="445"/>
      <c r="T5" s="446"/>
      <c r="U5" s="277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1164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1153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1165</v>
      </c>
      <c r="B22" s="487"/>
      <c r="C22" s="488"/>
      <c r="D22" s="466" t="s">
        <v>40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1166</v>
      </c>
      <c r="X22" s="492"/>
      <c r="Z22" s="65" t="s">
        <v>1167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1168</v>
      </c>
      <c r="X23" s="494"/>
      <c r="Z23" s="66" t="s">
        <v>51</v>
      </c>
    </row>
    <row r="24" spans="1:28" ht="14.25" customHeight="1" x14ac:dyDescent="0.25">
      <c r="A24" s="447" t="s">
        <v>1169</v>
      </c>
      <c r="B24" s="473"/>
      <c r="C24" s="33" t="s">
        <v>16</v>
      </c>
      <c r="D24" s="476" t="s">
        <v>1170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75" t="s">
        <v>1171</v>
      </c>
      <c r="D25" s="479" t="s">
        <v>41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1172</v>
      </c>
    </row>
    <row r="26" spans="1:28" s="19" customFormat="1" ht="9.9499999999999993" customHeight="1" x14ac:dyDescent="0.25">
      <c r="A26" s="384" t="s">
        <v>1173</v>
      </c>
      <c r="B26" s="384"/>
      <c r="C26" s="386" t="s">
        <v>1174</v>
      </c>
      <c r="D26" s="391" t="s">
        <v>1172</v>
      </c>
      <c r="E26" s="373">
        <v>0.92100000000000004</v>
      </c>
      <c r="F26" s="374"/>
      <c r="G26" s="51" t="s">
        <v>1175</v>
      </c>
      <c r="H26" s="68">
        <v>3.0000000000000001E-3</v>
      </c>
      <c r="I26" s="423">
        <v>0.92200000000000004</v>
      </c>
      <c r="J26" s="423"/>
      <c r="K26" s="423">
        <v>0.92149999999999999</v>
      </c>
      <c r="L26" s="423"/>
      <c r="M26" s="423">
        <v>0.92249999999999999</v>
      </c>
      <c r="N26" s="423"/>
      <c r="O26" s="423">
        <v>0.92200000000000004</v>
      </c>
      <c r="P26" s="423"/>
      <c r="Q26" s="423">
        <v>0.92200000000000004</v>
      </c>
      <c r="R26" s="423"/>
      <c r="S26" s="423">
        <v>0.92249999999999999</v>
      </c>
      <c r="T26" s="423"/>
      <c r="U26" s="423">
        <v>0.92200000000000004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1176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1177</v>
      </c>
      <c r="B28" s="384"/>
      <c r="C28" s="386" t="s">
        <v>1178</v>
      </c>
      <c r="D28" s="391" t="s">
        <v>1179</v>
      </c>
      <c r="E28" s="373">
        <v>0.27300000000000002</v>
      </c>
      <c r="F28" s="374"/>
      <c r="G28" s="51" t="s">
        <v>1167</v>
      </c>
      <c r="H28" s="68">
        <v>2E-3</v>
      </c>
      <c r="I28" s="423">
        <v>0.27210000000000001</v>
      </c>
      <c r="J28" s="423"/>
      <c r="K28" s="423">
        <v>0.27200000000000002</v>
      </c>
      <c r="L28" s="423"/>
      <c r="M28" s="423">
        <v>0.27210000000000001</v>
      </c>
      <c r="N28" s="423"/>
      <c r="O28" s="423">
        <v>0.2722</v>
      </c>
      <c r="P28" s="423"/>
      <c r="Q28" s="423">
        <v>0.27239999999999998</v>
      </c>
      <c r="R28" s="423"/>
      <c r="S28" s="423">
        <v>0.27210000000000001</v>
      </c>
      <c r="T28" s="423"/>
      <c r="U28" s="423">
        <v>0.27210000000000001</v>
      </c>
      <c r="V28" s="423"/>
      <c r="W28" s="423">
        <v>0.27189999999999998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51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1180</v>
      </c>
      <c r="B30" s="384"/>
      <c r="C30" s="386" t="s">
        <v>1174</v>
      </c>
      <c r="D30" s="391"/>
      <c r="E30" s="373">
        <v>1.2999999999999999E-2</v>
      </c>
      <c r="F30" s="374"/>
      <c r="G30" s="51" t="s">
        <v>1175</v>
      </c>
      <c r="H30" s="68">
        <v>2E-3</v>
      </c>
      <c r="I30" s="423">
        <v>1.2999999999999999E-2</v>
      </c>
      <c r="J30" s="423"/>
      <c r="K30" s="423">
        <v>1.2999999999999999E-2</v>
      </c>
      <c r="L30" s="423"/>
      <c r="M30" s="423">
        <v>1.2E-2</v>
      </c>
      <c r="N30" s="423"/>
      <c r="O30" s="423">
        <v>1.2500000000000001E-2</v>
      </c>
      <c r="P30" s="423"/>
      <c r="Q30" s="423">
        <v>1.35E-2</v>
      </c>
      <c r="R30" s="423"/>
      <c r="S30" s="423">
        <v>1.2500000000000001E-2</v>
      </c>
      <c r="T30" s="423"/>
      <c r="U30" s="423">
        <v>1.35E-2</v>
      </c>
      <c r="V30" s="423"/>
      <c r="W30" s="423">
        <v>1.2500000000000001E-2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51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1181</v>
      </c>
      <c r="B32" s="384"/>
      <c r="C32" s="386" t="s">
        <v>1182</v>
      </c>
      <c r="D32" s="269" t="s">
        <v>1183</v>
      </c>
      <c r="E32" s="270"/>
      <c r="F32" s="270"/>
      <c r="G32" s="270"/>
      <c r="H32" s="271"/>
      <c r="I32" s="379" t="s">
        <v>1184</v>
      </c>
      <c r="J32" s="379"/>
      <c r="K32" s="379" t="s">
        <v>1185</v>
      </c>
      <c r="L32" s="379"/>
      <c r="M32" s="379" t="s">
        <v>1184</v>
      </c>
      <c r="N32" s="379"/>
      <c r="O32" s="379" t="s">
        <v>1184</v>
      </c>
      <c r="P32" s="379"/>
      <c r="Q32" s="379" t="s">
        <v>1184</v>
      </c>
      <c r="R32" s="379"/>
      <c r="S32" s="379" t="s">
        <v>1184</v>
      </c>
      <c r="T32" s="379"/>
      <c r="U32" s="379" t="s">
        <v>1185</v>
      </c>
      <c r="V32" s="379"/>
      <c r="W32" s="379" t="s">
        <v>1184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72" t="s">
        <v>1186</v>
      </c>
      <c r="E33" s="273"/>
      <c r="F33" s="273"/>
      <c r="G33" s="273"/>
      <c r="H33" s="274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72"/>
      <c r="E35" s="273"/>
      <c r="F35" s="273"/>
      <c r="G35" s="273"/>
      <c r="H35" s="274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69"/>
      <c r="E36" s="270"/>
      <c r="F36" s="270"/>
      <c r="G36" s="270"/>
      <c r="H36" s="271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72"/>
      <c r="E37" s="273"/>
      <c r="F37" s="273"/>
      <c r="G37" s="273"/>
      <c r="H37" s="274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69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72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69"/>
      <c r="E40" s="266"/>
      <c r="F40" s="267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72"/>
      <c r="E41" s="268"/>
      <c r="F41" s="268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69"/>
      <c r="E42" s="266"/>
      <c r="F42" s="267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72"/>
      <c r="E43" s="268"/>
      <c r="F43" s="268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69"/>
      <c r="E44" s="270"/>
      <c r="F44" s="270"/>
      <c r="G44" s="270"/>
      <c r="H44" s="271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72"/>
      <c r="E45" s="273"/>
      <c r="F45" s="273"/>
      <c r="G45" s="273"/>
      <c r="H45" s="274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69"/>
      <c r="E48" s="270"/>
      <c r="F48" s="270"/>
      <c r="G48" s="270"/>
      <c r="H48" s="271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72"/>
      <c r="E49" s="273"/>
      <c r="F49" s="273"/>
      <c r="G49" s="273"/>
      <c r="H49" s="274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1187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1188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1189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1190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1191</v>
      </c>
      <c r="R72" s="401"/>
      <c r="S72" s="409" t="s">
        <v>1192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1193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1194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89" priority="5" operator="greaterThan">
      <formula>$AA$26</formula>
    </cfRule>
    <cfRule type="cellIs" dxfId="88" priority="6" operator="lessThan">
      <formula>$AA$27</formula>
    </cfRule>
  </conditionalFormatting>
  <conditionalFormatting sqref="I28:X29">
    <cfRule type="cellIs" dxfId="87" priority="3" operator="greaterThan">
      <formula>$AA$28</formula>
    </cfRule>
    <cfRule type="cellIs" dxfId="86" priority="4" operator="lessThan">
      <formula>$AA$29</formula>
    </cfRule>
  </conditionalFormatting>
  <conditionalFormatting sqref="I30:X31">
    <cfRule type="cellIs" dxfId="85" priority="1" operator="greaterThan">
      <formula>$AA$30</formula>
    </cfRule>
    <cfRule type="cellIs" dxfId="8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1195</v>
      </c>
      <c r="B2" s="496"/>
      <c r="C2" s="465" t="s">
        <v>1196</v>
      </c>
      <c r="D2" s="276" t="s">
        <v>2</v>
      </c>
      <c r="E2" s="43"/>
      <c r="F2" s="369" t="s">
        <v>1197</v>
      </c>
      <c r="G2" s="369"/>
      <c r="H2" s="369"/>
      <c r="I2" s="369"/>
      <c r="J2" s="369"/>
      <c r="K2" s="370"/>
      <c r="L2" s="276" t="s">
        <v>4</v>
      </c>
      <c r="M2" s="369">
        <v>4</v>
      </c>
      <c r="N2" s="499"/>
      <c r="O2" s="276" t="s">
        <v>6</v>
      </c>
      <c r="P2" s="502" t="s">
        <v>1198</v>
      </c>
      <c r="Q2" s="502"/>
      <c r="R2" s="502"/>
      <c r="S2" s="502"/>
      <c r="T2" s="502"/>
      <c r="U2" s="502"/>
      <c r="V2" s="503"/>
      <c r="W2" s="276" t="s">
        <v>34</v>
      </c>
      <c r="X2" s="32">
        <v>1</v>
      </c>
      <c r="Z2" s="34" t="s">
        <v>1199</v>
      </c>
    </row>
    <row r="3" spans="1:26" ht="9.9499999999999993" customHeight="1" x14ac:dyDescent="0.25">
      <c r="A3" s="497" t="s">
        <v>1</v>
      </c>
      <c r="B3" s="498"/>
      <c r="C3" s="486"/>
      <c r="D3" s="277" t="s">
        <v>3</v>
      </c>
      <c r="E3" s="44"/>
      <c r="F3" s="371"/>
      <c r="G3" s="371"/>
      <c r="H3" s="371"/>
      <c r="I3" s="371"/>
      <c r="J3" s="371"/>
      <c r="K3" s="372"/>
      <c r="L3" s="277" t="s">
        <v>5</v>
      </c>
      <c r="M3" s="500"/>
      <c r="N3" s="501"/>
      <c r="O3" s="277" t="s">
        <v>7</v>
      </c>
      <c r="P3" s="504"/>
      <c r="Q3" s="504"/>
      <c r="R3" s="504"/>
      <c r="S3" s="504"/>
      <c r="T3" s="504"/>
      <c r="U3" s="504"/>
      <c r="V3" s="505"/>
      <c r="W3" s="277" t="s">
        <v>8</v>
      </c>
      <c r="X3" s="265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1200</v>
      </c>
      <c r="F4" s="5" t="s">
        <v>1201</v>
      </c>
      <c r="G4" s="5"/>
      <c r="H4" s="5"/>
      <c r="I4" s="4"/>
      <c r="J4" s="4"/>
      <c r="K4" s="28" t="s">
        <v>1202</v>
      </c>
      <c r="L4" s="5" t="s">
        <v>1203</v>
      </c>
      <c r="M4" s="4"/>
      <c r="N4" s="4"/>
      <c r="O4" s="276" t="s">
        <v>9</v>
      </c>
      <c r="P4" s="6"/>
      <c r="Q4" s="442" t="s">
        <v>1204</v>
      </c>
      <c r="R4" s="443"/>
      <c r="S4" s="443"/>
      <c r="T4" s="444"/>
      <c r="U4" s="276" t="s">
        <v>11</v>
      </c>
      <c r="V4" s="7"/>
      <c r="W4" s="369" t="s">
        <v>71</v>
      </c>
      <c r="X4" s="499"/>
      <c r="Z4" s="34" t="s">
        <v>1205</v>
      </c>
    </row>
    <row r="5" spans="1:26" ht="9.9499999999999993" customHeight="1" x14ac:dyDescent="0.2">
      <c r="A5" s="26" t="s">
        <v>1206</v>
      </c>
      <c r="B5" s="8"/>
      <c r="C5" s="8"/>
      <c r="D5" s="8"/>
      <c r="E5" s="8"/>
      <c r="F5" s="27" t="s">
        <v>1207</v>
      </c>
      <c r="G5" s="27"/>
      <c r="H5" s="27"/>
      <c r="I5" s="8"/>
      <c r="J5" s="8"/>
      <c r="K5" s="8"/>
      <c r="L5" s="27" t="s">
        <v>1208</v>
      </c>
      <c r="M5" s="8"/>
      <c r="N5" s="9"/>
      <c r="O5" s="26" t="s">
        <v>10</v>
      </c>
      <c r="P5" s="10"/>
      <c r="Q5" s="445"/>
      <c r="R5" s="445"/>
      <c r="S5" s="445"/>
      <c r="T5" s="446"/>
      <c r="U5" s="277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1209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1210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35</v>
      </c>
      <c r="B22" s="487"/>
      <c r="C22" s="488"/>
      <c r="D22" s="466" t="s">
        <v>1211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1212</v>
      </c>
      <c r="X22" s="492"/>
      <c r="Z22" s="65" t="s">
        <v>1213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1168</v>
      </c>
      <c r="X23" s="494"/>
      <c r="Z23" s="66" t="s">
        <v>51</v>
      </c>
    </row>
    <row r="24" spans="1:28" ht="14.25" customHeight="1" x14ac:dyDescent="0.25">
      <c r="A24" s="447" t="s">
        <v>1214</v>
      </c>
      <c r="B24" s="473"/>
      <c r="C24" s="33" t="s">
        <v>16</v>
      </c>
      <c r="D24" s="476" t="s">
        <v>1215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75" t="s">
        <v>1216</v>
      </c>
      <c r="D25" s="479" t="s">
        <v>1217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1218</v>
      </c>
    </row>
    <row r="26" spans="1:28" s="19" customFormat="1" ht="9.9499999999999993" customHeight="1" x14ac:dyDescent="0.25">
      <c r="A26" s="384" t="s">
        <v>1219</v>
      </c>
      <c r="B26" s="384"/>
      <c r="C26" s="386" t="s">
        <v>1220</v>
      </c>
      <c r="D26" s="391" t="s">
        <v>1218</v>
      </c>
      <c r="E26" s="373">
        <v>0.92100000000000004</v>
      </c>
      <c r="F26" s="374"/>
      <c r="G26" s="51" t="s">
        <v>1221</v>
      </c>
      <c r="H26" s="68">
        <v>3.0000000000000001E-3</v>
      </c>
      <c r="I26" s="423">
        <v>0.92149999999999999</v>
      </c>
      <c r="J26" s="423"/>
      <c r="K26" s="423">
        <v>0.92200000000000004</v>
      </c>
      <c r="L26" s="423"/>
      <c r="M26" s="423">
        <v>0.92249999999999999</v>
      </c>
      <c r="N26" s="423"/>
      <c r="O26" s="423">
        <v>0.92249999999999999</v>
      </c>
      <c r="P26" s="423"/>
      <c r="Q26" s="423">
        <v>0.92200000000000004</v>
      </c>
      <c r="R26" s="423"/>
      <c r="S26" s="423">
        <v>0.92200000000000004</v>
      </c>
      <c r="T26" s="423"/>
      <c r="U26" s="423">
        <v>0.92249999999999999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1222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1177</v>
      </c>
      <c r="B28" s="384"/>
      <c r="C28" s="386" t="s">
        <v>1178</v>
      </c>
      <c r="D28" s="391" t="s">
        <v>1223</v>
      </c>
      <c r="E28" s="373">
        <v>0.27300000000000002</v>
      </c>
      <c r="F28" s="374"/>
      <c r="G28" s="51" t="s">
        <v>1224</v>
      </c>
      <c r="H28" s="68">
        <v>2E-3</v>
      </c>
      <c r="I28" s="423">
        <v>0.27250000000000002</v>
      </c>
      <c r="J28" s="423"/>
      <c r="K28" s="423">
        <v>0.27200000000000002</v>
      </c>
      <c r="L28" s="423"/>
      <c r="M28" s="423">
        <v>0.27200000000000002</v>
      </c>
      <c r="N28" s="423"/>
      <c r="O28" s="423">
        <v>0.27200000000000002</v>
      </c>
      <c r="P28" s="423"/>
      <c r="Q28" s="423">
        <v>0.27200000000000002</v>
      </c>
      <c r="R28" s="423"/>
      <c r="S28" s="423">
        <v>0.27250000000000002</v>
      </c>
      <c r="T28" s="423"/>
      <c r="U28" s="423">
        <v>0.27239999999999998</v>
      </c>
      <c r="V28" s="423"/>
      <c r="W28" s="423">
        <v>0.2722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1176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1225</v>
      </c>
      <c r="B30" s="384"/>
      <c r="C30" s="386" t="s">
        <v>1174</v>
      </c>
      <c r="D30" s="391"/>
      <c r="E30" s="373">
        <v>1.2999999999999999E-2</v>
      </c>
      <c r="F30" s="374"/>
      <c r="G30" s="51" t="s">
        <v>50</v>
      </c>
      <c r="H30" s="68">
        <v>2E-3</v>
      </c>
      <c r="I30" s="423">
        <v>1.2999999999999999E-2</v>
      </c>
      <c r="J30" s="423"/>
      <c r="K30" s="423">
        <v>1.2999999999999999E-2</v>
      </c>
      <c r="L30" s="423"/>
      <c r="M30" s="423">
        <v>1.2500000000000001E-2</v>
      </c>
      <c r="N30" s="423"/>
      <c r="O30" s="423">
        <v>1.2500000000000001E-2</v>
      </c>
      <c r="P30" s="423"/>
      <c r="Q30" s="423">
        <v>1.2E-2</v>
      </c>
      <c r="R30" s="423"/>
      <c r="S30" s="423">
        <v>1.2500000000000001E-2</v>
      </c>
      <c r="T30" s="423"/>
      <c r="U30" s="423">
        <v>1.2E-2</v>
      </c>
      <c r="V30" s="423"/>
      <c r="W30" s="423">
        <v>1.2500000000000001E-2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51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1226</v>
      </c>
      <c r="B32" s="384"/>
      <c r="C32" s="386" t="s">
        <v>1227</v>
      </c>
      <c r="D32" s="269" t="s">
        <v>1228</v>
      </c>
      <c r="E32" s="270"/>
      <c r="F32" s="270"/>
      <c r="G32" s="270"/>
      <c r="H32" s="271"/>
      <c r="I32" s="379" t="s">
        <v>1229</v>
      </c>
      <c r="J32" s="379"/>
      <c r="K32" s="379" t="s">
        <v>1229</v>
      </c>
      <c r="L32" s="379"/>
      <c r="M32" s="379" t="s">
        <v>1230</v>
      </c>
      <c r="N32" s="379"/>
      <c r="O32" s="379" t="s">
        <v>1231</v>
      </c>
      <c r="P32" s="379"/>
      <c r="Q32" s="379" t="s">
        <v>1184</v>
      </c>
      <c r="R32" s="379"/>
      <c r="S32" s="379" t="s">
        <v>1184</v>
      </c>
      <c r="T32" s="379"/>
      <c r="U32" s="379" t="s">
        <v>1232</v>
      </c>
      <c r="V32" s="379"/>
      <c r="W32" s="379" t="s">
        <v>1184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72" t="s">
        <v>1186</v>
      </c>
      <c r="E33" s="273"/>
      <c r="F33" s="273"/>
      <c r="G33" s="273"/>
      <c r="H33" s="274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72"/>
      <c r="E35" s="273"/>
      <c r="F35" s="273"/>
      <c r="G35" s="273"/>
      <c r="H35" s="274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69"/>
      <c r="E36" s="270"/>
      <c r="F36" s="270"/>
      <c r="G36" s="270"/>
      <c r="H36" s="271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72"/>
      <c r="E37" s="273"/>
      <c r="F37" s="273"/>
      <c r="G37" s="273"/>
      <c r="H37" s="274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69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72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69"/>
      <c r="E40" s="266"/>
      <c r="F40" s="267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72"/>
      <c r="E41" s="268"/>
      <c r="F41" s="268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69"/>
      <c r="E42" s="266"/>
      <c r="F42" s="267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72"/>
      <c r="E43" s="268"/>
      <c r="F43" s="268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69"/>
      <c r="E44" s="270"/>
      <c r="F44" s="270"/>
      <c r="G44" s="270"/>
      <c r="H44" s="271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72"/>
      <c r="E45" s="273"/>
      <c r="F45" s="273"/>
      <c r="G45" s="273"/>
      <c r="H45" s="274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69"/>
      <c r="E48" s="270"/>
      <c r="F48" s="270"/>
      <c r="G48" s="270"/>
      <c r="H48" s="271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72"/>
      <c r="E49" s="273"/>
      <c r="F49" s="273"/>
      <c r="G49" s="273"/>
      <c r="H49" s="274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1233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1234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1235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1236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1237</v>
      </c>
      <c r="R72" s="401"/>
      <c r="S72" s="409" t="s">
        <v>1238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1239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1240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1194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83" priority="5" operator="greaterThan">
      <formula>$AA$26</formula>
    </cfRule>
    <cfRule type="cellIs" dxfId="82" priority="6" operator="lessThan">
      <formula>$AA$27</formula>
    </cfRule>
  </conditionalFormatting>
  <conditionalFormatting sqref="I28:X29">
    <cfRule type="cellIs" dxfId="81" priority="3" operator="greaterThan">
      <formula>$AA$28</formula>
    </cfRule>
    <cfRule type="cellIs" dxfId="80" priority="4" operator="lessThan">
      <formula>$AA$29</formula>
    </cfRule>
  </conditionalFormatting>
  <conditionalFormatting sqref="I30:X31">
    <cfRule type="cellIs" dxfId="79" priority="1" operator="greaterThan">
      <formula>$AA$30</formula>
    </cfRule>
    <cfRule type="cellIs" dxfId="7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1241</v>
      </c>
      <c r="B2" s="496"/>
      <c r="C2" s="465" t="s">
        <v>1242</v>
      </c>
      <c r="D2" s="281" t="s">
        <v>2</v>
      </c>
      <c r="E2" s="43"/>
      <c r="F2" s="369" t="s">
        <v>55</v>
      </c>
      <c r="G2" s="369"/>
      <c r="H2" s="369"/>
      <c r="I2" s="369"/>
      <c r="J2" s="369"/>
      <c r="K2" s="370"/>
      <c r="L2" s="281" t="s">
        <v>4</v>
      </c>
      <c r="M2" s="369">
        <v>4</v>
      </c>
      <c r="N2" s="499"/>
      <c r="O2" s="281" t="s">
        <v>6</v>
      </c>
      <c r="P2" s="502" t="s">
        <v>54</v>
      </c>
      <c r="Q2" s="502"/>
      <c r="R2" s="502"/>
      <c r="S2" s="502"/>
      <c r="T2" s="502"/>
      <c r="U2" s="502"/>
      <c r="V2" s="503"/>
      <c r="W2" s="281" t="s">
        <v>34</v>
      </c>
      <c r="X2" s="32">
        <v>1</v>
      </c>
      <c r="Z2" s="34" t="s">
        <v>1243</v>
      </c>
    </row>
    <row r="3" spans="1:26" ht="9.9499999999999993" customHeight="1" x14ac:dyDescent="0.25">
      <c r="A3" s="497" t="s">
        <v>1</v>
      </c>
      <c r="B3" s="498"/>
      <c r="C3" s="486"/>
      <c r="D3" s="282" t="s">
        <v>3</v>
      </c>
      <c r="E3" s="44"/>
      <c r="F3" s="371"/>
      <c r="G3" s="371"/>
      <c r="H3" s="371"/>
      <c r="I3" s="371"/>
      <c r="J3" s="371"/>
      <c r="K3" s="372"/>
      <c r="L3" s="282" t="s">
        <v>5</v>
      </c>
      <c r="M3" s="500"/>
      <c r="N3" s="501"/>
      <c r="O3" s="282" t="s">
        <v>7</v>
      </c>
      <c r="P3" s="504"/>
      <c r="Q3" s="504"/>
      <c r="R3" s="504"/>
      <c r="S3" s="504"/>
      <c r="T3" s="504"/>
      <c r="U3" s="504"/>
      <c r="V3" s="505"/>
      <c r="W3" s="282" t="s">
        <v>8</v>
      </c>
      <c r="X3" s="290">
        <v>1</v>
      </c>
      <c r="Z3" s="35"/>
    </row>
    <row r="4" spans="1:26" ht="14.25" customHeight="1" x14ac:dyDescent="0.25">
      <c r="A4" s="3" t="s">
        <v>1244</v>
      </c>
      <c r="B4" s="4"/>
      <c r="C4" s="4"/>
      <c r="D4" s="48"/>
      <c r="E4" s="28" t="s">
        <v>1245</v>
      </c>
      <c r="F4" s="5" t="s">
        <v>32</v>
      </c>
      <c r="G4" s="5"/>
      <c r="H4" s="5"/>
      <c r="I4" s="4"/>
      <c r="J4" s="4"/>
      <c r="K4" s="28" t="s">
        <v>114</v>
      </c>
      <c r="L4" s="5" t="s">
        <v>33</v>
      </c>
      <c r="M4" s="4"/>
      <c r="N4" s="4"/>
      <c r="O4" s="281" t="s">
        <v>9</v>
      </c>
      <c r="P4" s="6"/>
      <c r="Q4" s="442" t="s">
        <v>1246</v>
      </c>
      <c r="R4" s="443"/>
      <c r="S4" s="443"/>
      <c r="T4" s="444"/>
      <c r="U4" s="281" t="s">
        <v>11</v>
      </c>
      <c r="V4" s="7"/>
      <c r="W4" s="369" t="s">
        <v>71</v>
      </c>
      <c r="X4" s="499"/>
      <c r="Z4" s="34" t="s">
        <v>1247</v>
      </c>
    </row>
    <row r="5" spans="1:26" ht="9.9499999999999993" customHeight="1" x14ac:dyDescent="0.2">
      <c r="A5" s="26" t="s">
        <v>1248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1249</v>
      </c>
      <c r="M5" s="8"/>
      <c r="N5" s="9"/>
      <c r="O5" s="26" t="s">
        <v>10</v>
      </c>
      <c r="P5" s="10"/>
      <c r="Q5" s="445"/>
      <c r="R5" s="445"/>
      <c r="S5" s="445"/>
      <c r="T5" s="446"/>
      <c r="U5" s="282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1250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1251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1252</v>
      </c>
      <c r="B22" s="487"/>
      <c r="C22" s="488"/>
      <c r="D22" s="466" t="s">
        <v>1253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1254</v>
      </c>
      <c r="X22" s="492"/>
      <c r="Z22" s="65" t="s">
        <v>1255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1256</v>
      </c>
      <c r="X23" s="494"/>
      <c r="Z23" s="66" t="s">
        <v>1257</v>
      </c>
    </row>
    <row r="24" spans="1:28" ht="14.25" customHeight="1" x14ac:dyDescent="0.25">
      <c r="A24" s="447" t="s">
        <v>1258</v>
      </c>
      <c r="B24" s="473"/>
      <c r="C24" s="33" t="s">
        <v>16</v>
      </c>
      <c r="D24" s="476" t="s">
        <v>1259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89" t="s">
        <v>1260</v>
      </c>
      <c r="D25" s="479" t="s">
        <v>1261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1262</v>
      </c>
    </row>
    <row r="26" spans="1:28" s="19" customFormat="1" ht="9.9499999999999993" customHeight="1" x14ac:dyDescent="0.25">
      <c r="A26" s="384" t="s">
        <v>1263</v>
      </c>
      <c r="B26" s="384"/>
      <c r="C26" s="386" t="s">
        <v>1264</v>
      </c>
      <c r="D26" s="391" t="s">
        <v>1265</v>
      </c>
      <c r="E26" s="373">
        <v>0.92100000000000004</v>
      </c>
      <c r="F26" s="374"/>
      <c r="G26" s="51" t="s">
        <v>1266</v>
      </c>
      <c r="H26" s="68">
        <v>3.0000000000000001E-3</v>
      </c>
      <c r="I26" s="423">
        <v>0.92200000000000004</v>
      </c>
      <c r="J26" s="423"/>
      <c r="K26" s="423">
        <v>0.92200000000000004</v>
      </c>
      <c r="L26" s="423"/>
      <c r="M26" s="423">
        <v>0.92200000000000004</v>
      </c>
      <c r="N26" s="423"/>
      <c r="O26" s="423">
        <v>0.92249999999999999</v>
      </c>
      <c r="P26" s="423"/>
      <c r="Q26" s="423">
        <v>0.92200000000000004</v>
      </c>
      <c r="R26" s="423"/>
      <c r="S26" s="423">
        <v>0.92249999999999999</v>
      </c>
      <c r="T26" s="423"/>
      <c r="U26" s="423">
        <v>0.92200000000000004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1267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1268</v>
      </c>
      <c r="B28" s="384"/>
      <c r="C28" s="386" t="s">
        <v>1269</v>
      </c>
      <c r="D28" s="391" t="s">
        <v>1270</v>
      </c>
      <c r="E28" s="373">
        <v>0.27300000000000002</v>
      </c>
      <c r="F28" s="374"/>
      <c r="G28" s="51" t="s">
        <v>1271</v>
      </c>
      <c r="H28" s="68">
        <v>2E-3</v>
      </c>
      <c r="I28" s="423">
        <v>0.27239999999999998</v>
      </c>
      <c r="J28" s="423"/>
      <c r="K28" s="423">
        <v>0.2722</v>
      </c>
      <c r="L28" s="423"/>
      <c r="M28" s="423">
        <v>0.27210000000000001</v>
      </c>
      <c r="N28" s="423"/>
      <c r="O28" s="423">
        <v>0.27239999999999998</v>
      </c>
      <c r="P28" s="423"/>
      <c r="Q28" s="423">
        <v>0.27229999999999999</v>
      </c>
      <c r="R28" s="423"/>
      <c r="S28" s="423">
        <v>0.27250000000000002</v>
      </c>
      <c r="T28" s="423"/>
      <c r="U28" s="423">
        <v>0.27279999999999999</v>
      </c>
      <c r="V28" s="423"/>
      <c r="W28" s="423">
        <v>0.27239999999999998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1267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1272</v>
      </c>
      <c r="B30" s="384"/>
      <c r="C30" s="386" t="s">
        <v>1264</v>
      </c>
      <c r="D30" s="391"/>
      <c r="E30" s="373">
        <v>1.2999999999999999E-2</v>
      </c>
      <c r="F30" s="374"/>
      <c r="G30" s="51" t="s">
        <v>1266</v>
      </c>
      <c r="H30" s="68">
        <v>2E-3</v>
      </c>
      <c r="I30" s="423">
        <v>1.35E-2</v>
      </c>
      <c r="J30" s="423"/>
      <c r="K30" s="423">
        <v>1.2999999999999999E-2</v>
      </c>
      <c r="L30" s="423"/>
      <c r="M30" s="423">
        <v>1.2999999999999999E-2</v>
      </c>
      <c r="N30" s="423"/>
      <c r="O30" s="423">
        <v>1.35E-2</v>
      </c>
      <c r="P30" s="423"/>
      <c r="Q30" s="423">
        <v>1.2999999999999999E-2</v>
      </c>
      <c r="R30" s="423"/>
      <c r="S30" s="423">
        <v>1.35E-2</v>
      </c>
      <c r="T30" s="423"/>
      <c r="U30" s="423">
        <v>1.2E-2</v>
      </c>
      <c r="V30" s="423"/>
      <c r="W30" s="423">
        <v>1.2500000000000001E-2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1267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1273</v>
      </c>
      <c r="B32" s="384"/>
      <c r="C32" s="386" t="s">
        <v>1274</v>
      </c>
      <c r="D32" s="283" t="s">
        <v>1275</v>
      </c>
      <c r="E32" s="284"/>
      <c r="F32" s="284"/>
      <c r="G32" s="284"/>
      <c r="H32" s="285"/>
      <c r="I32" s="379" t="s">
        <v>1276</v>
      </c>
      <c r="J32" s="379"/>
      <c r="K32" s="379" t="s">
        <v>1276</v>
      </c>
      <c r="L32" s="379"/>
      <c r="M32" s="379" t="s">
        <v>73</v>
      </c>
      <c r="N32" s="379"/>
      <c r="O32" s="379" t="s">
        <v>73</v>
      </c>
      <c r="P32" s="379"/>
      <c r="Q32" s="379" t="s">
        <v>73</v>
      </c>
      <c r="R32" s="379"/>
      <c r="S32" s="379" t="s">
        <v>1276</v>
      </c>
      <c r="T32" s="379"/>
      <c r="U32" s="379" t="s">
        <v>1276</v>
      </c>
      <c r="V32" s="379"/>
      <c r="W32" s="379" t="s">
        <v>1276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86" t="s">
        <v>1277</v>
      </c>
      <c r="E33" s="287"/>
      <c r="F33" s="287"/>
      <c r="G33" s="287"/>
      <c r="H33" s="288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86"/>
      <c r="E35" s="287"/>
      <c r="F35" s="287"/>
      <c r="G35" s="287"/>
      <c r="H35" s="288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83"/>
      <c r="E36" s="284"/>
      <c r="F36" s="284"/>
      <c r="G36" s="284"/>
      <c r="H36" s="285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86"/>
      <c r="E37" s="287"/>
      <c r="F37" s="287"/>
      <c r="G37" s="287"/>
      <c r="H37" s="288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83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86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83"/>
      <c r="E40" s="278"/>
      <c r="F40" s="279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86"/>
      <c r="E41" s="280"/>
      <c r="F41" s="280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83"/>
      <c r="E42" s="278"/>
      <c r="F42" s="279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86"/>
      <c r="E43" s="280"/>
      <c r="F43" s="280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83"/>
      <c r="E44" s="284"/>
      <c r="F44" s="284"/>
      <c r="G44" s="284"/>
      <c r="H44" s="285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86"/>
      <c r="E45" s="287"/>
      <c r="F45" s="287"/>
      <c r="G45" s="287"/>
      <c r="H45" s="288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83"/>
      <c r="E48" s="284"/>
      <c r="F48" s="284"/>
      <c r="G48" s="284"/>
      <c r="H48" s="285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86"/>
      <c r="E49" s="287"/>
      <c r="F49" s="287"/>
      <c r="G49" s="287"/>
      <c r="H49" s="288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1278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1279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1280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1281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1282</v>
      </c>
      <c r="R72" s="401"/>
      <c r="S72" s="409" t="s">
        <v>1283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1284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1285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1286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9">
    <cfRule type="cellIs" dxfId="75" priority="3" operator="greaterThan">
      <formula>$AA$28</formula>
    </cfRule>
    <cfRule type="cellIs" dxfId="74" priority="4" operator="lessThan">
      <formula>$AA$29</formula>
    </cfRule>
  </conditionalFormatting>
  <conditionalFormatting sqref="I30:X31">
    <cfRule type="cellIs" dxfId="73" priority="1" operator="greaterThan">
      <formula>$AA$30</formula>
    </cfRule>
    <cfRule type="cellIs" dxfId="7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30</v>
      </c>
      <c r="B2" s="496"/>
      <c r="C2" s="465" t="s">
        <v>1287</v>
      </c>
      <c r="D2" s="281" t="s">
        <v>2</v>
      </c>
      <c r="E2" s="43"/>
      <c r="F2" s="369" t="s">
        <v>1288</v>
      </c>
      <c r="G2" s="369"/>
      <c r="H2" s="369"/>
      <c r="I2" s="369"/>
      <c r="J2" s="369"/>
      <c r="K2" s="370"/>
      <c r="L2" s="281" t="s">
        <v>4</v>
      </c>
      <c r="M2" s="369">
        <v>4</v>
      </c>
      <c r="N2" s="499"/>
      <c r="O2" s="281" t="s">
        <v>6</v>
      </c>
      <c r="P2" s="502" t="s">
        <v>1289</v>
      </c>
      <c r="Q2" s="502"/>
      <c r="R2" s="502"/>
      <c r="S2" s="502"/>
      <c r="T2" s="502"/>
      <c r="U2" s="502"/>
      <c r="V2" s="503"/>
      <c r="W2" s="281" t="s">
        <v>34</v>
      </c>
      <c r="X2" s="32">
        <v>1</v>
      </c>
      <c r="Z2" s="34" t="s">
        <v>1290</v>
      </c>
    </row>
    <row r="3" spans="1:26" ht="9.9499999999999993" customHeight="1" x14ac:dyDescent="0.25">
      <c r="A3" s="497" t="s">
        <v>1</v>
      </c>
      <c r="B3" s="498"/>
      <c r="C3" s="486"/>
      <c r="D3" s="282" t="s">
        <v>3</v>
      </c>
      <c r="E3" s="44"/>
      <c r="F3" s="371"/>
      <c r="G3" s="371"/>
      <c r="H3" s="371"/>
      <c r="I3" s="371"/>
      <c r="J3" s="371"/>
      <c r="K3" s="372"/>
      <c r="L3" s="282" t="s">
        <v>5</v>
      </c>
      <c r="M3" s="500"/>
      <c r="N3" s="501"/>
      <c r="O3" s="282" t="s">
        <v>7</v>
      </c>
      <c r="P3" s="504"/>
      <c r="Q3" s="504"/>
      <c r="R3" s="504"/>
      <c r="S3" s="504"/>
      <c r="T3" s="504"/>
      <c r="U3" s="504"/>
      <c r="V3" s="505"/>
      <c r="W3" s="282" t="s">
        <v>8</v>
      </c>
      <c r="X3" s="290">
        <v>1</v>
      </c>
      <c r="Z3" s="35"/>
    </row>
    <row r="4" spans="1:26" ht="14.25" customHeight="1" x14ac:dyDescent="0.25">
      <c r="A4" s="3" t="s">
        <v>1291</v>
      </c>
      <c r="B4" s="4"/>
      <c r="C4" s="4"/>
      <c r="D4" s="48"/>
      <c r="E4" s="28" t="s">
        <v>1292</v>
      </c>
      <c r="F4" s="5" t="s">
        <v>1293</v>
      </c>
      <c r="G4" s="5"/>
      <c r="H4" s="5"/>
      <c r="I4" s="4"/>
      <c r="J4" s="4"/>
      <c r="K4" s="28" t="s">
        <v>1294</v>
      </c>
      <c r="L4" s="5" t="s">
        <v>1295</v>
      </c>
      <c r="M4" s="4"/>
      <c r="N4" s="4"/>
      <c r="O4" s="281" t="s">
        <v>9</v>
      </c>
      <c r="P4" s="6"/>
      <c r="Q4" s="442" t="s">
        <v>1296</v>
      </c>
      <c r="R4" s="443"/>
      <c r="S4" s="443"/>
      <c r="T4" s="444"/>
      <c r="U4" s="281" t="s">
        <v>11</v>
      </c>
      <c r="V4" s="7"/>
      <c r="W4" s="369" t="s">
        <v>71</v>
      </c>
      <c r="X4" s="499"/>
      <c r="Z4" s="34" t="s">
        <v>1297</v>
      </c>
    </row>
    <row r="5" spans="1:26" ht="9.9499999999999993" customHeight="1" x14ac:dyDescent="0.2">
      <c r="A5" s="26" t="s">
        <v>1298</v>
      </c>
      <c r="B5" s="8"/>
      <c r="C5" s="8"/>
      <c r="D5" s="8"/>
      <c r="E5" s="8"/>
      <c r="F5" s="27" t="s">
        <v>1299</v>
      </c>
      <c r="G5" s="27"/>
      <c r="H5" s="27"/>
      <c r="I5" s="8"/>
      <c r="J5" s="8"/>
      <c r="K5" s="8"/>
      <c r="L5" s="27" t="s">
        <v>1300</v>
      </c>
      <c r="M5" s="8"/>
      <c r="N5" s="9"/>
      <c r="O5" s="26" t="s">
        <v>10</v>
      </c>
      <c r="P5" s="10"/>
      <c r="Q5" s="445"/>
      <c r="R5" s="445"/>
      <c r="S5" s="445"/>
      <c r="T5" s="446"/>
      <c r="U5" s="282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906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1301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1302</v>
      </c>
      <c r="B22" s="487"/>
      <c r="C22" s="488"/>
      <c r="D22" s="466" t="s">
        <v>1303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1304</v>
      </c>
      <c r="X22" s="492"/>
      <c r="Z22" s="65" t="s">
        <v>1305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1306</v>
      </c>
      <c r="X23" s="494"/>
      <c r="Z23" s="66" t="s">
        <v>1267</v>
      </c>
    </row>
    <row r="24" spans="1:28" ht="14.25" customHeight="1" x14ac:dyDescent="0.25">
      <c r="A24" s="447" t="s">
        <v>1307</v>
      </c>
      <c r="B24" s="473"/>
      <c r="C24" s="33" t="s">
        <v>16</v>
      </c>
      <c r="D24" s="476" t="s">
        <v>882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289" t="s">
        <v>46</v>
      </c>
      <c r="D25" s="479" t="s">
        <v>1308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52</v>
      </c>
    </row>
    <row r="26" spans="1:28" s="19" customFormat="1" ht="9.9499999999999993" customHeight="1" x14ac:dyDescent="0.25">
      <c r="A26" s="384" t="s">
        <v>1309</v>
      </c>
      <c r="B26" s="384"/>
      <c r="C26" s="386" t="s">
        <v>1310</v>
      </c>
      <c r="D26" s="391" t="s">
        <v>1311</v>
      </c>
      <c r="E26" s="373">
        <v>0.92100000000000004</v>
      </c>
      <c r="F26" s="374"/>
      <c r="G26" s="51" t="s">
        <v>1312</v>
      </c>
      <c r="H26" s="68">
        <v>3.0000000000000001E-3</v>
      </c>
      <c r="I26" s="423">
        <v>0.92349999999999999</v>
      </c>
      <c r="J26" s="423"/>
      <c r="K26" s="423">
        <v>0.92200000000000004</v>
      </c>
      <c r="L26" s="423"/>
      <c r="M26" s="423">
        <v>0.92300000000000004</v>
      </c>
      <c r="N26" s="423"/>
      <c r="O26" s="423">
        <v>0.92249999999999999</v>
      </c>
      <c r="P26" s="423"/>
      <c r="Q26" s="423">
        <v>0.92249999999999999</v>
      </c>
      <c r="R26" s="423"/>
      <c r="S26" s="423">
        <v>0.92200000000000004</v>
      </c>
      <c r="T26" s="423"/>
      <c r="U26" s="423">
        <v>0.92249999999999999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1313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1314</v>
      </c>
      <c r="B28" s="384"/>
      <c r="C28" s="386" t="s">
        <v>1315</v>
      </c>
      <c r="D28" s="391" t="s">
        <v>1311</v>
      </c>
      <c r="E28" s="373">
        <v>0.27300000000000002</v>
      </c>
      <c r="F28" s="374"/>
      <c r="G28" s="51" t="s">
        <v>1312</v>
      </c>
      <c r="H28" s="68">
        <v>2E-3</v>
      </c>
      <c r="I28" s="423">
        <v>0.27210000000000001</v>
      </c>
      <c r="J28" s="423"/>
      <c r="K28" s="423">
        <v>0.27239999999999998</v>
      </c>
      <c r="L28" s="423"/>
      <c r="M28" s="423">
        <v>0.27260000000000001</v>
      </c>
      <c r="N28" s="423"/>
      <c r="O28" s="423">
        <v>0.2727</v>
      </c>
      <c r="P28" s="423"/>
      <c r="Q28" s="423">
        <v>0.27210000000000001</v>
      </c>
      <c r="R28" s="423"/>
      <c r="S28" s="423">
        <v>0.27260000000000001</v>
      </c>
      <c r="T28" s="423"/>
      <c r="U28" s="423">
        <v>0.27300000000000002</v>
      </c>
      <c r="V28" s="423"/>
      <c r="W28" s="423">
        <v>0.27260000000000001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1267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60</v>
      </c>
      <c r="B30" s="384"/>
      <c r="C30" s="386" t="s">
        <v>1310</v>
      </c>
      <c r="D30" s="391"/>
      <c r="E30" s="373">
        <v>1.2999999999999999E-2</v>
      </c>
      <c r="F30" s="374"/>
      <c r="G30" s="51" t="s">
        <v>1316</v>
      </c>
      <c r="H30" s="68">
        <v>2E-3</v>
      </c>
      <c r="I30" s="423">
        <v>1.2999999999999999E-2</v>
      </c>
      <c r="J30" s="423"/>
      <c r="K30" s="423">
        <v>1.35E-2</v>
      </c>
      <c r="L30" s="423"/>
      <c r="M30" s="423">
        <v>1.2E-2</v>
      </c>
      <c r="N30" s="423"/>
      <c r="O30" s="423">
        <v>1.2999999999999999E-2</v>
      </c>
      <c r="P30" s="423"/>
      <c r="Q30" s="423">
        <v>1.2500000000000001E-2</v>
      </c>
      <c r="R30" s="423"/>
      <c r="S30" s="423">
        <v>1.2500000000000001E-2</v>
      </c>
      <c r="T30" s="423"/>
      <c r="U30" s="423">
        <v>1.2500000000000001E-2</v>
      </c>
      <c r="V30" s="423"/>
      <c r="W30" s="423">
        <v>1.2500000000000001E-2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1267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1317</v>
      </c>
      <c r="B32" s="384"/>
      <c r="C32" s="386" t="s">
        <v>1318</v>
      </c>
      <c r="D32" s="283" t="s">
        <v>1319</v>
      </c>
      <c r="E32" s="284"/>
      <c r="F32" s="284"/>
      <c r="G32" s="284"/>
      <c r="H32" s="285"/>
      <c r="I32" s="379" t="s">
        <v>1320</v>
      </c>
      <c r="J32" s="379"/>
      <c r="K32" s="379" t="s">
        <v>1320</v>
      </c>
      <c r="L32" s="379"/>
      <c r="M32" s="379" t="s">
        <v>1276</v>
      </c>
      <c r="N32" s="379"/>
      <c r="O32" s="379" t="s">
        <v>1320</v>
      </c>
      <c r="P32" s="379"/>
      <c r="Q32" s="379" t="s">
        <v>1320</v>
      </c>
      <c r="R32" s="379"/>
      <c r="S32" s="379" t="s">
        <v>1320</v>
      </c>
      <c r="T32" s="379"/>
      <c r="U32" s="379" t="s">
        <v>1276</v>
      </c>
      <c r="V32" s="379"/>
      <c r="W32" s="379" t="s">
        <v>1321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86" t="s">
        <v>1277</v>
      </c>
      <c r="E33" s="287"/>
      <c r="F33" s="287"/>
      <c r="G33" s="287"/>
      <c r="H33" s="288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86"/>
      <c r="E35" s="287"/>
      <c r="F35" s="287"/>
      <c r="G35" s="287"/>
      <c r="H35" s="288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83"/>
      <c r="E36" s="284"/>
      <c r="F36" s="284"/>
      <c r="G36" s="284"/>
      <c r="H36" s="285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86"/>
      <c r="E37" s="287"/>
      <c r="F37" s="287"/>
      <c r="G37" s="287"/>
      <c r="H37" s="288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83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86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83"/>
      <c r="E40" s="278"/>
      <c r="F40" s="279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86"/>
      <c r="E41" s="280"/>
      <c r="F41" s="280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83"/>
      <c r="E42" s="278"/>
      <c r="F42" s="279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86"/>
      <c r="E43" s="280"/>
      <c r="F43" s="280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83"/>
      <c r="E44" s="284"/>
      <c r="F44" s="284"/>
      <c r="G44" s="284"/>
      <c r="H44" s="285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86"/>
      <c r="E45" s="287"/>
      <c r="F45" s="287"/>
      <c r="G45" s="287"/>
      <c r="H45" s="288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83"/>
      <c r="E48" s="284"/>
      <c r="F48" s="284"/>
      <c r="G48" s="284"/>
      <c r="H48" s="285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86"/>
      <c r="E49" s="287"/>
      <c r="F49" s="287"/>
      <c r="G49" s="287"/>
      <c r="H49" s="288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1322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1323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1324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1325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1310</v>
      </c>
      <c r="R72" s="401"/>
      <c r="S72" s="409" t="s">
        <v>1326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1327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1328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45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71" priority="5" operator="greaterThan">
      <formula>$AA$26</formula>
    </cfRule>
    <cfRule type="cellIs" dxfId="70" priority="6" operator="lessThan">
      <formula>$AA$27</formula>
    </cfRule>
  </conditionalFormatting>
  <conditionalFormatting sqref="I28:X29">
    <cfRule type="cellIs" dxfId="69" priority="3" operator="greaterThan">
      <formula>$AA$28</formula>
    </cfRule>
    <cfRule type="cellIs" dxfId="68" priority="4" operator="lessThan">
      <formula>$AA$29</formula>
    </cfRule>
  </conditionalFormatting>
  <conditionalFormatting sqref="I30:X31">
    <cfRule type="cellIs" dxfId="67" priority="1" operator="greaterThan">
      <formula>$AA$30</formula>
    </cfRule>
    <cfRule type="cellIs" dxfId="6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1329</v>
      </c>
      <c r="B2" s="496"/>
      <c r="C2" s="465" t="s">
        <v>132</v>
      </c>
      <c r="D2" s="302" t="s">
        <v>2</v>
      </c>
      <c r="E2" s="43"/>
      <c r="F2" s="369" t="s">
        <v>89</v>
      </c>
      <c r="G2" s="369"/>
      <c r="H2" s="369"/>
      <c r="I2" s="369"/>
      <c r="J2" s="369"/>
      <c r="K2" s="370"/>
      <c r="L2" s="302" t="s">
        <v>4</v>
      </c>
      <c r="M2" s="369">
        <v>4</v>
      </c>
      <c r="N2" s="499"/>
      <c r="O2" s="302" t="s">
        <v>6</v>
      </c>
      <c r="P2" s="502" t="s">
        <v>1330</v>
      </c>
      <c r="Q2" s="502"/>
      <c r="R2" s="502"/>
      <c r="S2" s="502"/>
      <c r="T2" s="502"/>
      <c r="U2" s="502"/>
      <c r="V2" s="503"/>
      <c r="W2" s="302" t="s">
        <v>34</v>
      </c>
      <c r="X2" s="32">
        <v>1</v>
      </c>
      <c r="Z2" s="34" t="s">
        <v>1331</v>
      </c>
    </row>
    <row r="3" spans="1:26" ht="9.9499999999999993" customHeight="1" x14ac:dyDescent="0.25">
      <c r="A3" s="497" t="s">
        <v>1</v>
      </c>
      <c r="B3" s="498"/>
      <c r="C3" s="486"/>
      <c r="D3" s="303" t="s">
        <v>3</v>
      </c>
      <c r="E3" s="44"/>
      <c r="F3" s="371"/>
      <c r="G3" s="371"/>
      <c r="H3" s="371"/>
      <c r="I3" s="371"/>
      <c r="J3" s="371"/>
      <c r="K3" s="372"/>
      <c r="L3" s="303" t="s">
        <v>5</v>
      </c>
      <c r="M3" s="500"/>
      <c r="N3" s="501"/>
      <c r="O3" s="303" t="s">
        <v>7</v>
      </c>
      <c r="P3" s="504"/>
      <c r="Q3" s="504"/>
      <c r="R3" s="504"/>
      <c r="S3" s="504"/>
      <c r="T3" s="504"/>
      <c r="U3" s="504"/>
      <c r="V3" s="505"/>
      <c r="W3" s="303" t="s">
        <v>8</v>
      </c>
      <c r="X3" s="291">
        <v>1</v>
      </c>
      <c r="Z3" s="35"/>
    </row>
    <row r="4" spans="1:26" ht="14.25" customHeight="1" x14ac:dyDescent="0.25">
      <c r="A4" s="3" t="s">
        <v>1332</v>
      </c>
      <c r="B4" s="4"/>
      <c r="C4" s="4"/>
      <c r="D4" s="48"/>
      <c r="E4" s="28" t="s">
        <v>1333</v>
      </c>
      <c r="F4" s="5" t="s">
        <v>1334</v>
      </c>
      <c r="G4" s="5"/>
      <c r="H4" s="5"/>
      <c r="I4" s="4"/>
      <c r="J4" s="4"/>
      <c r="K4" s="28" t="s">
        <v>114</v>
      </c>
      <c r="L4" s="5" t="s">
        <v>82</v>
      </c>
      <c r="M4" s="4"/>
      <c r="N4" s="4"/>
      <c r="O4" s="302" t="s">
        <v>9</v>
      </c>
      <c r="P4" s="6"/>
      <c r="Q4" s="442" t="s">
        <v>1335</v>
      </c>
      <c r="R4" s="443"/>
      <c r="S4" s="443"/>
      <c r="T4" s="444"/>
      <c r="U4" s="302" t="s">
        <v>11</v>
      </c>
      <c r="V4" s="7"/>
      <c r="W4" s="369" t="s">
        <v>71</v>
      </c>
      <c r="X4" s="499"/>
      <c r="Z4" s="34" t="s">
        <v>1336</v>
      </c>
    </row>
    <row r="5" spans="1:26" ht="9.9499999999999993" customHeight="1" x14ac:dyDescent="0.2">
      <c r="A5" s="26" t="s">
        <v>1337</v>
      </c>
      <c r="B5" s="8"/>
      <c r="C5" s="8"/>
      <c r="D5" s="8"/>
      <c r="E5" s="8"/>
      <c r="F5" s="27" t="s">
        <v>85</v>
      </c>
      <c r="G5" s="27"/>
      <c r="H5" s="27"/>
      <c r="I5" s="8"/>
      <c r="J5" s="8"/>
      <c r="K5" s="8"/>
      <c r="L5" s="27" t="s">
        <v>1338</v>
      </c>
      <c r="M5" s="8"/>
      <c r="N5" s="9"/>
      <c r="O5" s="26" t="s">
        <v>10</v>
      </c>
      <c r="P5" s="10"/>
      <c r="Q5" s="445"/>
      <c r="R5" s="445"/>
      <c r="S5" s="445"/>
      <c r="T5" s="446"/>
      <c r="U5" s="303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88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1339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1340</v>
      </c>
      <c r="B22" s="487"/>
      <c r="C22" s="488"/>
      <c r="D22" s="466" t="s">
        <v>144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91</v>
      </c>
      <c r="X22" s="492"/>
      <c r="Z22" s="65" t="s">
        <v>102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93</v>
      </c>
      <c r="X23" s="494"/>
      <c r="Z23" s="66" t="s">
        <v>1341</v>
      </c>
    </row>
    <row r="24" spans="1:28" ht="14.25" customHeight="1" x14ac:dyDescent="0.25">
      <c r="A24" s="447" t="s">
        <v>1342</v>
      </c>
      <c r="B24" s="473"/>
      <c r="C24" s="33" t="s">
        <v>16</v>
      </c>
      <c r="D24" s="476" t="s">
        <v>1343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301" t="s">
        <v>1344</v>
      </c>
      <c r="D25" s="479" t="s">
        <v>99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1345</v>
      </c>
    </row>
    <row r="26" spans="1:28" s="19" customFormat="1" ht="9.9499999999999993" customHeight="1" x14ac:dyDescent="0.25">
      <c r="A26" s="384" t="s">
        <v>1346</v>
      </c>
      <c r="B26" s="384"/>
      <c r="C26" s="386" t="s">
        <v>100</v>
      </c>
      <c r="D26" s="391" t="s">
        <v>1347</v>
      </c>
      <c r="E26" s="373">
        <v>0.92100000000000004</v>
      </c>
      <c r="F26" s="374"/>
      <c r="G26" s="51" t="s">
        <v>1348</v>
      </c>
      <c r="H26" s="68">
        <v>3.0000000000000001E-3</v>
      </c>
      <c r="I26" s="423">
        <v>0.92200000000000004</v>
      </c>
      <c r="J26" s="423"/>
      <c r="K26" s="423">
        <v>0.92249999999999999</v>
      </c>
      <c r="L26" s="423"/>
      <c r="M26" s="423">
        <v>0.92200000000000004</v>
      </c>
      <c r="N26" s="423"/>
      <c r="O26" s="423">
        <v>0.92200000000000004</v>
      </c>
      <c r="P26" s="423"/>
      <c r="Q26" s="423">
        <v>0.92149999999999999</v>
      </c>
      <c r="R26" s="423"/>
      <c r="S26" s="423">
        <v>0.92200000000000004</v>
      </c>
      <c r="T26" s="423"/>
      <c r="U26" s="423">
        <v>0.92200000000000004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94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103</v>
      </c>
      <c r="B28" s="384"/>
      <c r="C28" s="386" t="s">
        <v>121</v>
      </c>
      <c r="D28" s="391" t="s">
        <v>1345</v>
      </c>
      <c r="E28" s="373">
        <v>0.27300000000000002</v>
      </c>
      <c r="F28" s="374"/>
      <c r="G28" s="51" t="s">
        <v>1348</v>
      </c>
      <c r="H28" s="68">
        <v>2E-3</v>
      </c>
      <c r="I28" s="423">
        <v>0.27260000000000001</v>
      </c>
      <c r="J28" s="423"/>
      <c r="K28" s="423">
        <v>0.27200000000000002</v>
      </c>
      <c r="L28" s="423"/>
      <c r="M28" s="423">
        <v>0.27310000000000001</v>
      </c>
      <c r="N28" s="423"/>
      <c r="O28" s="423">
        <v>0.27239999999999998</v>
      </c>
      <c r="P28" s="423"/>
      <c r="Q28" s="423">
        <v>0.2722</v>
      </c>
      <c r="R28" s="423"/>
      <c r="S28" s="423">
        <v>0.27279999999999999</v>
      </c>
      <c r="T28" s="423"/>
      <c r="U28" s="423">
        <v>0.27179999999999999</v>
      </c>
      <c r="V28" s="423"/>
      <c r="W28" s="423">
        <v>0.27239999999999998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94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1349</v>
      </c>
      <c r="B30" s="384"/>
      <c r="C30" s="386" t="s">
        <v>1350</v>
      </c>
      <c r="D30" s="391"/>
      <c r="E30" s="373">
        <v>1.2999999999999999E-2</v>
      </c>
      <c r="F30" s="374"/>
      <c r="G30" s="51" t="s">
        <v>1351</v>
      </c>
      <c r="H30" s="68">
        <v>2E-3</v>
      </c>
      <c r="I30" s="423">
        <v>1.2999999999999999E-2</v>
      </c>
      <c r="J30" s="423"/>
      <c r="K30" s="423">
        <v>1.35E-2</v>
      </c>
      <c r="L30" s="423"/>
      <c r="M30" s="423">
        <v>1.2999999999999999E-2</v>
      </c>
      <c r="N30" s="423"/>
      <c r="O30" s="423">
        <v>1.35E-2</v>
      </c>
      <c r="P30" s="423"/>
      <c r="Q30" s="423">
        <v>1.35E-2</v>
      </c>
      <c r="R30" s="423"/>
      <c r="S30" s="423">
        <v>1.35E-2</v>
      </c>
      <c r="T30" s="423"/>
      <c r="U30" s="423">
        <v>1.35E-2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1352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1353</v>
      </c>
      <c r="B32" s="384"/>
      <c r="C32" s="386" t="s">
        <v>1354</v>
      </c>
      <c r="D32" s="295" t="s">
        <v>1355</v>
      </c>
      <c r="E32" s="296"/>
      <c r="F32" s="296"/>
      <c r="G32" s="296"/>
      <c r="H32" s="297"/>
      <c r="I32" s="379" t="s">
        <v>110</v>
      </c>
      <c r="J32" s="379"/>
      <c r="K32" s="379" t="s">
        <v>1356</v>
      </c>
      <c r="L32" s="379"/>
      <c r="M32" s="379" t="s">
        <v>1357</v>
      </c>
      <c r="N32" s="379"/>
      <c r="O32" s="379" t="s">
        <v>1358</v>
      </c>
      <c r="P32" s="379"/>
      <c r="Q32" s="379" t="s">
        <v>110</v>
      </c>
      <c r="R32" s="379"/>
      <c r="S32" s="379" t="s">
        <v>1357</v>
      </c>
      <c r="T32" s="379"/>
      <c r="U32" s="379" t="s">
        <v>1356</v>
      </c>
      <c r="V32" s="379"/>
      <c r="W32" s="379" t="s">
        <v>1359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98" t="s">
        <v>112</v>
      </c>
      <c r="E33" s="299"/>
      <c r="F33" s="299"/>
      <c r="G33" s="299"/>
      <c r="H33" s="300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98"/>
      <c r="E35" s="299"/>
      <c r="F35" s="299"/>
      <c r="G35" s="299"/>
      <c r="H35" s="300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95"/>
      <c r="E36" s="296"/>
      <c r="F36" s="296"/>
      <c r="G36" s="296"/>
      <c r="H36" s="297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98"/>
      <c r="E37" s="299"/>
      <c r="F37" s="299"/>
      <c r="G37" s="299"/>
      <c r="H37" s="300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95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98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95"/>
      <c r="E40" s="292"/>
      <c r="F40" s="293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98"/>
      <c r="E41" s="294"/>
      <c r="F41" s="294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95"/>
      <c r="E42" s="292"/>
      <c r="F42" s="293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98"/>
      <c r="E43" s="294"/>
      <c r="F43" s="294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95"/>
      <c r="E44" s="296"/>
      <c r="F44" s="296"/>
      <c r="G44" s="296"/>
      <c r="H44" s="297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98"/>
      <c r="E45" s="299"/>
      <c r="F45" s="299"/>
      <c r="G45" s="299"/>
      <c r="H45" s="300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95"/>
      <c r="E48" s="296"/>
      <c r="F48" s="296"/>
      <c r="G48" s="296"/>
      <c r="H48" s="297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98"/>
      <c r="E49" s="299"/>
      <c r="F49" s="299"/>
      <c r="G49" s="299"/>
      <c r="H49" s="300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123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1360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1361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1362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1350</v>
      </c>
      <c r="R72" s="401"/>
      <c r="S72" s="409" t="s">
        <v>1363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1364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1365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9">
    <cfRule type="cellIs" dxfId="63" priority="3" operator="greaterThan">
      <formula>$AA$28</formula>
    </cfRule>
    <cfRule type="cellIs" dxfId="62" priority="4" operator="lessThan">
      <formula>$AA$29</formula>
    </cfRule>
  </conditionalFormatting>
  <conditionalFormatting sqref="I30:X31">
    <cfRule type="cellIs" dxfId="61" priority="1" operator="greaterThan">
      <formula>$AA$30</formula>
    </cfRule>
    <cfRule type="cellIs" dxfId="6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1366</v>
      </c>
      <c r="B2" s="496"/>
      <c r="C2" s="465" t="s">
        <v>132</v>
      </c>
      <c r="D2" s="302" t="s">
        <v>2</v>
      </c>
      <c r="E2" s="43"/>
      <c r="F2" s="369" t="s">
        <v>89</v>
      </c>
      <c r="G2" s="369"/>
      <c r="H2" s="369"/>
      <c r="I2" s="369"/>
      <c r="J2" s="369"/>
      <c r="K2" s="370"/>
      <c r="L2" s="302" t="s">
        <v>4</v>
      </c>
      <c r="M2" s="369">
        <v>4</v>
      </c>
      <c r="N2" s="499"/>
      <c r="O2" s="302" t="s">
        <v>6</v>
      </c>
      <c r="P2" s="502" t="s">
        <v>134</v>
      </c>
      <c r="Q2" s="502"/>
      <c r="R2" s="502"/>
      <c r="S2" s="502"/>
      <c r="T2" s="502"/>
      <c r="U2" s="502"/>
      <c r="V2" s="503"/>
      <c r="W2" s="302" t="s">
        <v>34</v>
      </c>
      <c r="X2" s="32">
        <v>1</v>
      </c>
      <c r="Z2" s="34" t="s">
        <v>135</v>
      </c>
    </row>
    <row r="3" spans="1:26" ht="9.9499999999999993" customHeight="1" x14ac:dyDescent="0.25">
      <c r="A3" s="497" t="s">
        <v>1</v>
      </c>
      <c r="B3" s="498"/>
      <c r="C3" s="486"/>
      <c r="D3" s="303" t="s">
        <v>3</v>
      </c>
      <c r="E3" s="44"/>
      <c r="F3" s="371"/>
      <c r="G3" s="371"/>
      <c r="H3" s="371"/>
      <c r="I3" s="371"/>
      <c r="J3" s="371"/>
      <c r="K3" s="372"/>
      <c r="L3" s="303" t="s">
        <v>5</v>
      </c>
      <c r="M3" s="500"/>
      <c r="N3" s="501"/>
      <c r="O3" s="303" t="s">
        <v>7</v>
      </c>
      <c r="P3" s="504"/>
      <c r="Q3" s="504"/>
      <c r="R3" s="504"/>
      <c r="S3" s="504"/>
      <c r="T3" s="504"/>
      <c r="U3" s="504"/>
      <c r="V3" s="505"/>
      <c r="W3" s="303" t="s">
        <v>8</v>
      </c>
      <c r="X3" s="291">
        <v>1</v>
      </c>
      <c r="Z3" s="35"/>
    </row>
    <row r="4" spans="1:26" ht="14.25" customHeight="1" x14ac:dyDescent="0.25">
      <c r="A4" s="3" t="s">
        <v>136</v>
      </c>
      <c r="B4" s="4"/>
      <c r="C4" s="4"/>
      <c r="D4" s="48"/>
      <c r="E4" s="28" t="s">
        <v>1367</v>
      </c>
      <c r="F4" s="5" t="s">
        <v>1368</v>
      </c>
      <c r="G4" s="5"/>
      <c r="H4" s="5"/>
      <c r="I4" s="4"/>
      <c r="J4" s="4"/>
      <c r="K4" s="28" t="s">
        <v>1369</v>
      </c>
      <c r="L4" s="5" t="s">
        <v>82</v>
      </c>
      <c r="M4" s="4"/>
      <c r="N4" s="4"/>
      <c r="O4" s="302" t="s">
        <v>9</v>
      </c>
      <c r="P4" s="6"/>
      <c r="Q4" s="442" t="s">
        <v>1370</v>
      </c>
      <c r="R4" s="443"/>
      <c r="S4" s="443"/>
      <c r="T4" s="444"/>
      <c r="U4" s="302" t="s">
        <v>11</v>
      </c>
      <c r="V4" s="7"/>
      <c r="W4" s="369" t="s">
        <v>71</v>
      </c>
      <c r="X4" s="499"/>
      <c r="Z4" s="34" t="s">
        <v>141</v>
      </c>
    </row>
    <row r="5" spans="1:26" ht="9.9499999999999993" customHeight="1" x14ac:dyDescent="0.2">
      <c r="A5" s="26" t="s">
        <v>84</v>
      </c>
      <c r="B5" s="8"/>
      <c r="C5" s="8"/>
      <c r="D5" s="8"/>
      <c r="E5" s="8"/>
      <c r="F5" s="27" t="s">
        <v>85</v>
      </c>
      <c r="G5" s="27"/>
      <c r="H5" s="27"/>
      <c r="I5" s="8"/>
      <c r="J5" s="8"/>
      <c r="K5" s="8"/>
      <c r="L5" s="27" t="s">
        <v>87</v>
      </c>
      <c r="M5" s="8"/>
      <c r="N5" s="9"/>
      <c r="O5" s="26" t="s">
        <v>10</v>
      </c>
      <c r="P5" s="10"/>
      <c r="Q5" s="445"/>
      <c r="R5" s="445"/>
      <c r="S5" s="445"/>
      <c r="T5" s="446"/>
      <c r="U5" s="303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88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1371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144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91</v>
      </c>
      <c r="X22" s="492"/>
      <c r="Z22" s="65" t="s">
        <v>102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93</v>
      </c>
      <c r="X23" s="494"/>
      <c r="Z23" s="66" t="s">
        <v>1372</v>
      </c>
    </row>
    <row r="24" spans="1:28" ht="14.25" customHeight="1" x14ac:dyDescent="0.25">
      <c r="A24" s="447" t="s">
        <v>95</v>
      </c>
      <c r="B24" s="473"/>
      <c r="C24" s="33" t="s">
        <v>16</v>
      </c>
      <c r="D24" s="476" t="s">
        <v>1373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301" t="s">
        <v>98</v>
      </c>
      <c r="D25" s="479" t="s">
        <v>99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101</v>
      </c>
    </row>
    <row r="26" spans="1:28" s="19" customFormat="1" ht="9.9499999999999993" customHeight="1" x14ac:dyDescent="0.25">
      <c r="A26" s="384" t="s">
        <v>120</v>
      </c>
      <c r="B26" s="384"/>
      <c r="C26" s="386" t="s">
        <v>1374</v>
      </c>
      <c r="D26" s="391" t="s">
        <v>101</v>
      </c>
      <c r="E26" s="373">
        <v>0.92100000000000004</v>
      </c>
      <c r="F26" s="374"/>
      <c r="G26" s="51" t="s">
        <v>102</v>
      </c>
      <c r="H26" s="68">
        <v>3.0000000000000001E-3</v>
      </c>
      <c r="I26" s="423">
        <v>0.92200000000000004</v>
      </c>
      <c r="J26" s="423"/>
      <c r="K26" s="423">
        <v>0.92249999999999999</v>
      </c>
      <c r="L26" s="423"/>
      <c r="M26" s="423">
        <v>0.92249999999999999</v>
      </c>
      <c r="N26" s="423"/>
      <c r="O26" s="423">
        <v>0.92300000000000004</v>
      </c>
      <c r="P26" s="423"/>
      <c r="Q26" s="423">
        <v>0.92300000000000004</v>
      </c>
      <c r="R26" s="423"/>
      <c r="S26" s="423">
        <v>0.92249999999999999</v>
      </c>
      <c r="T26" s="423"/>
      <c r="U26" s="423">
        <v>0.92249999999999999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94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1375</v>
      </c>
      <c r="B28" s="384"/>
      <c r="C28" s="386" t="s">
        <v>1376</v>
      </c>
      <c r="D28" s="391" t="s">
        <v>1345</v>
      </c>
      <c r="E28" s="373">
        <v>0.27300000000000002</v>
      </c>
      <c r="F28" s="374"/>
      <c r="G28" s="51" t="s">
        <v>1351</v>
      </c>
      <c r="H28" s="68">
        <v>2E-3</v>
      </c>
      <c r="I28" s="423">
        <v>0.27260000000000001</v>
      </c>
      <c r="J28" s="423"/>
      <c r="K28" s="423">
        <v>0.27239999999999998</v>
      </c>
      <c r="L28" s="423"/>
      <c r="M28" s="423">
        <v>0.27200000000000002</v>
      </c>
      <c r="N28" s="423"/>
      <c r="O28" s="423">
        <v>0.27150000000000002</v>
      </c>
      <c r="P28" s="423"/>
      <c r="Q28" s="423">
        <v>0.2722</v>
      </c>
      <c r="R28" s="423"/>
      <c r="S28" s="423">
        <v>0.27239999999999998</v>
      </c>
      <c r="T28" s="423"/>
      <c r="U28" s="423">
        <v>0.27210000000000001</v>
      </c>
      <c r="V28" s="423"/>
      <c r="W28" s="423">
        <v>0.27289999999999998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1352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105</v>
      </c>
      <c r="B30" s="384"/>
      <c r="C30" s="386" t="s">
        <v>1374</v>
      </c>
      <c r="D30" s="391"/>
      <c r="E30" s="373">
        <v>1.2999999999999999E-2</v>
      </c>
      <c r="F30" s="374"/>
      <c r="G30" s="51" t="s">
        <v>1351</v>
      </c>
      <c r="H30" s="68">
        <v>2E-3</v>
      </c>
      <c r="I30" s="423">
        <v>1.35E-2</v>
      </c>
      <c r="J30" s="423"/>
      <c r="K30" s="423">
        <v>1.35E-2</v>
      </c>
      <c r="L30" s="423"/>
      <c r="M30" s="423">
        <v>1.2E-2</v>
      </c>
      <c r="N30" s="423"/>
      <c r="O30" s="423">
        <v>1.35E-2</v>
      </c>
      <c r="P30" s="423"/>
      <c r="Q30" s="423">
        <v>1.35E-2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1352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107</v>
      </c>
      <c r="B32" s="384"/>
      <c r="C32" s="386" t="s">
        <v>108</v>
      </c>
      <c r="D32" s="295" t="s">
        <v>1377</v>
      </c>
      <c r="E32" s="296"/>
      <c r="F32" s="296"/>
      <c r="G32" s="296"/>
      <c r="H32" s="297"/>
      <c r="I32" s="379" t="s">
        <v>110</v>
      </c>
      <c r="J32" s="379"/>
      <c r="K32" s="379" t="s">
        <v>1378</v>
      </c>
      <c r="L32" s="379"/>
      <c r="M32" s="379" t="s">
        <v>110</v>
      </c>
      <c r="N32" s="379"/>
      <c r="O32" s="379" t="s">
        <v>110</v>
      </c>
      <c r="P32" s="379"/>
      <c r="Q32" s="379" t="s">
        <v>110</v>
      </c>
      <c r="R32" s="379"/>
      <c r="S32" s="379" t="s">
        <v>1356</v>
      </c>
      <c r="T32" s="379"/>
      <c r="U32" s="379" t="s">
        <v>110</v>
      </c>
      <c r="V32" s="379"/>
      <c r="W32" s="379" t="s">
        <v>1356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298" t="s">
        <v>1379</v>
      </c>
      <c r="E33" s="299"/>
      <c r="F33" s="299"/>
      <c r="G33" s="299"/>
      <c r="H33" s="300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298"/>
      <c r="E35" s="299"/>
      <c r="F35" s="299"/>
      <c r="G35" s="299"/>
      <c r="H35" s="300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295"/>
      <c r="E36" s="296"/>
      <c r="F36" s="296"/>
      <c r="G36" s="296"/>
      <c r="H36" s="297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298"/>
      <c r="E37" s="299"/>
      <c r="F37" s="299"/>
      <c r="G37" s="299"/>
      <c r="H37" s="300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295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298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295"/>
      <c r="E40" s="292"/>
      <c r="F40" s="293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298"/>
      <c r="E41" s="294"/>
      <c r="F41" s="294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295"/>
      <c r="E42" s="292"/>
      <c r="F42" s="293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298"/>
      <c r="E43" s="294"/>
      <c r="F43" s="294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295"/>
      <c r="E44" s="296"/>
      <c r="F44" s="296"/>
      <c r="G44" s="296"/>
      <c r="H44" s="297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298"/>
      <c r="E45" s="299"/>
      <c r="F45" s="299"/>
      <c r="G45" s="299"/>
      <c r="H45" s="300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295"/>
      <c r="E48" s="296"/>
      <c r="F48" s="296"/>
      <c r="G48" s="296"/>
      <c r="H48" s="297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298"/>
      <c r="E49" s="299"/>
      <c r="F49" s="299"/>
      <c r="G49" s="299"/>
      <c r="H49" s="300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1380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1381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125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126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1382</v>
      </c>
      <c r="R72" s="401"/>
      <c r="S72" s="409" t="s">
        <v>1383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1384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1385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59" priority="5" operator="greaterThan">
      <formula>$AA$26</formula>
    </cfRule>
    <cfRule type="cellIs" dxfId="58" priority="6" operator="lessThan">
      <formula>$AA$27</formula>
    </cfRule>
  </conditionalFormatting>
  <conditionalFormatting sqref="I28:X29">
    <cfRule type="cellIs" dxfId="57" priority="3" operator="greaterThan">
      <formula>$AA$28</formula>
    </cfRule>
    <cfRule type="cellIs" dxfId="56" priority="4" operator="lessThan">
      <formula>$AA$29</formula>
    </cfRule>
  </conditionalFormatting>
  <conditionalFormatting sqref="I30:X31">
    <cfRule type="cellIs" dxfId="55" priority="1" operator="greaterThan">
      <formula>$AA$30</formula>
    </cfRule>
    <cfRule type="cellIs" dxfId="5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1386</v>
      </c>
      <c r="B2" s="496"/>
      <c r="C2" s="465" t="s">
        <v>1387</v>
      </c>
      <c r="D2" s="307" t="s">
        <v>2</v>
      </c>
      <c r="E2" s="43"/>
      <c r="F2" s="369" t="s">
        <v>1388</v>
      </c>
      <c r="G2" s="369"/>
      <c r="H2" s="369"/>
      <c r="I2" s="369"/>
      <c r="J2" s="369"/>
      <c r="K2" s="370"/>
      <c r="L2" s="307" t="s">
        <v>4</v>
      </c>
      <c r="M2" s="369">
        <v>4</v>
      </c>
      <c r="N2" s="499"/>
      <c r="O2" s="307" t="s">
        <v>6</v>
      </c>
      <c r="P2" s="502" t="s">
        <v>1389</v>
      </c>
      <c r="Q2" s="502"/>
      <c r="R2" s="502"/>
      <c r="S2" s="502"/>
      <c r="T2" s="502"/>
      <c r="U2" s="502"/>
      <c r="V2" s="503"/>
      <c r="W2" s="307" t="s">
        <v>34</v>
      </c>
      <c r="X2" s="32">
        <v>1</v>
      </c>
      <c r="Z2" s="34" t="s">
        <v>1390</v>
      </c>
    </row>
    <row r="3" spans="1:26" ht="9.9499999999999993" customHeight="1" x14ac:dyDescent="0.25">
      <c r="A3" s="497" t="s">
        <v>1</v>
      </c>
      <c r="B3" s="498"/>
      <c r="C3" s="486"/>
      <c r="D3" s="308" t="s">
        <v>3</v>
      </c>
      <c r="E3" s="44"/>
      <c r="F3" s="371"/>
      <c r="G3" s="371"/>
      <c r="H3" s="371"/>
      <c r="I3" s="371"/>
      <c r="J3" s="371"/>
      <c r="K3" s="372"/>
      <c r="L3" s="308" t="s">
        <v>5</v>
      </c>
      <c r="M3" s="500"/>
      <c r="N3" s="501"/>
      <c r="O3" s="308" t="s">
        <v>7</v>
      </c>
      <c r="P3" s="504"/>
      <c r="Q3" s="504"/>
      <c r="R3" s="504"/>
      <c r="S3" s="504"/>
      <c r="T3" s="504"/>
      <c r="U3" s="504"/>
      <c r="V3" s="505"/>
      <c r="W3" s="308" t="s">
        <v>8</v>
      </c>
      <c r="X3" s="316">
        <v>1</v>
      </c>
      <c r="Z3" s="35"/>
    </row>
    <row r="4" spans="1:26" ht="14.25" customHeight="1" x14ac:dyDescent="0.25">
      <c r="A4" s="3" t="s">
        <v>1391</v>
      </c>
      <c r="B4" s="4"/>
      <c r="C4" s="4"/>
      <c r="D4" s="48"/>
      <c r="E4" s="28" t="s">
        <v>1392</v>
      </c>
      <c r="F4" s="5" t="s">
        <v>1393</v>
      </c>
      <c r="G4" s="5"/>
      <c r="H4" s="5"/>
      <c r="I4" s="4"/>
      <c r="J4" s="4"/>
      <c r="K4" s="28" t="s">
        <v>1394</v>
      </c>
      <c r="L4" s="5" t="s">
        <v>1395</v>
      </c>
      <c r="M4" s="4"/>
      <c r="N4" s="4"/>
      <c r="O4" s="307" t="s">
        <v>9</v>
      </c>
      <c r="P4" s="6"/>
      <c r="Q4" s="442" t="s">
        <v>1396</v>
      </c>
      <c r="R4" s="443"/>
      <c r="S4" s="443"/>
      <c r="T4" s="444"/>
      <c r="U4" s="307" t="s">
        <v>11</v>
      </c>
      <c r="V4" s="7"/>
      <c r="W4" s="369" t="s">
        <v>71</v>
      </c>
      <c r="X4" s="499"/>
      <c r="Z4" s="34" t="s">
        <v>1397</v>
      </c>
    </row>
    <row r="5" spans="1:26" ht="9.9499999999999993" customHeight="1" x14ac:dyDescent="0.2">
      <c r="A5" s="26" t="s">
        <v>1398</v>
      </c>
      <c r="B5" s="8"/>
      <c r="C5" s="8"/>
      <c r="D5" s="8"/>
      <c r="E5" s="8"/>
      <c r="F5" s="27" t="s">
        <v>1399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45"/>
      <c r="R5" s="445"/>
      <c r="S5" s="445"/>
      <c r="T5" s="446"/>
      <c r="U5" s="308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1400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55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1401</v>
      </c>
      <c r="B22" s="487"/>
      <c r="C22" s="488"/>
      <c r="D22" s="466" t="s">
        <v>1402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37</v>
      </c>
      <c r="X22" s="492"/>
      <c r="Z22" s="65" t="s">
        <v>50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66</v>
      </c>
      <c r="X23" s="494"/>
      <c r="Z23" s="66" t="s">
        <v>51</v>
      </c>
    </row>
    <row r="24" spans="1:28" ht="14.25" customHeight="1" x14ac:dyDescent="0.25">
      <c r="A24" s="447" t="s">
        <v>1403</v>
      </c>
      <c r="B24" s="473"/>
      <c r="C24" s="33" t="s">
        <v>16</v>
      </c>
      <c r="D24" s="476" t="s">
        <v>1404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315" t="s">
        <v>1405</v>
      </c>
      <c r="D25" s="479" t="s">
        <v>41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1406</v>
      </c>
    </row>
    <row r="26" spans="1:28" s="19" customFormat="1" ht="9.9499999999999993" customHeight="1" x14ac:dyDescent="0.25">
      <c r="A26" s="384" t="s">
        <v>56</v>
      </c>
      <c r="B26" s="384"/>
      <c r="C26" s="386" t="s">
        <v>1407</v>
      </c>
      <c r="D26" s="391" t="s">
        <v>1406</v>
      </c>
      <c r="E26" s="373">
        <v>0.92100000000000004</v>
      </c>
      <c r="F26" s="374"/>
      <c r="G26" s="51" t="s">
        <v>50</v>
      </c>
      <c r="H26" s="68">
        <v>3.0000000000000001E-3</v>
      </c>
      <c r="I26" s="423">
        <v>0.92200000000000004</v>
      </c>
      <c r="J26" s="423"/>
      <c r="K26" s="423">
        <v>0.92149999999999999</v>
      </c>
      <c r="L26" s="423"/>
      <c r="M26" s="423">
        <v>0.92200000000000004</v>
      </c>
      <c r="N26" s="423"/>
      <c r="O26" s="423">
        <v>0.92200000000000004</v>
      </c>
      <c r="P26" s="423"/>
      <c r="Q26" s="423">
        <v>0.92249999999999999</v>
      </c>
      <c r="R26" s="423"/>
      <c r="S26" s="423">
        <v>0.92200000000000004</v>
      </c>
      <c r="T26" s="423"/>
      <c r="U26" s="423">
        <v>0.92200000000000004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51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1408</v>
      </c>
      <c r="B28" s="384"/>
      <c r="C28" s="386" t="s">
        <v>1409</v>
      </c>
      <c r="D28" s="391" t="s">
        <v>1410</v>
      </c>
      <c r="E28" s="373">
        <v>0.27300000000000002</v>
      </c>
      <c r="F28" s="374"/>
      <c r="G28" s="51" t="s">
        <v>1411</v>
      </c>
      <c r="H28" s="68">
        <v>2E-3</v>
      </c>
      <c r="I28" s="423">
        <v>0.27200000000000002</v>
      </c>
      <c r="J28" s="423"/>
      <c r="K28" s="423">
        <v>0.27250000000000002</v>
      </c>
      <c r="L28" s="423"/>
      <c r="M28" s="423">
        <v>0.27200000000000002</v>
      </c>
      <c r="N28" s="423"/>
      <c r="O28" s="423">
        <v>0.27260000000000001</v>
      </c>
      <c r="P28" s="423"/>
      <c r="Q28" s="423">
        <v>0.2722</v>
      </c>
      <c r="R28" s="423"/>
      <c r="S28" s="423">
        <v>0.27250000000000002</v>
      </c>
      <c r="T28" s="423"/>
      <c r="U28" s="423">
        <v>0.2727</v>
      </c>
      <c r="V28" s="423"/>
      <c r="W28" s="423">
        <v>0.2722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1412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1413</v>
      </c>
      <c r="B30" s="384"/>
      <c r="C30" s="386" t="s">
        <v>57</v>
      </c>
      <c r="D30" s="391"/>
      <c r="E30" s="373">
        <v>1.2999999999999999E-2</v>
      </c>
      <c r="F30" s="374"/>
      <c r="G30" s="51" t="s">
        <v>1411</v>
      </c>
      <c r="H30" s="68">
        <v>2E-3</v>
      </c>
      <c r="I30" s="423">
        <v>1.2999999999999999E-2</v>
      </c>
      <c r="J30" s="423"/>
      <c r="K30" s="423">
        <v>1.2500000000000001E-2</v>
      </c>
      <c r="L30" s="423"/>
      <c r="M30" s="423">
        <v>1.2500000000000001E-2</v>
      </c>
      <c r="N30" s="423"/>
      <c r="O30" s="423">
        <v>1.2999999999999999E-2</v>
      </c>
      <c r="P30" s="423"/>
      <c r="Q30" s="423">
        <v>1.35E-2</v>
      </c>
      <c r="R30" s="423"/>
      <c r="S30" s="423">
        <v>1.2E-2</v>
      </c>
      <c r="T30" s="423"/>
      <c r="U30" s="423">
        <v>1.2500000000000001E-2</v>
      </c>
      <c r="V30" s="423"/>
      <c r="W30" s="423">
        <v>1.2500000000000001E-2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1412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1414</v>
      </c>
      <c r="B32" s="384"/>
      <c r="C32" s="386" t="s">
        <v>62</v>
      </c>
      <c r="D32" s="309" t="s">
        <v>63</v>
      </c>
      <c r="E32" s="310"/>
      <c r="F32" s="310"/>
      <c r="G32" s="310"/>
      <c r="H32" s="311"/>
      <c r="I32" s="379" t="s">
        <v>1415</v>
      </c>
      <c r="J32" s="379"/>
      <c r="K32" s="379" t="s">
        <v>1415</v>
      </c>
      <c r="L32" s="379"/>
      <c r="M32" s="379" t="s">
        <v>1416</v>
      </c>
      <c r="N32" s="379"/>
      <c r="O32" s="379" t="s">
        <v>1416</v>
      </c>
      <c r="P32" s="379"/>
      <c r="Q32" s="379" t="s">
        <v>73</v>
      </c>
      <c r="R32" s="379"/>
      <c r="S32" s="379" t="s">
        <v>73</v>
      </c>
      <c r="T32" s="379"/>
      <c r="U32" s="379" t="s">
        <v>1415</v>
      </c>
      <c r="V32" s="379"/>
      <c r="W32" s="379" t="s">
        <v>1416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312" t="s">
        <v>1417</v>
      </c>
      <c r="E33" s="313"/>
      <c r="F33" s="313"/>
      <c r="G33" s="313"/>
      <c r="H33" s="314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312"/>
      <c r="E35" s="313"/>
      <c r="F35" s="313"/>
      <c r="G35" s="313"/>
      <c r="H35" s="314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309"/>
      <c r="E36" s="310"/>
      <c r="F36" s="310"/>
      <c r="G36" s="310"/>
      <c r="H36" s="311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312"/>
      <c r="E37" s="313"/>
      <c r="F37" s="313"/>
      <c r="G37" s="313"/>
      <c r="H37" s="314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309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312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309"/>
      <c r="E40" s="304"/>
      <c r="F40" s="305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312"/>
      <c r="E41" s="306"/>
      <c r="F41" s="306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309"/>
      <c r="E42" s="304"/>
      <c r="F42" s="305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312"/>
      <c r="E43" s="306"/>
      <c r="F43" s="306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309"/>
      <c r="E44" s="310"/>
      <c r="F44" s="310"/>
      <c r="G44" s="310"/>
      <c r="H44" s="311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312"/>
      <c r="E45" s="313"/>
      <c r="F45" s="313"/>
      <c r="G45" s="313"/>
      <c r="H45" s="314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309"/>
      <c r="E48" s="310"/>
      <c r="F48" s="310"/>
      <c r="G48" s="310"/>
      <c r="H48" s="311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312"/>
      <c r="E49" s="313"/>
      <c r="F49" s="313"/>
      <c r="G49" s="313"/>
      <c r="H49" s="314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42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43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1418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1419</v>
      </c>
      <c r="R72" s="401"/>
      <c r="S72" s="409" t="s">
        <v>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1420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47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45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9">
    <cfRule type="cellIs" dxfId="51" priority="3" operator="greaterThan">
      <formula>$AA$28</formula>
    </cfRule>
    <cfRule type="cellIs" dxfId="50" priority="4" operator="lessThan">
      <formula>$AA$29</formula>
    </cfRule>
  </conditionalFormatting>
  <conditionalFormatting sqref="I30:X31">
    <cfRule type="cellIs" dxfId="49" priority="1" operator="greaterThan">
      <formula>$AA$30</formula>
    </cfRule>
    <cfRule type="cellIs" dxfId="4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30</v>
      </c>
      <c r="B2" s="496"/>
      <c r="C2" s="465" t="s">
        <v>53</v>
      </c>
      <c r="D2" s="307" t="s">
        <v>2</v>
      </c>
      <c r="E2" s="43"/>
      <c r="F2" s="369" t="s">
        <v>1421</v>
      </c>
      <c r="G2" s="369"/>
      <c r="H2" s="369"/>
      <c r="I2" s="369"/>
      <c r="J2" s="369"/>
      <c r="K2" s="370"/>
      <c r="L2" s="307" t="s">
        <v>4</v>
      </c>
      <c r="M2" s="369">
        <v>4</v>
      </c>
      <c r="N2" s="499"/>
      <c r="O2" s="307" t="s">
        <v>6</v>
      </c>
      <c r="P2" s="502" t="s">
        <v>1422</v>
      </c>
      <c r="Q2" s="502"/>
      <c r="R2" s="502"/>
      <c r="S2" s="502"/>
      <c r="T2" s="502"/>
      <c r="U2" s="502"/>
      <c r="V2" s="503"/>
      <c r="W2" s="307" t="s">
        <v>34</v>
      </c>
      <c r="X2" s="32">
        <v>1</v>
      </c>
      <c r="Z2" s="34" t="s">
        <v>48</v>
      </c>
    </row>
    <row r="3" spans="1:26" ht="9.9499999999999993" customHeight="1" x14ac:dyDescent="0.25">
      <c r="A3" s="497" t="s">
        <v>1</v>
      </c>
      <c r="B3" s="498"/>
      <c r="C3" s="486"/>
      <c r="D3" s="308" t="s">
        <v>3</v>
      </c>
      <c r="E3" s="44"/>
      <c r="F3" s="371"/>
      <c r="G3" s="371"/>
      <c r="H3" s="371"/>
      <c r="I3" s="371"/>
      <c r="J3" s="371"/>
      <c r="K3" s="372"/>
      <c r="L3" s="308" t="s">
        <v>5</v>
      </c>
      <c r="M3" s="500"/>
      <c r="N3" s="501"/>
      <c r="O3" s="308" t="s">
        <v>7</v>
      </c>
      <c r="P3" s="504"/>
      <c r="Q3" s="504"/>
      <c r="R3" s="504"/>
      <c r="S3" s="504"/>
      <c r="T3" s="504"/>
      <c r="U3" s="504"/>
      <c r="V3" s="505"/>
      <c r="W3" s="308" t="s">
        <v>8</v>
      </c>
      <c r="X3" s="316">
        <v>1</v>
      </c>
      <c r="Z3" s="35"/>
    </row>
    <row r="4" spans="1:26" ht="14.25" customHeight="1" x14ac:dyDescent="0.25">
      <c r="A4" s="3" t="s">
        <v>1423</v>
      </c>
      <c r="B4" s="4"/>
      <c r="C4" s="4"/>
      <c r="D4" s="48"/>
      <c r="E4" s="28" t="s">
        <v>1424</v>
      </c>
      <c r="F4" s="5" t="s">
        <v>32</v>
      </c>
      <c r="G4" s="5"/>
      <c r="H4" s="5"/>
      <c r="I4" s="4"/>
      <c r="J4" s="4"/>
      <c r="K4" s="28" t="s">
        <v>114</v>
      </c>
      <c r="L4" s="5" t="s">
        <v>33</v>
      </c>
      <c r="M4" s="4"/>
      <c r="N4" s="4"/>
      <c r="O4" s="307" t="s">
        <v>9</v>
      </c>
      <c r="P4" s="6"/>
      <c r="Q4" s="442" t="s">
        <v>1425</v>
      </c>
      <c r="R4" s="443"/>
      <c r="S4" s="443"/>
      <c r="T4" s="444"/>
      <c r="U4" s="307" t="s">
        <v>11</v>
      </c>
      <c r="V4" s="7"/>
      <c r="W4" s="369" t="s">
        <v>71</v>
      </c>
      <c r="X4" s="499"/>
      <c r="Z4" s="34" t="s">
        <v>1426</v>
      </c>
    </row>
    <row r="5" spans="1:26" ht="9.9499999999999993" customHeight="1" x14ac:dyDescent="0.2">
      <c r="A5" s="26" t="s">
        <v>1427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1428</v>
      </c>
      <c r="M5" s="8"/>
      <c r="N5" s="9"/>
      <c r="O5" s="26" t="s">
        <v>10</v>
      </c>
      <c r="P5" s="10"/>
      <c r="Q5" s="445"/>
      <c r="R5" s="445"/>
      <c r="S5" s="445"/>
      <c r="T5" s="446"/>
      <c r="U5" s="308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1429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1430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1401</v>
      </c>
      <c r="B22" s="487"/>
      <c r="C22" s="488"/>
      <c r="D22" s="466" t="s">
        <v>1402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1431</v>
      </c>
      <c r="X22" s="492"/>
      <c r="Z22" s="65" t="s">
        <v>50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1432</v>
      </c>
      <c r="X23" s="494"/>
      <c r="Z23" s="66" t="s">
        <v>1433</v>
      </c>
    </row>
    <row r="24" spans="1:28" ht="14.25" customHeight="1" x14ac:dyDescent="0.25">
      <c r="A24" s="447" t="s">
        <v>1434</v>
      </c>
      <c r="B24" s="473"/>
      <c r="C24" s="33" t="s">
        <v>16</v>
      </c>
      <c r="D24" s="476" t="s">
        <v>1435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315" t="s">
        <v>46</v>
      </c>
      <c r="D25" s="479" t="s">
        <v>41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1436</v>
      </c>
    </row>
    <row r="26" spans="1:28" s="19" customFormat="1" ht="9.9499999999999993" customHeight="1" x14ac:dyDescent="0.25">
      <c r="A26" s="384" t="s">
        <v>56</v>
      </c>
      <c r="B26" s="384"/>
      <c r="C26" s="386" t="s">
        <v>57</v>
      </c>
      <c r="D26" s="391" t="s">
        <v>1410</v>
      </c>
      <c r="E26" s="373">
        <v>0.92100000000000004</v>
      </c>
      <c r="F26" s="374"/>
      <c r="G26" s="51" t="s">
        <v>1437</v>
      </c>
      <c r="H26" s="68">
        <v>3.0000000000000001E-3</v>
      </c>
      <c r="I26" s="423">
        <v>0.92200000000000004</v>
      </c>
      <c r="J26" s="423"/>
      <c r="K26" s="423">
        <v>0.92200000000000004</v>
      </c>
      <c r="L26" s="423"/>
      <c r="M26" s="423">
        <v>0.92249999999999999</v>
      </c>
      <c r="N26" s="423"/>
      <c r="O26" s="423">
        <v>0.92249999999999999</v>
      </c>
      <c r="P26" s="423"/>
      <c r="Q26" s="423">
        <v>0.92300000000000004</v>
      </c>
      <c r="R26" s="423"/>
      <c r="S26" s="423">
        <v>0.92249999999999999</v>
      </c>
      <c r="T26" s="423"/>
      <c r="U26" s="423">
        <v>0.92249999999999999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51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1408</v>
      </c>
      <c r="B28" s="384"/>
      <c r="C28" s="386" t="s">
        <v>1438</v>
      </c>
      <c r="D28" s="391" t="s">
        <v>1410</v>
      </c>
      <c r="E28" s="373">
        <v>0.27300000000000002</v>
      </c>
      <c r="F28" s="374"/>
      <c r="G28" s="51" t="s">
        <v>1437</v>
      </c>
      <c r="H28" s="68">
        <v>2E-3</v>
      </c>
      <c r="I28" s="423">
        <v>0.27250000000000002</v>
      </c>
      <c r="J28" s="423"/>
      <c r="K28" s="423">
        <v>0.27179999999999999</v>
      </c>
      <c r="L28" s="423"/>
      <c r="M28" s="423">
        <v>0.27200000000000002</v>
      </c>
      <c r="N28" s="423"/>
      <c r="O28" s="423">
        <v>0.27210000000000001</v>
      </c>
      <c r="P28" s="423"/>
      <c r="Q28" s="423">
        <v>0.27229999999999999</v>
      </c>
      <c r="R28" s="423"/>
      <c r="S28" s="423">
        <v>0.27250000000000002</v>
      </c>
      <c r="T28" s="423"/>
      <c r="U28" s="423">
        <v>0.27260000000000001</v>
      </c>
      <c r="V28" s="423"/>
      <c r="W28" s="423">
        <v>0.27250000000000002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1412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1413</v>
      </c>
      <c r="B30" s="384"/>
      <c r="C30" s="386" t="s">
        <v>57</v>
      </c>
      <c r="D30" s="391"/>
      <c r="E30" s="373">
        <v>1.2999999999999999E-2</v>
      </c>
      <c r="F30" s="374"/>
      <c r="G30" s="51" t="s">
        <v>50</v>
      </c>
      <c r="H30" s="68">
        <v>2E-3</v>
      </c>
      <c r="I30" s="423">
        <v>1.2999999999999999E-2</v>
      </c>
      <c r="J30" s="423"/>
      <c r="K30" s="423">
        <v>1.35E-2</v>
      </c>
      <c r="L30" s="423"/>
      <c r="M30" s="423">
        <v>1.35E-2</v>
      </c>
      <c r="N30" s="423"/>
      <c r="O30" s="423">
        <v>1.35E-2</v>
      </c>
      <c r="P30" s="423"/>
      <c r="Q30" s="423">
        <v>1.2999999999999999E-2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1.2500000000000001E-2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1412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1439</v>
      </c>
      <c r="B32" s="384"/>
      <c r="C32" s="386" t="s">
        <v>62</v>
      </c>
      <c r="D32" s="309" t="s">
        <v>1440</v>
      </c>
      <c r="E32" s="310"/>
      <c r="F32" s="310"/>
      <c r="G32" s="310"/>
      <c r="H32" s="311"/>
      <c r="I32" s="379" t="s">
        <v>1441</v>
      </c>
      <c r="J32" s="379"/>
      <c r="K32" s="379" t="s">
        <v>1415</v>
      </c>
      <c r="L32" s="379"/>
      <c r="M32" s="379" t="s">
        <v>73</v>
      </c>
      <c r="N32" s="379"/>
      <c r="O32" s="379" t="s">
        <v>1441</v>
      </c>
      <c r="P32" s="379"/>
      <c r="Q32" s="379" t="s">
        <v>1441</v>
      </c>
      <c r="R32" s="379"/>
      <c r="S32" s="379" t="s">
        <v>1441</v>
      </c>
      <c r="T32" s="379"/>
      <c r="U32" s="379" t="s">
        <v>1441</v>
      </c>
      <c r="V32" s="379"/>
      <c r="W32" s="379" t="s">
        <v>1441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312" t="s">
        <v>1417</v>
      </c>
      <c r="E33" s="313"/>
      <c r="F33" s="313"/>
      <c r="G33" s="313"/>
      <c r="H33" s="314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312"/>
      <c r="E35" s="313"/>
      <c r="F35" s="313"/>
      <c r="G35" s="313"/>
      <c r="H35" s="314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309"/>
      <c r="E36" s="310"/>
      <c r="F36" s="310"/>
      <c r="G36" s="310"/>
      <c r="H36" s="311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312"/>
      <c r="E37" s="313"/>
      <c r="F37" s="313"/>
      <c r="G37" s="313"/>
      <c r="H37" s="314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309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312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309"/>
      <c r="E40" s="304"/>
      <c r="F40" s="305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312"/>
      <c r="E41" s="306"/>
      <c r="F41" s="306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309"/>
      <c r="E42" s="304"/>
      <c r="F42" s="305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312"/>
      <c r="E43" s="306"/>
      <c r="F43" s="306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309"/>
      <c r="E44" s="310"/>
      <c r="F44" s="310"/>
      <c r="G44" s="310"/>
      <c r="H44" s="311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312"/>
      <c r="E45" s="313"/>
      <c r="F45" s="313"/>
      <c r="G45" s="313"/>
      <c r="H45" s="314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309"/>
      <c r="E48" s="310"/>
      <c r="F48" s="310"/>
      <c r="G48" s="310"/>
      <c r="H48" s="311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312"/>
      <c r="E49" s="313"/>
      <c r="F49" s="313"/>
      <c r="G49" s="313"/>
      <c r="H49" s="314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1442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43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57</v>
      </c>
      <c r="R72" s="401"/>
      <c r="S72" s="409" t="s">
        <v>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1443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47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1444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47" priority="5" operator="greaterThan">
      <formula>$AA$26</formula>
    </cfRule>
    <cfRule type="cellIs" dxfId="46" priority="6" operator="lessThan">
      <formula>$AA$27</formula>
    </cfRule>
  </conditionalFormatting>
  <conditionalFormatting sqref="I28:X29">
    <cfRule type="cellIs" dxfId="45" priority="3" operator="greaterThan">
      <formula>$AA$28</formula>
    </cfRule>
    <cfRule type="cellIs" dxfId="44" priority="4" operator="lessThan">
      <formula>$AA$29</formula>
    </cfRule>
  </conditionalFormatting>
  <conditionalFormatting sqref="I30:X31">
    <cfRule type="cellIs" dxfId="43" priority="1" operator="greaterThan">
      <formula>$AA$30</formula>
    </cfRule>
    <cfRule type="cellIs" dxfId="4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30</v>
      </c>
      <c r="B2" s="496"/>
      <c r="C2" s="465" t="s">
        <v>53</v>
      </c>
      <c r="D2" s="354" t="s">
        <v>2</v>
      </c>
      <c r="E2" s="43"/>
      <c r="F2" s="369" t="s">
        <v>55</v>
      </c>
      <c r="G2" s="369"/>
      <c r="H2" s="369"/>
      <c r="I2" s="369"/>
      <c r="J2" s="369"/>
      <c r="K2" s="370"/>
      <c r="L2" s="354" t="s">
        <v>4</v>
      </c>
      <c r="M2" s="369">
        <v>4</v>
      </c>
      <c r="N2" s="499"/>
      <c r="O2" s="354" t="s">
        <v>6</v>
      </c>
      <c r="P2" s="502" t="s">
        <v>54</v>
      </c>
      <c r="Q2" s="502"/>
      <c r="R2" s="502"/>
      <c r="S2" s="502"/>
      <c r="T2" s="502"/>
      <c r="U2" s="502"/>
      <c r="V2" s="503"/>
      <c r="W2" s="354" t="s">
        <v>34</v>
      </c>
      <c r="X2" s="32">
        <v>1</v>
      </c>
      <c r="Z2" s="34" t="s">
        <v>48</v>
      </c>
    </row>
    <row r="3" spans="1:26" ht="9.9499999999999993" customHeight="1" x14ac:dyDescent="0.25">
      <c r="A3" s="497" t="s">
        <v>1</v>
      </c>
      <c r="B3" s="498"/>
      <c r="C3" s="486"/>
      <c r="D3" s="355" t="s">
        <v>3</v>
      </c>
      <c r="E3" s="44"/>
      <c r="F3" s="371"/>
      <c r="G3" s="371"/>
      <c r="H3" s="371"/>
      <c r="I3" s="371"/>
      <c r="J3" s="371"/>
      <c r="K3" s="372"/>
      <c r="L3" s="355" t="s">
        <v>5</v>
      </c>
      <c r="M3" s="500"/>
      <c r="N3" s="501"/>
      <c r="O3" s="355" t="s">
        <v>7</v>
      </c>
      <c r="P3" s="504"/>
      <c r="Q3" s="504"/>
      <c r="R3" s="504"/>
      <c r="S3" s="504"/>
      <c r="T3" s="504"/>
      <c r="U3" s="504"/>
      <c r="V3" s="505"/>
      <c r="W3" s="355" t="s">
        <v>8</v>
      </c>
      <c r="X3" s="343">
        <v>1</v>
      </c>
      <c r="Z3" s="35"/>
    </row>
    <row r="4" spans="1:26" ht="14.25" customHeight="1" x14ac:dyDescent="0.25">
      <c r="A4" s="3" t="s">
        <v>1590</v>
      </c>
      <c r="B4" s="4"/>
      <c r="C4" s="4"/>
      <c r="D4" s="48"/>
      <c r="E4" s="28" t="s">
        <v>25</v>
      </c>
      <c r="F4" s="5" t="s">
        <v>32</v>
      </c>
      <c r="G4" s="5"/>
      <c r="H4" s="5"/>
      <c r="I4" s="4"/>
      <c r="J4" s="4"/>
      <c r="K4" s="28" t="s">
        <v>114</v>
      </c>
      <c r="L4" s="5" t="s">
        <v>33</v>
      </c>
      <c r="M4" s="4"/>
      <c r="N4" s="4"/>
      <c r="O4" s="354" t="s">
        <v>9</v>
      </c>
      <c r="P4" s="6"/>
      <c r="Q4" s="442" t="s">
        <v>1591</v>
      </c>
      <c r="R4" s="443"/>
      <c r="S4" s="443"/>
      <c r="T4" s="444"/>
      <c r="U4" s="354" t="s">
        <v>11</v>
      </c>
      <c r="V4" s="7"/>
      <c r="W4" s="369" t="s">
        <v>71</v>
      </c>
      <c r="X4" s="499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1592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45"/>
      <c r="R5" s="445"/>
      <c r="S5" s="445"/>
      <c r="T5" s="446"/>
      <c r="U5" s="355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1593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55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35</v>
      </c>
      <c r="B22" s="487"/>
      <c r="C22" s="488"/>
      <c r="D22" s="466" t="s">
        <v>1594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37</v>
      </c>
      <c r="X22" s="492"/>
      <c r="Z22" s="65" t="s">
        <v>50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1595</v>
      </c>
      <c r="X23" s="494"/>
      <c r="Z23" s="66" t="s">
        <v>1596</v>
      </c>
    </row>
    <row r="24" spans="1:28" ht="14.25" customHeight="1" x14ac:dyDescent="0.25">
      <c r="A24" s="447" t="s">
        <v>1597</v>
      </c>
      <c r="B24" s="473"/>
      <c r="C24" s="33" t="s">
        <v>16</v>
      </c>
      <c r="D24" s="476" t="s">
        <v>38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353" t="s">
        <v>1598</v>
      </c>
      <c r="D25" s="479" t="s">
        <v>1599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52</v>
      </c>
    </row>
    <row r="26" spans="1:28" s="19" customFormat="1" ht="9.9499999999999993" customHeight="1" x14ac:dyDescent="0.25">
      <c r="A26" s="384" t="s">
        <v>56</v>
      </c>
      <c r="B26" s="384"/>
      <c r="C26" s="386" t="s">
        <v>57</v>
      </c>
      <c r="D26" s="391" t="s">
        <v>52</v>
      </c>
      <c r="E26" s="373">
        <v>0.92100000000000004</v>
      </c>
      <c r="F26" s="374"/>
      <c r="G26" s="51" t="s">
        <v>1600</v>
      </c>
      <c r="H26" s="68">
        <v>3.0000000000000001E-3</v>
      </c>
      <c r="I26" s="423">
        <v>0.92149999999999999</v>
      </c>
      <c r="J26" s="423"/>
      <c r="K26" s="423">
        <v>0.92200000000000004</v>
      </c>
      <c r="L26" s="423"/>
      <c r="M26" s="423">
        <v>0.92149999999999999</v>
      </c>
      <c r="N26" s="423"/>
      <c r="O26" s="423">
        <v>0.92149999999999999</v>
      </c>
      <c r="P26" s="423"/>
      <c r="Q26" s="423">
        <v>0.92200000000000004</v>
      </c>
      <c r="R26" s="423"/>
      <c r="S26" s="423">
        <v>0.92200000000000004</v>
      </c>
      <c r="T26" s="423"/>
      <c r="U26" s="423">
        <v>0.92249999999999999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1601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58</v>
      </c>
      <c r="B28" s="384"/>
      <c r="C28" s="386" t="s">
        <v>59</v>
      </c>
      <c r="D28" s="391" t="s">
        <v>1602</v>
      </c>
      <c r="E28" s="373">
        <v>0.27300000000000002</v>
      </c>
      <c r="F28" s="374"/>
      <c r="G28" s="51" t="s">
        <v>50</v>
      </c>
      <c r="H28" s="68">
        <v>2E-3</v>
      </c>
      <c r="I28" s="423">
        <v>0.27250000000000002</v>
      </c>
      <c r="J28" s="423"/>
      <c r="K28" s="423">
        <v>0.2722</v>
      </c>
      <c r="L28" s="423"/>
      <c r="M28" s="423">
        <v>0.27179999999999999</v>
      </c>
      <c r="N28" s="423"/>
      <c r="O28" s="423">
        <v>0.27150000000000002</v>
      </c>
      <c r="P28" s="423"/>
      <c r="Q28" s="423">
        <v>0.27139999999999997</v>
      </c>
      <c r="R28" s="423"/>
      <c r="S28" s="423">
        <v>0.27200000000000002</v>
      </c>
      <c r="T28" s="423"/>
      <c r="U28" s="423">
        <v>0.2722</v>
      </c>
      <c r="V28" s="423"/>
      <c r="W28" s="423">
        <v>0.27200000000000002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1601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1603</v>
      </c>
      <c r="B30" s="384"/>
      <c r="C30" s="386" t="s">
        <v>57</v>
      </c>
      <c r="D30" s="391"/>
      <c r="E30" s="373">
        <v>1.2999999999999999E-2</v>
      </c>
      <c r="F30" s="374"/>
      <c r="G30" s="51" t="s">
        <v>1600</v>
      </c>
      <c r="H30" s="68">
        <v>2E-3</v>
      </c>
      <c r="I30" s="423">
        <v>1.15E-2</v>
      </c>
      <c r="J30" s="423"/>
      <c r="K30" s="423">
        <v>1.2E-2</v>
      </c>
      <c r="L30" s="423"/>
      <c r="M30" s="423">
        <v>1.2E-2</v>
      </c>
      <c r="N30" s="423"/>
      <c r="O30" s="423">
        <v>1.2500000000000001E-2</v>
      </c>
      <c r="P30" s="423"/>
      <c r="Q30" s="423">
        <v>1.2999999999999999E-2</v>
      </c>
      <c r="R30" s="423"/>
      <c r="S30" s="423">
        <v>1.2E-2</v>
      </c>
      <c r="T30" s="423"/>
      <c r="U30" s="423">
        <v>1.2500000000000001E-2</v>
      </c>
      <c r="V30" s="423"/>
      <c r="W30" s="423">
        <v>1.2E-2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51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61</v>
      </c>
      <c r="B32" s="384"/>
      <c r="C32" s="386" t="s">
        <v>62</v>
      </c>
      <c r="D32" s="347" t="s">
        <v>63</v>
      </c>
      <c r="E32" s="348"/>
      <c r="F32" s="348"/>
      <c r="G32" s="348"/>
      <c r="H32" s="349"/>
      <c r="I32" s="379" t="s">
        <v>1604</v>
      </c>
      <c r="J32" s="379"/>
      <c r="K32" s="379" t="s">
        <v>1604</v>
      </c>
      <c r="L32" s="379"/>
      <c r="M32" s="379" t="s">
        <v>1604</v>
      </c>
      <c r="N32" s="379"/>
      <c r="O32" s="379" t="s">
        <v>1604</v>
      </c>
      <c r="P32" s="379"/>
      <c r="Q32" s="379" t="s">
        <v>73</v>
      </c>
      <c r="R32" s="379"/>
      <c r="S32" s="379" t="s">
        <v>1604</v>
      </c>
      <c r="T32" s="379"/>
      <c r="U32" s="379" t="s">
        <v>1604</v>
      </c>
      <c r="V32" s="379"/>
      <c r="W32" s="379" t="s">
        <v>1604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350" t="s">
        <v>1605</v>
      </c>
      <c r="E33" s="351"/>
      <c r="F33" s="351"/>
      <c r="G33" s="351"/>
      <c r="H33" s="352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350"/>
      <c r="E35" s="351"/>
      <c r="F35" s="351"/>
      <c r="G35" s="351"/>
      <c r="H35" s="352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347"/>
      <c r="E36" s="348"/>
      <c r="F36" s="348"/>
      <c r="G36" s="348"/>
      <c r="H36" s="34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350"/>
      <c r="E37" s="351"/>
      <c r="F37" s="351"/>
      <c r="G37" s="351"/>
      <c r="H37" s="352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347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350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347"/>
      <c r="E40" s="344"/>
      <c r="F40" s="345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350"/>
      <c r="E41" s="346"/>
      <c r="F41" s="346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347"/>
      <c r="E42" s="344"/>
      <c r="F42" s="345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350"/>
      <c r="E43" s="346"/>
      <c r="F43" s="346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347"/>
      <c r="E44" s="348"/>
      <c r="F44" s="348"/>
      <c r="G44" s="348"/>
      <c r="H44" s="34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350"/>
      <c r="E45" s="351"/>
      <c r="F45" s="351"/>
      <c r="G45" s="351"/>
      <c r="H45" s="352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347"/>
      <c r="E48" s="348"/>
      <c r="F48" s="348"/>
      <c r="G48" s="348"/>
      <c r="H48" s="34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350"/>
      <c r="E49" s="351"/>
      <c r="F49" s="351"/>
      <c r="G49" s="351"/>
      <c r="H49" s="352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1606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1607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1608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1609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1610</v>
      </c>
      <c r="R72" s="401"/>
      <c r="S72" s="409" t="s">
        <v>1611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47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45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41" priority="5" operator="greaterThan">
      <formula>$AA$26</formula>
    </cfRule>
    <cfRule type="cellIs" dxfId="40" priority="6" operator="lessThan">
      <formula>$AA$27</formula>
    </cfRule>
  </conditionalFormatting>
  <conditionalFormatting sqref="I28:X29">
    <cfRule type="cellIs" dxfId="39" priority="3" operator="greaterThan">
      <formula>$AA$28</formula>
    </cfRule>
    <cfRule type="cellIs" dxfId="38" priority="4" operator="lessThan">
      <formula>$AA$29</formula>
    </cfRule>
  </conditionalFormatting>
  <conditionalFormatting sqref="I30:X31">
    <cfRule type="cellIs" dxfId="37" priority="1" operator="greaterThan">
      <formula>$AA$30</formula>
    </cfRule>
    <cfRule type="cellIs" dxfId="3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30</v>
      </c>
      <c r="B2" s="496"/>
      <c r="C2" s="465" t="s">
        <v>1612</v>
      </c>
      <c r="D2" s="354" t="s">
        <v>2</v>
      </c>
      <c r="E2" s="43"/>
      <c r="F2" s="369" t="s">
        <v>1613</v>
      </c>
      <c r="G2" s="369"/>
      <c r="H2" s="369"/>
      <c r="I2" s="369"/>
      <c r="J2" s="369"/>
      <c r="K2" s="370"/>
      <c r="L2" s="354" t="s">
        <v>4</v>
      </c>
      <c r="M2" s="369">
        <v>4</v>
      </c>
      <c r="N2" s="499"/>
      <c r="O2" s="354" t="s">
        <v>6</v>
      </c>
      <c r="P2" s="502" t="s">
        <v>54</v>
      </c>
      <c r="Q2" s="502"/>
      <c r="R2" s="502"/>
      <c r="S2" s="502"/>
      <c r="T2" s="502"/>
      <c r="U2" s="502"/>
      <c r="V2" s="503"/>
      <c r="W2" s="354" t="s">
        <v>34</v>
      </c>
      <c r="X2" s="32">
        <v>1</v>
      </c>
      <c r="Z2" s="34" t="s">
        <v>1614</v>
      </c>
    </row>
    <row r="3" spans="1:26" ht="9.9499999999999993" customHeight="1" x14ac:dyDescent="0.25">
      <c r="A3" s="497" t="s">
        <v>1</v>
      </c>
      <c r="B3" s="498"/>
      <c r="C3" s="486"/>
      <c r="D3" s="355" t="s">
        <v>3</v>
      </c>
      <c r="E3" s="44"/>
      <c r="F3" s="371"/>
      <c r="G3" s="371"/>
      <c r="H3" s="371"/>
      <c r="I3" s="371"/>
      <c r="J3" s="371"/>
      <c r="K3" s="372"/>
      <c r="L3" s="355" t="s">
        <v>5</v>
      </c>
      <c r="M3" s="500"/>
      <c r="N3" s="501"/>
      <c r="O3" s="355" t="s">
        <v>7</v>
      </c>
      <c r="P3" s="504"/>
      <c r="Q3" s="504"/>
      <c r="R3" s="504"/>
      <c r="S3" s="504"/>
      <c r="T3" s="504"/>
      <c r="U3" s="504"/>
      <c r="V3" s="505"/>
      <c r="W3" s="355" t="s">
        <v>8</v>
      </c>
      <c r="X3" s="343">
        <v>1</v>
      </c>
      <c r="Z3" s="35"/>
    </row>
    <row r="4" spans="1:26" ht="14.25" customHeight="1" x14ac:dyDescent="0.25">
      <c r="A4" s="3" t="s">
        <v>1615</v>
      </c>
      <c r="B4" s="4"/>
      <c r="C4" s="4"/>
      <c r="D4" s="48"/>
      <c r="E4" s="28" t="s">
        <v>1616</v>
      </c>
      <c r="F4" s="5" t="s">
        <v>32</v>
      </c>
      <c r="G4" s="5"/>
      <c r="H4" s="5"/>
      <c r="I4" s="4"/>
      <c r="J4" s="4"/>
      <c r="K4" s="28" t="s">
        <v>114</v>
      </c>
      <c r="L4" s="5" t="s">
        <v>1617</v>
      </c>
      <c r="M4" s="4"/>
      <c r="N4" s="4"/>
      <c r="O4" s="354" t="s">
        <v>9</v>
      </c>
      <c r="P4" s="6"/>
      <c r="Q4" s="442" t="s">
        <v>1618</v>
      </c>
      <c r="R4" s="443"/>
      <c r="S4" s="443"/>
      <c r="T4" s="444"/>
      <c r="U4" s="354" t="s">
        <v>11</v>
      </c>
      <c r="V4" s="7"/>
      <c r="W4" s="369" t="s">
        <v>71</v>
      </c>
      <c r="X4" s="499"/>
      <c r="Z4" s="34" t="s">
        <v>1619</v>
      </c>
    </row>
    <row r="5" spans="1:26" ht="9.9499999999999993" customHeight="1" x14ac:dyDescent="0.2">
      <c r="A5" s="26" t="s">
        <v>1620</v>
      </c>
      <c r="B5" s="8"/>
      <c r="C5" s="8"/>
      <c r="D5" s="8"/>
      <c r="E5" s="8"/>
      <c r="F5" s="27" t="s">
        <v>1621</v>
      </c>
      <c r="G5" s="27"/>
      <c r="H5" s="27"/>
      <c r="I5" s="8"/>
      <c r="J5" s="8"/>
      <c r="K5" s="8"/>
      <c r="L5" s="27" t="s">
        <v>1622</v>
      </c>
      <c r="M5" s="8"/>
      <c r="N5" s="9"/>
      <c r="O5" s="26" t="s">
        <v>10</v>
      </c>
      <c r="P5" s="10"/>
      <c r="Q5" s="445"/>
      <c r="R5" s="445"/>
      <c r="S5" s="445"/>
      <c r="T5" s="446"/>
      <c r="U5" s="355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1623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55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1624</v>
      </c>
      <c r="B22" s="487"/>
      <c r="C22" s="488"/>
      <c r="D22" s="466" t="s">
        <v>1625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1626</v>
      </c>
      <c r="X22" s="492"/>
      <c r="Z22" s="65" t="s">
        <v>1600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66</v>
      </c>
      <c r="X23" s="494"/>
      <c r="Z23" s="66" t="s">
        <v>51</v>
      </c>
    </row>
    <row r="24" spans="1:28" ht="14.25" customHeight="1" x14ac:dyDescent="0.25">
      <c r="A24" s="447" t="s">
        <v>29</v>
      </c>
      <c r="B24" s="473"/>
      <c r="C24" s="33" t="s">
        <v>16</v>
      </c>
      <c r="D24" s="476" t="s">
        <v>1627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353" t="s">
        <v>46</v>
      </c>
      <c r="D25" s="479" t="s">
        <v>1628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1629</v>
      </c>
    </row>
    <row r="26" spans="1:28" s="19" customFormat="1" ht="9.9499999999999993" customHeight="1" x14ac:dyDescent="0.25">
      <c r="A26" s="384" t="s">
        <v>1630</v>
      </c>
      <c r="B26" s="384"/>
      <c r="C26" s="386" t="s">
        <v>57</v>
      </c>
      <c r="D26" s="391" t="s">
        <v>1602</v>
      </c>
      <c r="E26" s="373">
        <v>0.92100000000000004</v>
      </c>
      <c r="F26" s="374"/>
      <c r="G26" s="51" t="s">
        <v>50</v>
      </c>
      <c r="H26" s="68">
        <v>3.0000000000000001E-3</v>
      </c>
      <c r="I26" s="423">
        <v>0.92249999999999999</v>
      </c>
      <c r="J26" s="423"/>
      <c r="K26" s="423">
        <v>0.92200000000000004</v>
      </c>
      <c r="L26" s="423"/>
      <c r="M26" s="423">
        <v>0.92200000000000004</v>
      </c>
      <c r="N26" s="423"/>
      <c r="O26" s="423">
        <v>0.92200000000000004</v>
      </c>
      <c r="P26" s="423"/>
      <c r="Q26" s="423">
        <v>0.92249999999999999</v>
      </c>
      <c r="R26" s="423"/>
      <c r="S26" s="423">
        <v>0.92249999999999999</v>
      </c>
      <c r="T26" s="423"/>
      <c r="U26" s="423">
        <v>0.92200000000000004</v>
      </c>
      <c r="V26" s="423"/>
      <c r="W26" s="423">
        <v>0.92200000000000004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51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58</v>
      </c>
      <c r="B28" s="384"/>
      <c r="C28" s="386" t="s">
        <v>1631</v>
      </c>
      <c r="D28" s="391" t="s">
        <v>1602</v>
      </c>
      <c r="E28" s="373">
        <v>0.27300000000000002</v>
      </c>
      <c r="F28" s="374"/>
      <c r="G28" s="51" t="s">
        <v>50</v>
      </c>
      <c r="H28" s="68">
        <v>2E-3</v>
      </c>
      <c r="I28" s="423">
        <v>0.27250000000000002</v>
      </c>
      <c r="J28" s="423"/>
      <c r="K28" s="423">
        <v>0.2722</v>
      </c>
      <c r="L28" s="423"/>
      <c r="M28" s="423">
        <v>0.27200000000000002</v>
      </c>
      <c r="N28" s="423"/>
      <c r="O28" s="423">
        <v>0.27210000000000001</v>
      </c>
      <c r="P28" s="423"/>
      <c r="Q28" s="423">
        <v>0.27229999999999999</v>
      </c>
      <c r="R28" s="423"/>
      <c r="S28" s="423">
        <v>0.2722</v>
      </c>
      <c r="T28" s="423"/>
      <c r="U28" s="423">
        <v>0.2722</v>
      </c>
      <c r="V28" s="423"/>
      <c r="W28" s="423">
        <v>0.27300000000000002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1601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1603</v>
      </c>
      <c r="B30" s="384"/>
      <c r="C30" s="386" t="s">
        <v>1632</v>
      </c>
      <c r="D30" s="391"/>
      <c r="E30" s="373">
        <v>1.2999999999999999E-2</v>
      </c>
      <c r="F30" s="374"/>
      <c r="G30" s="51" t="s">
        <v>1633</v>
      </c>
      <c r="H30" s="68">
        <v>2E-3</v>
      </c>
      <c r="I30" s="423">
        <v>1.35E-2</v>
      </c>
      <c r="J30" s="423"/>
      <c r="K30" s="423">
        <v>1.35E-2</v>
      </c>
      <c r="L30" s="423"/>
      <c r="M30" s="423">
        <v>1.35E-2</v>
      </c>
      <c r="N30" s="423"/>
      <c r="O30" s="423">
        <v>1.2999999999999999E-2</v>
      </c>
      <c r="P30" s="423"/>
      <c r="Q30" s="423">
        <v>1.2999999999999999E-2</v>
      </c>
      <c r="R30" s="423"/>
      <c r="S30" s="423">
        <v>1.35E-2</v>
      </c>
      <c r="T30" s="423"/>
      <c r="U30" s="423">
        <v>1.2999999999999999E-2</v>
      </c>
      <c r="V30" s="423"/>
      <c r="W30" s="423">
        <v>1.2500000000000001E-2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1634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61</v>
      </c>
      <c r="B32" s="384"/>
      <c r="C32" s="386" t="s">
        <v>1635</v>
      </c>
      <c r="D32" s="347" t="s">
        <v>1636</v>
      </c>
      <c r="E32" s="348"/>
      <c r="F32" s="348"/>
      <c r="G32" s="348"/>
      <c r="H32" s="349"/>
      <c r="I32" s="379" t="s">
        <v>1637</v>
      </c>
      <c r="J32" s="379"/>
      <c r="K32" s="379" t="s">
        <v>1604</v>
      </c>
      <c r="L32" s="379"/>
      <c r="M32" s="379" t="s">
        <v>1604</v>
      </c>
      <c r="N32" s="379"/>
      <c r="O32" s="379" t="s">
        <v>1637</v>
      </c>
      <c r="P32" s="379"/>
      <c r="Q32" s="379" t="s">
        <v>73</v>
      </c>
      <c r="R32" s="379"/>
      <c r="S32" s="379" t="s">
        <v>1604</v>
      </c>
      <c r="T32" s="379"/>
      <c r="U32" s="379" t="s">
        <v>73</v>
      </c>
      <c r="V32" s="379"/>
      <c r="W32" s="379" t="s">
        <v>1604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350" t="s">
        <v>64</v>
      </c>
      <c r="E33" s="351"/>
      <c r="F33" s="351"/>
      <c r="G33" s="351"/>
      <c r="H33" s="352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350"/>
      <c r="E35" s="351"/>
      <c r="F35" s="351"/>
      <c r="G35" s="351"/>
      <c r="H35" s="352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347"/>
      <c r="E36" s="348"/>
      <c r="F36" s="348"/>
      <c r="G36" s="348"/>
      <c r="H36" s="34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350"/>
      <c r="E37" s="351"/>
      <c r="F37" s="351"/>
      <c r="G37" s="351"/>
      <c r="H37" s="352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347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350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347"/>
      <c r="E40" s="344"/>
      <c r="F40" s="345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350"/>
      <c r="E41" s="346"/>
      <c r="F41" s="346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347"/>
      <c r="E42" s="344"/>
      <c r="F42" s="345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350"/>
      <c r="E43" s="346"/>
      <c r="F43" s="346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347"/>
      <c r="E44" s="348"/>
      <c r="F44" s="348"/>
      <c r="G44" s="348"/>
      <c r="H44" s="34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350"/>
      <c r="E45" s="351"/>
      <c r="F45" s="351"/>
      <c r="G45" s="351"/>
      <c r="H45" s="352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347"/>
      <c r="E48" s="348"/>
      <c r="F48" s="348"/>
      <c r="G48" s="348"/>
      <c r="H48" s="34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350"/>
      <c r="E49" s="351"/>
      <c r="F49" s="351"/>
      <c r="G49" s="351"/>
      <c r="H49" s="352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1638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1639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1640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1641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1632</v>
      </c>
      <c r="R72" s="401"/>
      <c r="S72" s="409" t="s">
        <v>1642</v>
      </c>
      <c r="T72" s="410"/>
      <c r="U72" s="404"/>
      <c r="V72" s="401"/>
      <c r="W72" s="404"/>
      <c r="X72" s="401"/>
    </row>
    <row r="73" spans="1:28" ht="9.75" customHeight="1" x14ac:dyDescent="0.25">
      <c r="A73" s="393"/>
      <c r="B73" s="394"/>
      <c r="C73" s="394"/>
      <c r="D73" s="394"/>
      <c r="E73" s="394"/>
      <c r="F73" s="394"/>
      <c r="G73" s="394"/>
      <c r="H73" s="394"/>
      <c r="I73" s="394"/>
      <c r="J73" s="394"/>
      <c r="K73" s="394"/>
      <c r="L73" s="394"/>
      <c r="M73" s="394"/>
      <c r="N73" s="394"/>
      <c r="O73" s="394"/>
      <c r="P73" s="395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1643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1644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1645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35" priority="5" operator="greaterThan">
      <formula>$AA$26</formula>
    </cfRule>
    <cfRule type="cellIs" dxfId="34" priority="6" operator="lessThan">
      <formula>$AA$27</formula>
    </cfRule>
  </conditionalFormatting>
  <conditionalFormatting sqref="I28:X29">
    <cfRule type="cellIs" dxfId="33" priority="3" operator="greaterThan">
      <formula>$AA$28</formula>
    </cfRule>
    <cfRule type="cellIs" dxfId="32" priority="4" operator="lessThan">
      <formula>$AA$29</formula>
    </cfRule>
  </conditionalFormatting>
  <conditionalFormatting sqref="I30:X31">
    <cfRule type="cellIs" dxfId="31" priority="1" operator="greaterThan">
      <formula>$AA$30</formula>
    </cfRule>
    <cfRule type="cellIs" dxfId="3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30</v>
      </c>
      <c r="B2" s="496"/>
      <c r="C2" s="465" t="s">
        <v>53</v>
      </c>
      <c r="D2" s="328" t="s">
        <v>2</v>
      </c>
      <c r="E2" s="43"/>
      <c r="F2" s="369" t="s">
        <v>55</v>
      </c>
      <c r="G2" s="369"/>
      <c r="H2" s="369"/>
      <c r="I2" s="369"/>
      <c r="J2" s="369"/>
      <c r="K2" s="370"/>
      <c r="L2" s="328" t="s">
        <v>4</v>
      </c>
      <c r="M2" s="369">
        <v>4</v>
      </c>
      <c r="N2" s="499"/>
      <c r="O2" s="328" t="s">
        <v>6</v>
      </c>
      <c r="P2" s="502" t="s">
        <v>1445</v>
      </c>
      <c r="Q2" s="502"/>
      <c r="R2" s="502"/>
      <c r="S2" s="502"/>
      <c r="T2" s="502"/>
      <c r="U2" s="502"/>
      <c r="V2" s="503"/>
      <c r="W2" s="328" t="s">
        <v>34</v>
      </c>
      <c r="X2" s="32">
        <v>1</v>
      </c>
      <c r="Z2" s="34" t="s">
        <v>48</v>
      </c>
    </row>
    <row r="3" spans="1:26" ht="9.9499999999999993" customHeight="1" x14ac:dyDescent="0.25">
      <c r="A3" s="497" t="s">
        <v>1</v>
      </c>
      <c r="B3" s="498"/>
      <c r="C3" s="486"/>
      <c r="D3" s="329" t="s">
        <v>3</v>
      </c>
      <c r="E3" s="44"/>
      <c r="F3" s="371"/>
      <c r="G3" s="371"/>
      <c r="H3" s="371"/>
      <c r="I3" s="371"/>
      <c r="J3" s="371"/>
      <c r="K3" s="372"/>
      <c r="L3" s="329" t="s">
        <v>5</v>
      </c>
      <c r="M3" s="500"/>
      <c r="N3" s="501"/>
      <c r="O3" s="329" t="s">
        <v>7</v>
      </c>
      <c r="P3" s="504"/>
      <c r="Q3" s="504"/>
      <c r="R3" s="504"/>
      <c r="S3" s="504"/>
      <c r="T3" s="504"/>
      <c r="U3" s="504"/>
      <c r="V3" s="505"/>
      <c r="W3" s="329" t="s">
        <v>8</v>
      </c>
      <c r="X3" s="317">
        <v>1</v>
      </c>
      <c r="Z3" s="35"/>
    </row>
    <row r="4" spans="1:26" ht="14.25" customHeight="1" x14ac:dyDescent="0.25">
      <c r="A4" s="3" t="s">
        <v>1446</v>
      </c>
      <c r="B4" s="4"/>
      <c r="C4" s="4"/>
      <c r="D4" s="48"/>
      <c r="E4" s="28" t="s">
        <v>1447</v>
      </c>
      <c r="F4" s="5" t="s">
        <v>1448</v>
      </c>
      <c r="G4" s="5"/>
      <c r="H4" s="5"/>
      <c r="I4" s="4"/>
      <c r="J4" s="4"/>
      <c r="K4" s="28" t="s">
        <v>114</v>
      </c>
      <c r="L4" s="5" t="s">
        <v>1449</v>
      </c>
      <c r="M4" s="4"/>
      <c r="N4" s="4"/>
      <c r="O4" s="328" t="s">
        <v>9</v>
      </c>
      <c r="P4" s="6"/>
      <c r="Q4" s="442" t="s">
        <v>1450</v>
      </c>
      <c r="R4" s="443"/>
      <c r="S4" s="443"/>
      <c r="T4" s="444"/>
      <c r="U4" s="328" t="s">
        <v>11</v>
      </c>
      <c r="V4" s="7"/>
      <c r="W4" s="369" t="s">
        <v>71</v>
      </c>
      <c r="X4" s="499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1451</v>
      </c>
      <c r="M5" s="8"/>
      <c r="N5" s="9"/>
      <c r="O5" s="26" t="s">
        <v>10</v>
      </c>
      <c r="P5" s="10"/>
      <c r="Q5" s="445"/>
      <c r="R5" s="445"/>
      <c r="S5" s="445"/>
      <c r="T5" s="446"/>
      <c r="U5" s="329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36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1452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35</v>
      </c>
      <c r="B22" s="487"/>
      <c r="C22" s="488"/>
      <c r="D22" s="466" t="s">
        <v>40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37</v>
      </c>
      <c r="X22" s="492"/>
      <c r="Z22" s="65" t="s">
        <v>50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66</v>
      </c>
      <c r="X23" s="494"/>
      <c r="Z23" s="66" t="s">
        <v>51</v>
      </c>
    </row>
    <row r="24" spans="1:28" ht="14.25" customHeight="1" x14ac:dyDescent="0.25">
      <c r="A24" s="447" t="s">
        <v>1453</v>
      </c>
      <c r="B24" s="473"/>
      <c r="C24" s="33" t="s">
        <v>16</v>
      </c>
      <c r="D24" s="476" t="s">
        <v>38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327" t="s">
        <v>1454</v>
      </c>
      <c r="D25" s="479" t="s">
        <v>1455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1456</v>
      </c>
    </row>
    <row r="26" spans="1:28" s="19" customFormat="1" ht="9.9499999999999993" customHeight="1" x14ac:dyDescent="0.25">
      <c r="A26" s="384" t="s">
        <v>1457</v>
      </c>
      <c r="B26" s="384"/>
      <c r="C26" s="386" t="s">
        <v>1458</v>
      </c>
      <c r="D26" s="391" t="s">
        <v>52</v>
      </c>
      <c r="E26" s="373">
        <v>0.92100000000000004</v>
      </c>
      <c r="F26" s="374"/>
      <c r="G26" s="51" t="s">
        <v>1459</v>
      </c>
      <c r="H26" s="68">
        <v>3.0000000000000001E-3</v>
      </c>
      <c r="I26" s="423">
        <v>0.92200000000000004</v>
      </c>
      <c r="J26" s="423"/>
      <c r="K26" s="423">
        <v>0.92249999999999999</v>
      </c>
      <c r="L26" s="423"/>
      <c r="M26" s="423">
        <v>0.92200000000000004</v>
      </c>
      <c r="N26" s="423"/>
      <c r="O26" s="423">
        <v>0.92249999999999999</v>
      </c>
      <c r="P26" s="423"/>
      <c r="Q26" s="423">
        <v>0.92200000000000004</v>
      </c>
      <c r="R26" s="423"/>
      <c r="S26" s="423">
        <v>0.92249999999999999</v>
      </c>
      <c r="T26" s="423"/>
      <c r="U26" s="423">
        <v>0.92249999999999999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1460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1461</v>
      </c>
      <c r="B28" s="384"/>
      <c r="C28" s="386" t="s">
        <v>1462</v>
      </c>
      <c r="D28" s="391" t="s">
        <v>1456</v>
      </c>
      <c r="E28" s="373">
        <v>0.27300000000000002</v>
      </c>
      <c r="F28" s="374"/>
      <c r="G28" s="51" t="s">
        <v>1463</v>
      </c>
      <c r="H28" s="68">
        <v>2E-3</v>
      </c>
      <c r="I28" s="423">
        <v>0.27260000000000001</v>
      </c>
      <c r="J28" s="423"/>
      <c r="K28" s="423">
        <v>0.27260000000000001</v>
      </c>
      <c r="L28" s="423"/>
      <c r="M28" s="423">
        <v>0.27250000000000002</v>
      </c>
      <c r="N28" s="423"/>
      <c r="O28" s="423">
        <v>0.27239999999999998</v>
      </c>
      <c r="P28" s="423"/>
      <c r="Q28" s="423">
        <v>0.27300000000000002</v>
      </c>
      <c r="R28" s="423"/>
      <c r="S28" s="423">
        <v>0.27279999999999999</v>
      </c>
      <c r="T28" s="423"/>
      <c r="U28" s="423">
        <v>0.27289999999999998</v>
      </c>
      <c r="V28" s="423"/>
      <c r="W28" s="423">
        <v>0.27250000000000002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1464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60</v>
      </c>
      <c r="B30" s="384"/>
      <c r="C30" s="386" t="s">
        <v>57</v>
      </c>
      <c r="D30" s="391"/>
      <c r="E30" s="373">
        <v>1.2999999999999999E-2</v>
      </c>
      <c r="F30" s="374"/>
      <c r="G30" s="51" t="s">
        <v>1465</v>
      </c>
      <c r="H30" s="68">
        <v>2E-3</v>
      </c>
      <c r="I30" s="423">
        <v>1.2500000000000001E-2</v>
      </c>
      <c r="J30" s="423"/>
      <c r="K30" s="423">
        <v>1.2E-2</v>
      </c>
      <c r="L30" s="423"/>
      <c r="M30" s="423">
        <v>1.2E-2</v>
      </c>
      <c r="N30" s="423"/>
      <c r="O30" s="423">
        <v>1.2500000000000001E-2</v>
      </c>
      <c r="P30" s="423"/>
      <c r="Q30" s="423">
        <v>1.2E-2</v>
      </c>
      <c r="R30" s="423"/>
      <c r="S30" s="423">
        <v>1.2500000000000001E-2</v>
      </c>
      <c r="T30" s="423"/>
      <c r="U30" s="423">
        <v>1.35E-2</v>
      </c>
      <c r="V30" s="423"/>
      <c r="W30" s="423">
        <v>1.0999999999999999E-2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1460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61</v>
      </c>
      <c r="B32" s="384"/>
      <c r="C32" s="386" t="s">
        <v>62</v>
      </c>
      <c r="D32" s="321" t="s">
        <v>1466</v>
      </c>
      <c r="E32" s="322"/>
      <c r="F32" s="322"/>
      <c r="G32" s="322"/>
      <c r="H32" s="323"/>
      <c r="I32" s="379" t="s">
        <v>73</v>
      </c>
      <c r="J32" s="379"/>
      <c r="K32" s="379" t="s">
        <v>1467</v>
      </c>
      <c r="L32" s="379"/>
      <c r="M32" s="379" t="s">
        <v>1468</v>
      </c>
      <c r="N32" s="379"/>
      <c r="O32" s="379" t="s">
        <v>1467</v>
      </c>
      <c r="P32" s="379"/>
      <c r="Q32" s="379" t="s">
        <v>1469</v>
      </c>
      <c r="R32" s="379"/>
      <c r="S32" s="379" t="s">
        <v>73</v>
      </c>
      <c r="T32" s="379"/>
      <c r="U32" s="379" t="s">
        <v>1468</v>
      </c>
      <c r="V32" s="379"/>
      <c r="W32" s="379" t="s">
        <v>1470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324" t="s">
        <v>1471</v>
      </c>
      <c r="E33" s="325"/>
      <c r="F33" s="325"/>
      <c r="G33" s="325"/>
      <c r="H33" s="326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324"/>
      <c r="E35" s="325"/>
      <c r="F35" s="325"/>
      <c r="G35" s="325"/>
      <c r="H35" s="326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321"/>
      <c r="E36" s="322"/>
      <c r="F36" s="322"/>
      <c r="G36" s="322"/>
      <c r="H36" s="323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324"/>
      <c r="E37" s="325"/>
      <c r="F37" s="325"/>
      <c r="G37" s="325"/>
      <c r="H37" s="326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321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324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321"/>
      <c r="E40" s="318"/>
      <c r="F40" s="319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324"/>
      <c r="E41" s="320"/>
      <c r="F41" s="320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321"/>
      <c r="E42" s="318"/>
      <c r="F42" s="319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324"/>
      <c r="E43" s="320"/>
      <c r="F43" s="320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321"/>
      <c r="E44" s="322"/>
      <c r="F44" s="322"/>
      <c r="G44" s="322"/>
      <c r="H44" s="323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324"/>
      <c r="E45" s="325"/>
      <c r="F45" s="325"/>
      <c r="G45" s="325"/>
      <c r="H45" s="326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321"/>
      <c r="E48" s="322"/>
      <c r="F48" s="322"/>
      <c r="G48" s="322"/>
      <c r="H48" s="323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324"/>
      <c r="E49" s="325"/>
      <c r="F49" s="325"/>
      <c r="G49" s="325"/>
      <c r="H49" s="326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1472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43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57</v>
      </c>
      <c r="R72" s="401"/>
      <c r="S72" s="409" t="s">
        <v>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1473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47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1474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9">
    <cfRule type="cellIs" dxfId="27" priority="3" operator="greaterThan">
      <formula>$AA$28</formula>
    </cfRule>
    <cfRule type="cellIs" dxfId="26" priority="4" operator="lessThan">
      <formula>$AA$29</formula>
    </cfRule>
  </conditionalFormatting>
  <conditionalFormatting sqref="I30:X31">
    <cfRule type="cellIs" dxfId="25" priority="1" operator="greaterThan">
      <formula>$AA$30</formula>
    </cfRule>
    <cfRule type="cellIs" dxfId="24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1475</v>
      </c>
      <c r="B2" s="496"/>
      <c r="C2" s="465" t="s">
        <v>1476</v>
      </c>
      <c r="D2" s="328" t="s">
        <v>2</v>
      </c>
      <c r="E2" s="43"/>
      <c r="F2" s="369" t="s">
        <v>1477</v>
      </c>
      <c r="G2" s="369"/>
      <c r="H2" s="369"/>
      <c r="I2" s="369"/>
      <c r="J2" s="369"/>
      <c r="K2" s="370"/>
      <c r="L2" s="328" t="s">
        <v>4</v>
      </c>
      <c r="M2" s="369">
        <v>4</v>
      </c>
      <c r="N2" s="499"/>
      <c r="O2" s="328" t="s">
        <v>6</v>
      </c>
      <c r="P2" s="502" t="s">
        <v>54</v>
      </c>
      <c r="Q2" s="502"/>
      <c r="R2" s="502"/>
      <c r="S2" s="502"/>
      <c r="T2" s="502"/>
      <c r="U2" s="502"/>
      <c r="V2" s="503"/>
      <c r="W2" s="328" t="s">
        <v>34</v>
      </c>
      <c r="X2" s="32">
        <v>1</v>
      </c>
      <c r="Z2" s="34" t="s">
        <v>1478</v>
      </c>
    </row>
    <row r="3" spans="1:26" ht="9.9499999999999993" customHeight="1" x14ac:dyDescent="0.25">
      <c r="A3" s="497" t="s">
        <v>1</v>
      </c>
      <c r="B3" s="498"/>
      <c r="C3" s="486"/>
      <c r="D3" s="329" t="s">
        <v>3</v>
      </c>
      <c r="E3" s="44"/>
      <c r="F3" s="371"/>
      <c r="G3" s="371"/>
      <c r="H3" s="371"/>
      <c r="I3" s="371"/>
      <c r="J3" s="371"/>
      <c r="K3" s="372"/>
      <c r="L3" s="329" t="s">
        <v>5</v>
      </c>
      <c r="M3" s="500"/>
      <c r="N3" s="501"/>
      <c r="O3" s="329" t="s">
        <v>7</v>
      </c>
      <c r="P3" s="504"/>
      <c r="Q3" s="504"/>
      <c r="R3" s="504"/>
      <c r="S3" s="504"/>
      <c r="T3" s="504"/>
      <c r="U3" s="504"/>
      <c r="V3" s="505"/>
      <c r="W3" s="329" t="s">
        <v>8</v>
      </c>
      <c r="X3" s="317">
        <v>1</v>
      </c>
      <c r="Z3" s="35"/>
    </row>
    <row r="4" spans="1:26" ht="14.25" customHeight="1" x14ac:dyDescent="0.25">
      <c r="A4" s="3" t="s">
        <v>31</v>
      </c>
      <c r="B4" s="4"/>
      <c r="C4" s="4"/>
      <c r="D4" s="48"/>
      <c r="E4" s="28" t="s">
        <v>1479</v>
      </c>
      <c r="F4" s="5" t="s">
        <v>1480</v>
      </c>
      <c r="G4" s="5"/>
      <c r="H4" s="5"/>
      <c r="I4" s="4"/>
      <c r="J4" s="4"/>
      <c r="K4" s="28" t="s">
        <v>1481</v>
      </c>
      <c r="L4" s="5" t="s">
        <v>33</v>
      </c>
      <c r="M4" s="4"/>
      <c r="N4" s="4"/>
      <c r="O4" s="328" t="s">
        <v>9</v>
      </c>
      <c r="P4" s="6"/>
      <c r="Q4" s="442" t="s">
        <v>1482</v>
      </c>
      <c r="R4" s="443"/>
      <c r="S4" s="443"/>
      <c r="T4" s="444"/>
      <c r="U4" s="328" t="s">
        <v>11</v>
      </c>
      <c r="V4" s="7"/>
      <c r="W4" s="369" t="s">
        <v>71</v>
      </c>
      <c r="X4" s="499"/>
      <c r="Z4" s="34" t="s">
        <v>1483</v>
      </c>
    </row>
    <row r="5" spans="1:26" ht="9.9499999999999993" customHeight="1" x14ac:dyDescent="0.2">
      <c r="A5" s="26" t="s">
        <v>1484</v>
      </c>
      <c r="B5" s="8"/>
      <c r="C5" s="8"/>
      <c r="D5" s="8"/>
      <c r="E5" s="8"/>
      <c r="F5" s="27" t="s">
        <v>1485</v>
      </c>
      <c r="G5" s="27"/>
      <c r="H5" s="27"/>
      <c r="I5" s="8"/>
      <c r="J5" s="8"/>
      <c r="K5" s="8"/>
      <c r="L5" s="27" t="s">
        <v>1486</v>
      </c>
      <c r="M5" s="8"/>
      <c r="N5" s="9"/>
      <c r="O5" s="26" t="s">
        <v>10</v>
      </c>
      <c r="P5" s="10"/>
      <c r="Q5" s="445"/>
      <c r="R5" s="445"/>
      <c r="S5" s="445"/>
      <c r="T5" s="446"/>
      <c r="U5" s="329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36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1477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1487</v>
      </c>
      <c r="B22" s="487"/>
      <c r="C22" s="488"/>
      <c r="D22" s="466" t="s">
        <v>1488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1489</v>
      </c>
      <c r="X22" s="492"/>
      <c r="Z22" s="65" t="s">
        <v>1459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66</v>
      </c>
      <c r="X23" s="494"/>
      <c r="Z23" s="66" t="s">
        <v>1490</v>
      </c>
    </row>
    <row r="24" spans="1:28" ht="14.25" customHeight="1" x14ac:dyDescent="0.25">
      <c r="A24" s="447" t="s">
        <v>1491</v>
      </c>
      <c r="B24" s="473"/>
      <c r="C24" s="33" t="s">
        <v>16</v>
      </c>
      <c r="D24" s="476" t="s">
        <v>1492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327" t="s">
        <v>1493</v>
      </c>
      <c r="D25" s="479" t="s">
        <v>41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1494</v>
      </c>
    </row>
    <row r="26" spans="1:28" s="19" customFormat="1" ht="9.9499999999999993" customHeight="1" x14ac:dyDescent="0.25">
      <c r="A26" s="384" t="s">
        <v>1495</v>
      </c>
      <c r="B26" s="384"/>
      <c r="C26" s="386" t="s">
        <v>1496</v>
      </c>
      <c r="D26" s="391" t="s">
        <v>1494</v>
      </c>
      <c r="E26" s="373">
        <v>0.92100000000000004</v>
      </c>
      <c r="F26" s="374"/>
      <c r="G26" s="51" t="s">
        <v>1497</v>
      </c>
      <c r="H26" s="68">
        <v>3.0000000000000001E-3</v>
      </c>
      <c r="I26" s="423">
        <v>0.92249999999999999</v>
      </c>
      <c r="J26" s="423"/>
      <c r="K26" s="423">
        <v>0.92200000000000004</v>
      </c>
      <c r="L26" s="423"/>
      <c r="M26" s="423">
        <v>0.92300000000000004</v>
      </c>
      <c r="N26" s="423"/>
      <c r="O26" s="423">
        <v>0.92249999999999999</v>
      </c>
      <c r="P26" s="423"/>
      <c r="Q26" s="423">
        <v>0.92249999999999999</v>
      </c>
      <c r="R26" s="423"/>
      <c r="S26" s="423">
        <v>0.92249999999999999</v>
      </c>
      <c r="T26" s="423"/>
      <c r="U26" s="423">
        <v>0.92249999999999999</v>
      </c>
      <c r="V26" s="423"/>
      <c r="W26" s="423">
        <v>0.92249999999999999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1464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58</v>
      </c>
      <c r="B28" s="384"/>
      <c r="C28" s="386" t="s">
        <v>59</v>
      </c>
      <c r="D28" s="391" t="s">
        <v>1494</v>
      </c>
      <c r="E28" s="373">
        <v>0.27300000000000002</v>
      </c>
      <c r="F28" s="374"/>
      <c r="G28" s="51" t="s">
        <v>1459</v>
      </c>
      <c r="H28" s="68">
        <v>2E-3</v>
      </c>
      <c r="I28" s="423">
        <v>0.27250000000000002</v>
      </c>
      <c r="J28" s="423"/>
      <c r="K28" s="423">
        <v>0.2722</v>
      </c>
      <c r="L28" s="423"/>
      <c r="M28" s="423">
        <v>0.27260000000000001</v>
      </c>
      <c r="N28" s="423"/>
      <c r="O28" s="423">
        <v>0.2722</v>
      </c>
      <c r="P28" s="423"/>
      <c r="Q28" s="423">
        <v>0.2722</v>
      </c>
      <c r="R28" s="423"/>
      <c r="S28" s="423">
        <v>0.27239999999999998</v>
      </c>
      <c r="T28" s="423"/>
      <c r="U28" s="423">
        <v>0.27260000000000001</v>
      </c>
      <c r="V28" s="423"/>
      <c r="W28" s="423">
        <v>0.27210000000000001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1464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1498</v>
      </c>
      <c r="B30" s="384"/>
      <c r="C30" s="386" t="s">
        <v>1496</v>
      </c>
      <c r="D30" s="391"/>
      <c r="E30" s="373">
        <v>1.2999999999999999E-2</v>
      </c>
      <c r="F30" s="374"/>
      <c r="G30" s="51" t="s">
        <v>1497</v>
      </c>
      <c r="H30" s="68">
        <v>2E-3</v>
      </c>
      <c r="I30" s="423">
        <v>1.4500000000000001E-2</v>
      </c>
      <c r="J30" s="423"/>
      <c r="K30" s="423">
        <v>1.35E-2</v>
      </c>
      <c r="L30" s="423"/>
      <c r="M30" s="423">
        <v>1.2999999999999999E-2</v>
      </c>
      <c r="N30" s="423"/>
      <c r="O30" s="423">
        <v>1.35E-2</v>
      </c>
      <c r="P30" s="423"/>
      <c r="Q30" s="423">
        <v>1.2999999999999999E-2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1.2999999999999999E-2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1490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1499</v>
      </c>
      <c r="B32" s="384"/>
      <c r="C32" s="386" t="s">
        <v>1500</v>
      </c>
      <c r="D32" s="321" t="s">
        <v>1466</v>
      </c>
      <c r="E32" s="322"/>
      <c r="F32" s="322"/>
      <c r="G32" s="322"/>
      <c r="H32" s="323"/>
      <c r="I32" s="379" t="s">
        <v>1501</v>
      </c>
      <c r="J32" s="379"/>
      <c r="K32" s="379" t="s">
        <v>1501</v>
      </c>
      <c r="L32" s="379"/>
      <c r="M32" s="379" t="s">
        <v>1501</v>
      </c>
      <c r="N32" s="379"/>
      <c r="O32" s="379" t="s">
        <v>1468</v>
      </c>
      <c r="P32" s="379"/>
      <c r="Q32" s="379" t="s">
        <v>1468</v>
      </c>
      <c r="R32" s="379"/>
      <c r="S32" s="379" t="s">
        <v>1468</v>
      </c>
      <c r="T32" s="379"/>
      <c r="U32" s="379" t="s">
        <v>1501</v>
      </c>
      <c r="V32" s="379"/>
      <c r="W32" s="379" t="s">
        <v>1501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324" t="s">
        <v>1502</v>
      </c>
      <c r="E33" s="325"/>
      <c r="F33" s="325"/>
      <c r="G33" s="325"/>
      <c r="H33" s="326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324"/>
      <c r="E35" s="325"/>
      <c r="F35" s="325"/>
      <c r="G35" s="325"/>
      <c r="H35" s="326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321"/>
      <c r="E36" s="322"/>
      <c r="F36" s="322"/>
      <c r="G36" s="322"/>
      <c r="H36" s="323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324"/>
      <c r="E37" s="325"/>
      <c r="F37" s="325"/>
      <c r="G37" s="325"/>
      <c r="H37" s="326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321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324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321"/>
      <c r="E40" s="318"/>
      <c r="F40" s="319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324"/>
      <c r="E41" s="320"/>
      <c r="F41" s="320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321"/>
      <c r="E42" s="318"/>
      <c r="F42" s="319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324"/>
      <c r="E43" s="320"/>
      <c r="F43" s="320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321"/>
      <c r="E44" s="322"/>
      <c r="F44" s="322"/>
      <c r="G44" s="322"/>
      <c r="H44" s="323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324"/>
      <c r="E45" s="325"/>
      <c r="F45" s="325"/>
      <c r="G45" s="325"/>
      <c r="H45" s="326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321"/>
      <c r="E48" s="322"/>
      <c r="F48" s="322"/>
      <c r="G48" s="322"/>
      <c r="H48" s="323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324"/>
      <c r="E49" s="325"/>
      <c r="F49" s="325"/>
      <c r="G49" s="325"/>
      <c r="H49" s="326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1503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43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57</v>
      </c>
      <c r="R72" s="401"/>
      <c r="S72" s="409" t="s">
        <v>1504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1505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1506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1474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6:X27">
    <cfRule type="cellIs" dxfId="23" priority="5" operator="greaterThan">
      <formula>$AA$26</formula>
    </cfRule>
    <cfRule type="cellIs" dxfId="22" priority="6" operator="lessThan">
      <formula>$AA$27</formula>
    </cfRule>
  </conditionalFormatting>
  <conditionalFormatting sqref="I28:X29">
    <cfRule type="cellIs" dxfId="21" priority="3" operator="greaterThan">
      <formula>$AA$28</formula>
    </cfRule>
    <cfRule type="cellIs" dxfId="20" priority="4" operator="lessThan">
      <formula>$AA$29</formula>
    </cfRule>
  </conditionalFormatting>
  <conditionalFormatting sqref="I30:X31">
    <cfRule type="cellIs" dxfId="19" priority="1" operator="greaterThan">
      <formula>$AA$30</formula>
    </cfRule>
    <cfRule type="cellIs" dxfId="18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1507</v>
      </c>
      <c r="B2" s="496"/>
      <c r="C2" s="465" t="s">
        <v>1508</v>
      </c>
      <c r="D2" s="333" t="s">
        <v>2</v>
      </c>
      <c r="E2" s="43"/>
      <c r="F2" s="369" t="s">
        <v>1509</v>
      </c>
      <c r="G2" s="369"/>
      <c r="H2" s="369"/>
      <c r="I2" s="369"/>
      <c r="J2" s="369"/>
      <c r="K2" s="370"/>
      <c r="L2" s="333" t="s">
        <v>4</v>
      </c>
      <c r="M2" s="369">
        <v>4</v>
      </c>
      <c r="N2" s="499"/>
      <c r="O2" s="333" t="s">
        <v>6</v>
      </c>
      <c r="P2" s="502" t="s">
        <v>1510</v>
      </c>
      <c r="Q2" s="502"/>
      <c r="R2" s="502"/>
      <c r="S2" s="502"/>
      <c r="T2" s="502"/>
      <c r="U2" s="502"/>
      <c r="V2" s="503"/>
      <c r="W2" s="333" t="s">
        <v>34</v>
      </c>
      <c r="X2" s="32">
        <v>1</v>
      </c>
      <c r="Z2" s="34" t="s">
        <v>1511</v>
      </c>
    </row>
    <row r="3" spans="1:26" ht="9.9499999999999993" customHeight="1" x14ac:dyDescent="0.25">
      <c r="A3" s="497" t="s">
        <v>1</v>
      </c>
      <c r="B3" s="498"/>
      <c r="C3" s="486"/>
      <c r="D3" s="334" t="s">
        <v>3</v>
      </c>
      <c r="E3" s="44"/>
      <c r="F3" s="371"/>
      <c r="G3" s="371"/>
      <c r="H3" s="371"/>
      <c r="I3" s="371"/>
      <c r="J3" s="371"/>
      <c r="K3" s="372"/>
      <c r="L3" s="334" t="s">
        <v>5</v>
      </c>
      <c r="M3" s="500"/>
      <c r="N3" s="501"/>
      <c r="O3" s="334" t="s">
        <v>7</v>
      </c>
      <c r="P3" s="504"/>
      <c r="Q3" s="504"/>
      <c r="R3" s="504"/>
      <c r="S3" s="504"/>
      <c r="T3" s="504"/>
      <c r="U3" s="504"/>
      <c r="V3" s="505"/>
      <c r="W3" s="334" t="s">
        <v>8</v>
      </c>
      <c r="X3" s="342">
        <v>1</v>
      </c>
      <c r="Z3" s="35"/>
    </row>
    <row r="4" spans="1:26" ht="14.25" customHeight="1" x14ac:dyDescent="0.25">
      <c r="A4" s="3" t="s">
        <v>1512</v>
      </c>
      <c r="B4" s="4"/>
      <c r="C4" s="4"/>
      <c r="D4" s="48"/>
      <c r="E4" s="28" t="s">
        <v>1513</v>
      </c>
      <c r="F4" s="5" t="s">
        <v>1514</v>
      </c>
      <c r="G4" s="5"/>
      <c r="H4" s="5"/>
      <c r="I4" s="4"/>
      <c r="J4" s="4"/>
      <c r="K4" s="28" t="s">
        <v>1515</v>
      </c>
      <c r="L4" s="5" t="s">
        <v>1516</v>
      </c>
      <c r="M4" s="4"/>
      <c r="N4" s="4"/>
      <c r="O4" s="333" t="s">
        <v>9</v>
      </c>
      <c r="P4" s="6"/>
      <c r="Q4" s="442" t="s">
        <v>1517</v>
      </c>
      <c r="R4" s="443"/>
      <c r="S4" s="443"/>
      <c r="T4" s="444"/>
      <c r="U4" s="333" t="s">
        <v>11</v>
      </c>
      <c r="V4" s="7"/>
      <c r="W4" s="369" t="s">
        <v>71</v>
      </c>
      <c r="X4" s="499"/>
      <c r="Z4" s="34" t="s">
        <v>1518</v>
      </c>
    </row>
    <row r="5" spans="1:26" ht="9.9499999999999993" customHeight="1" x14ac:dyDescent="0.2">
      <c r="A5" s="26" t="s">
        <v>1519</v>
      </c>
      <c r="B5" s="8"/>
      <c r="C5" s="8"/>
      <c r="D5" s="8"/>
      <c r="E5" s="8"/>
      <c r="F5" s="27" t="s">
        <v>1520</v>
      </c>
      <c r="G5" s="27"/>
      <c r="H5" s="27"/>
      <c r="I5" s="8"/>
      <c r="J5" s="8"/>
      <c r="K5" s="8"/>
      <c r="L5" s="27" t="s">
        <v>1521</v>
      </c>
      <c r="M5" s="8"/>
      <c r="N5" s="9"/>
      <c r="O5" s="26" t="s">
        <v>10</v>
      </c>
      <c r="P5" s="10"/>
      <c r="Q5" s="445"/>
      <c r="R5" s="445"/>
      <c r="S5" s="445"/>
      <c r="T5" s="446"/>
      <c r="U5" s="334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1522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1509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1523</v>
      </c>
      <c r="B22" s="487"/>
      <c r="C22" s="488"/>
      <c r="D22" s="466" t="s">
        <v>1524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1525</v>
      </c>
      <c r="X22" s="492"/>
      <c r="Z22" s="65" t="s">
        <v>1526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1527</v>
      </c>
      <c r="X23" s="494"/>
      <c r="Z23" s="66" t="s">
        <v>1528</v>
      </c>
    </row>
    <row r="24" spans="1:28" ht="14.25" customHeight="1" x14ac:dyDescent="0.25">
      <c r="A24" s="447" t="s">
        <v>1529</v>
      </c>
      <c r="B24" s="473"/>
      <c r="C24" s="33" t="s">
        <v>16</v>
      </c>
      <c r="D24" s="476" t="s">
        <v>1530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341" t="s">
        <v>1531</v>
      </c>
      <c r="D25" s="479" t="s">
        <v>1532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1533</v>
      </c>
    </row>
    <row r="26" spans="1:28" s="19" customFormat="1" ht="9.9499999999999993" customHeight="1" x14ac:dyDescent="0.25">
      <c r="A26" s="384" t="s">
        <v>1534</v>
      </c>
      <c r="B26" s="384"/>
      <c r="C26" s="386" t="s">
        <v>1535</v>
      </c>
      <c r="D26" s="391" t="s">
        <v>1536</v>
      </c>
      <c r="E26" s="373">
        <v>0.92100000000000004</v>
      </c>
      <c r="F26" s="374"/>
      <c r="G26" s="51" t="s">
        <v>1526</v>
      </c>
      <c r="H26" s="68">
        <v>3.0000000000000001E-3</v>
      </c>
      <c r="I26" s="423">
        <v>0.92349999999999999</v>
      </c>
      <c r="J26" s="423"/>
      <c r="K26" s="423">
        <v>0.92300000000000004</v>
      </c>
      <c r="L26" s="423"/>
      <c r="M26" s="423">
        <v>0.92349999999999999</v>
      </c>
      <c r="N26" s="423"/>
      <c r="O26" s="423">
        <v>0.92300000000000004</v>
      </c>
      <c r="P26" s="423"/>
      <c r="Q26" s="423">
        <v>0.92300000000000004</v>
      </c>
      <c r="R26" s="423"/>
      <c r="S26" s="423">
        <v>0.92349999999999999</v>
      </c>
      <c r="T26" s="423"/>
      <c r="U26" s="423">
        <v>0.92349999999999999</v>
      </c>
      <c r="V26" s="423"/>
      <c r="W26" s="423">
        <v>0.92349999999999999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104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1537</v>
      </c>
      <c r="B28" s="384"/>
      <c r="C28" s="386" t="s">
        <v>1538</v>
      </c>
      <c r="D28" s="391" t="s">
        <v>1533</v>
      </c>
      <c r="E28" s="373">
        <v>0.27300000000000002</v>
      </c>
      <c r="F28" s="374"/>
      <c r="G28" s="51" t="s">
        <v>1539</v>
      </c>
      <c r="H28" s="68">
        <v>2E-3</v>
      </c>
      <c r="I28" s="423">
        <v>0.27210000000000001</v>
      </c>
      <c r="J28" s="423"/>
      <c r="K28" s="423">
        <v>0.27179999999999999</v>
      </c>
      <c r="L28" s="423"/>
      <c r="M28" s="423">
        <v>0.27150000000000002</v>
      </c>
      <c r="N28" s="423"/>
      <c r="O28" s="423">
        <v>0.27160000000000001</v>
      </c>
      <c r="P28" s="423"/>
      <c r="Q28" s="423">
        <v>0.27200000000000002</v>
      </c>
      <c r="R28" s="423"/>
      <c r="S28" s="423">
        <v>0.27160000000000001</v>
      </c>
      <c r="T28" s="423"/>
      <c r="U28" s="423">
        <v>0.27200000000000002</v>
      </c>
      <c r="V28" s="423"/>
      <c r="W28" s="423">
        <v>0.27239999999999998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1540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1541</v>
      </c>
      <c r="B30" s="384"/>
      <c r="C30" s="386" t="s">
        <v>1542</v>
      </c>
      <c r="D30" s="391"/>
      <c r="E30" s="373">
        <v>1.2999999999999999E-2</v>
      </c>
      <c r="F30" s="374"/>
      <c r="G30" s="51" t="s">
        <v>1526</v>
      </c>
      <c r="H30" s="68">
        <v>2E-3</v>
      </c>
      <c r="I30" s="423">
        <v>1.4E-2</v>
      </c>
      <c r="J30" s="423"/>
      <c r="K30" s="423">
        <v>1.4E-2</v>
      </c>
      <c r="L30" s="423"/>
      <c r="M30" s="423">
        <v>1.4500000000000001E-2</v>
      </c>
      <c r="N30" s="423"/>
      <c r="O30" s="423">
        <v>1.35E-2</v>
      </c>
      <c r="P30" s="423"/>
      <c r="Q30" s="423">
        <v>1.35E-2</v>
      </c>
      <c r="R30" s="423"/>
      <c r="S30" s="423">
        <v>1.35E-2</v>
      </c>
      <c r="T30" s="423"/>
      <c r="U30" s="423">
        <v>1.4E-2</v>
      </c>
      <c r="V30" s="423"/>
      <c r="W30" s="423">
        <v>1.4E-2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1543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1544</v>
      </c>
      <c r="B32" s="384"/>
      <c r="C32" s="386" t="s">
        <v>1545</v>
      </c>
      <c r="D32" s="335" t="s">
        <v>1546</v>
      </c>
      <c r="E32" s="336"/>
      <c r="F32" s="336"/>
      <c r="G32" s="336"/>
      <c r="H32" s="337"/>
      <c r="I32" s="379" t="s">
        <v>1547</v>
      </c>
      <c r="J32" s="379"/>
      <c r="K32" s="379" t="s">
        <v>1547</v>
      </c>
      <c r="L32" s="379"/>
      <c r="M32" s="379" t="s">
        <v>1548</v>
      </c>
      <c r="N32" s="379"/>
      <c r="O32" s="379" t="s">
        <v>1549</v>
      </c>
      <c r="P32" s="379"/>
      <c r="Q32" s="379" t="s">
        <v>1548</v>
      </c>
      <c r="R32" s="379"/>
      <c r="S32" s="379" t="s">
        <v>1547</v>
      </c>
      <c r="T32" s="379"/>
      <c r="U32" s="379" t="s">
        <v>1549</v>
      </c>
      <c r="V32" s="379"/>
      <c r="W32" s="379" t="s">
        <v>1547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338" t="s">
        <v>1550</v>
      </c>
      <c r="E33" s="339"/>
      <c r="F33" s="339"/>
      <c r="G33" s="339"/>
      <c r="H33" s="340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338"/>
      <c r="E35" s="339"/>
      <c r="F35" s="339"/>
      <c r="G35" s="339"/>
      <c r="H35" s="340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335"/>
      <c r="E36" s="336"/>
      <c r="F36" s="336"/>
      <c r="G36" s="336"/>
      <c r="H36" s="337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338"/>
      <c r="E37" s="339"/>
      <c r="F37" s="339"/>
      <c r="G37" s="339"/>
      <c r="H37" s="340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335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338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335"/>
      <c r="E40" s="330"/>
      <c r="F40" s="331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338"/>
      <c r="E41" s="332"/>
      <c r="F41" s="332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335"/>
      <c r="E42" s="330"/>
      <c r="F42" s="331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338"/>
      <c r="E43" s="332"/>
      <c r="F43" s="332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335"/>
      <c r="E44" s="336"/>
      <c r="F44" s="336"/>
      <c r="G44" s="336"/>
      <c r="H44" s="337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338"/>
      <c r="E45" s="339"/>
      <c r="F45" s="339"/>
      <c r="G45" s="339"/>
      <c r="H45" s="340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335"/>
      <c r="E48" s="336"/>
      <c r="F48" s="336"/>
      <c r="G48" s="336"/>
      <c r="H48" s="337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338"/>
      <c r="E49" s="339"/>
      <c r="F49" s="339"/>
      <c r="G49" s="339"/>
      <c r="H49" s="340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1551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124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1552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1553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1542</v>
      </c>
      <c r="R72" s="401"/>
      <c r="S72" s="409" t="s">
        <v>128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1554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1555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1556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7" priority="5" operator="greaterThan">
      <formula>$AA$26</formula>
    </cfRule>
    <cfRule type="cellIs" dxfId="16" priority="6" operator="lessThan">
      <formula>$AA$27</formula>
    </cfRule>
  </conditionalFormatting>
  <conditionalFormatting sqref="I28:X29">
    <cfRule type="cellIs" dxfId="15" priority="3" operator="greaterThan">
      <formula>$AA$28</formula>
    </cfRule>
    <cfRule type="cellIs" dxfId="14" priority="4" operator="lessThan">
      <formula>$AA$29</formula>
    </cfRule>
  </conditionalFormatting>
  <conditionalFormatting sqref="I30:X31">
    <cfRule type="cellIs" dxfId="13" priority="1" operator="greaterThan">
      <formula>$AA$30</formula>
    </cfRule>
    <cfRule type="cellIs" dxfId="12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zoomScale="145" zoomScaleNormal="145" workbookViewId="0">
      <selection activeCell="L78" sqref="L78:P7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1557</v>
      </c>
      <c r="B2" s="496"/>
      <c r="C2" s="465" t="s">
        <v>1558</v>
      </c>
      <c r="D2" s="333" t="s">
        <v>2</v>
      </c>
      <c r="E2" s="43"/>
      <c r="F2" s="369" t="s">
        <v>1559</v>
      </c>
      <c r="G2" s="369"/>
      <c r="H2" s="369"/>
      <c r="I2" s="369"/>
      <c r="J2" s="369"/>
      <c r="K2" s="370"/>
      <c r="L2" s="333" t="s">
        <v>4</v>
      </c>
      <c r="M2" s="369">
        <v>4</v>
      </c>
      <c r="N2" s="499"/>
      <c r="O2" s="333" t="s">
        <v>6</v>
      </c>
      <c r="P2" s="502" t="s">
        <v>134</v>
      </c>
      <c r="Q2" s="502"/>
      <c r="R2" s="502"/>
      <c r="S2" s="502"/>
      <c r="T2" s="502"/>
      <c r="U2" s="502"/>
      <c r="V2" s="503"/>
      <c r="W2" s="333" t="s">
        <v>34</v>
      </c>
      <c r="X2" s="32">
        <v>1</v>
      </c>
      <c r="Z2" s="34" t="s">
        <v>1560</v>
      </c>
    </row>
    <row r="3" spans="1:26" ht="9.9499999999999993" customHeight="1" x14ac:dyDescent="0.25">
      <c r="A3" s="497" t="s">
        <v>1</v>
      </c>
      <c r="B3" s="498"/>
      <c r="C3" s="486"/>
      <c r="D3" s="334" t="s">
        <v>3</v>
      </c>
      <c r="E3" s="44"/>
      <c r="F3" s="371"/>
      <c r="G3" s="371"/>
      <c r="H3" s="371"/>
      <c r="I3" s="371"/>
      <c r="J3" s="371"/>
      <c r="K3" s="372"/>
      <c r="L3" s="334" t="s">
        <v>5</v>
      </c>
      <c r="M3" s="500"/>
      <c r="N3" s="501"/>
      <c r="O3" s="334" t="s">
        <v>7</v>
      </c>
      <c r="P3" s="504"/>
      <c r="Q3" s="504"/>
      <c r="R3" s="504"/>
      <c r="S3" s="504"/>
      <c r="T3" s="504"/>
      <c r="U3" s="504"/>
      <c r="V3" s="505"/>
      <c r="W3" s="334" t="s">
        <v>8</v>
      </c>
      <c r="X3" s="342">
        <v>1</v>
      </c>
      <c r="Z3" s="35"/>
    </row>
    <row r="4" spans="1:26" ht="14.25" customHeight="1" x14ac:dyDescent="0.25">
      <c r="A4" s="3" t="s">
        <v>1561</v>
      </c>
      <c r="B4" s="4"/>
      <c r="C4" s="4"/>
      <c r="D4" s="48"/>
      <c r="E4" s="28" t="s">
        <v>137</v>
      </c>
      <c r="F4" s="5" t="s">
        <v>1562</v>
      </c>
      <c r="G4" s="5"/>
      <c r="H4" s="5"/>
      <c r="I4" s="4"/>
      <c r="J4" s="4"/>
      <c r="K4" s="28" t="s">
        <v>114</v>
      </c>
      <c r="L4" s="5" t="s">
        <v>82</v>
      </c>
      <c r="M4" s="4"/>
      <c r="N4" s="4"/>
      <c r="O4" s="333" t="s">
        <v>9</v>
      </c>
      <c r="P4" s="6"/>
      <c r="Q4" s="442" t="s">
        <v>1563</v>
      </c>
      <c r="R4" s="443"/>
      <c r="S4" s="443"/>
      <c r="T4" s="444"/>
      <c r="U4" s="333" t="s">
        <v>11</v>
      </c>
      <c r="V4" s="7"/>
      <c r="W4" s="369" t="s">
        <v>71</v>
      </c>
      <c r="X4" s="499"/>
      <c r="Z4" s="34" t="s">
        <v>141</v>
      </c>
    </row>
    <row r="5" spans="1:26" ht="9.9499999999999993" customHeight="1" x14ac:dyDescent="0.2">
      <c r="A5" s="26" t="s">
        <v>1564</v>
      </c>
      <c r="B5" s="8"/>
      <c r="C5" s="8"/>
      <c r="D5" s="8"/>
      <c r="E5" s="8"/>
      <c r="F5" s="27" t="s">
        <v>1565</v>
      </c>
      <c r="G5" s="27"/>
      <c r="H5" s="27"/>
      <c r="I5" s="8"/>
      <c r="J5" s="8"/>
      <c r="K5" s="8"/>
      <c r="L5" s="27" t="s">
        <v>87</v>
      </c>
      <c r="M5" s="8"/>
      <c r="N5" s="9"/>
      <c r="O5" s="26" t="s">
        <v>10</v>
      </c>
      <c r="P5" s="10"/>
      <c r="Q5" s="445"/>
      <c r="R5" s="445"/>
      <c r="S5" s="445"/>
      <c r="T5" s="446"/>
      <c r="U5" s="334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88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1559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90</v>
      </c>
      <c r="B22" s="487"/>
      <c r="C22" s="488"/>
      <c r="D22" s="466" t="s">
        <v>1566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1567</v>
      </c>
      <c r="X22" s="492"/>
      <c r="Z22" s="65" t="s">
        <v>102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1568</v>
      </c>
      <c r="X23" s="494"/>
      <c r="Z23" s="66" t="s">
        <v>104</v>
      </c>
    </row>
    <row r="24" spans="1:28" ht="14.25" customHeight="1" x14ac:dyDescent="0.25">
      <c r="A24" s="447" t="s">
        <v>1569</v>
      </c>
      <c r="B24" s="473"/>
      <c r="C24" s="33" t="s">
        <v>16</v>
      </c>
      <c r="D24" s="476" t="s">
        <v>1570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341" t="s">
        <v>1571</v>
      </c>
      <c r="D25" s="479" t="s">
        <v>1572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1573</v>
      </c>
    </row>
    <row r="26" spans="1:28" s="19" customFormat="1" ht="9.9499999999999993" customHeight="1" x14ac:dyDescent="0.25">
      <c r="A26" s="384" t="s">
        <v>120</v>
      </c>
      <c r="B26" s="384"/>
      <c r="C26" s="386" t="s">
        <v>1574</v>
      </c>
      <c r="D26" s="391" t="s">
        <v>1575</v>
      </c>
      <c r="E26" s="373">
        <v>0.92100000000000004</v>
      </c>
      <c r="F26" s="374"/>
      <c r="G26" s="51" t="s">
        <v>1539</v>
      </c>
      <c r="H26" s="68">
        <v>3.0000000000000001E-3</v>
      </c>
      <c r="I26" s="423">
        <v>0.92249999999999999</v>
      </c>
      <c r="J26" s="423"/>
      <c r="K26" s="423">
        <v>0.92249999999999999</v>
      </c>
      <c r="L26" s="423"/>
      <c r="M26" s="423">
        <v>0.92300000000000004</v>
      </c>
      <c r="N26" s="423"/>
      <c r="O26" s="423">
        <v>0.92249999999999999</v>
      </c>
      <c r="P26" s="423"/>
      <c r="Q26" s="423">
        <v>0.92249999999999999</v>
      </c>
      <c r="R26" s="423"/>
      <c r="S26" s="423">
        <v>0.92249999999999999</v>
      </c>
      <c r="T26" s="423"/>
      <c r="U26" s="423">
        <v>0.92300000000000004</v>
      </c>
      <c r="V26" s="423"/>
      <c r="W26" s="423">
        <v>0.92300000000000004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1543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1576</v>
      </c>
      <c r="B28" s="384"/>
      <c r="C28" s="386" t="s">
        <v>1577</v>
      </c>
      <c r="D28" s="391" t="s">
        <v>1575</v>
      </c>
      <c r="E28" s="373">
        <v>0.27300000000000002</v>
      </c>
      <c r="F28" s="374"/>
      <c r="G28" s="51" t="s">
        <v>1578</v>
      </c>
      <c r="H28" s="68">
        <v>2E-3</v>
      </c>
      <c r="I28" s="423">
        <v>0.27179999999999999</v>
      </c>
      <c r="J28" s="423"/>
      <c r="K28" s="423">
        <v>0.2722</v>
      </c>
      <c r="L28" s="423"/>
      <c r="M28" s="423">
        <v>0.27250000000000002</v>
      </c>
      <c r="N28" s="423"/>
      <c r="O28" s="423">
        <v>0.27229999999999999</v>
      </c>
      <c r="P28" s="423"/>
      <c r="Q28" s="423">
        <v>0.27260000000000001</v>
      </c>
      <c r="R28" s="423"/>
      <c r="S28" s="423">
        <v>0.27239999999999998</v>
      </c>
      <c r="T28" s="423"/>
      <c r="U28" s="423">
        <v>0.27229999999999999</v>
      </c>
      <c r="V28" s="423"/>
      <c r="W28" s="423">
        <v>0.27260000000000001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1543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1541</v>
      </c>
      <c r="B30" s="384"/>
      <c r="C30" s="386" t="s">
        <v>1542</v>
      </c>
      <c r="D30" s="391"/>
      <c r="E30" s="373">
        <v>1.2999999999999999E-2</v>
      </c>
      <c r="F30" s="374"/>
      <c r="G30" s="51" t="s">
        <v>1539</v>
      </c>
      <c r="H30" s="68">
        <v>2E-3</v>
      </c>
      <c r="I30" s="423">
        <v>1.2500000000000001E-2</v>
      </c>
      <c r="J30" s="423"/>
      <c r="K30" s="423">
        <v>1.2999999999999999E-2</v>
      </c>
      <c r="L30" s="423"/>
      <c r="M30" s="423">
        <v>1.35E-2</v>
      </c>
      <c r="N30" s="423"/>
      <c r="O30" s="423">
        <v>1.35E-2</v>
      </c>
      <c r="P30" s="423"/>
      <c r="Q30" s="423">
        <v>1.2999999999999999E-2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1543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1579</v>
      </c>
      <c r="B32" s="384"/>
      <c r="C32" s="386" t="s">
        <v>1545</v>
      </c>
      <c r="D32" s="335" t="s">
        <v>1580</v>
      </c>
      <c r="E32" s="336"/>
      <c r="F32" s="336"/>
      <c r="G32" s="336"/>
      <c r="H32" s="337"/>
      <c r="I32" s="379" t="s">
        <v>1548</v>
      </c>
      <c r="J32" s="379"/>
      <c r="K32" s="379" t="s">
        <v>1548</v>
      </c>
      <c r="L32" s="379"/>
      <c r="M32" s="379" t="s">
        <v>1548</v>
      </c>
      <c r="N32" s="379"/>
      <c r="O32" s="379" t="s">
        <v>1548</v>
      </c>
      <c r="P32" s="379"/>
      <c r="Q32" s="379" t="s">
        <v>1548</v>
      </c>
      <c r="R32" s="379"/>
      <c r="S32" s="379" t="s">
        <v>1548</v>
      </c>
      <c r="T32" s="379"/>
      <c r="U32" s="379" t="s">
        <v>1548</v>
      </c>
      <c r="V32" s="379"/>
      <c r="W32" s="379" t="s">
        <v>1548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338" t="s">
        <v>1581</v>
      </c>
      <c r="E33" s="339"/>
      <c r="F33" s="339"/>
      <c r="G33" s="339"/>
      <c r="H33" s="340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338"/>
      <c r="E35" s="339"/>
      <c r="F35" s="339"/>
      <c r="G35" s="339"/>
      <c r="H35" s="340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335"/>
      <c r="E36" s="336"/>
      <c r="F36" s="336"/>
      <c r="G36" s="336"/>
      <c r="H36" s="337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338"/>
      <c r="E37" s="339"/>
      <c r="F37" s="339"/>
      <c r="G37" s="339"/>
      <c r="H37" s="340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335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338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335"/>
      <c r="E40" s="330"/>
      <c r="F40" s="331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338"/>
      <c r="E41" s="332"/>
      <c r="F41" s="332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335"/>
      <c r="E42" s="330"/>
      <c r="F42" s="331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338"/>
      <c r="E43" s="332"/>
      <c r="F43" s="332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335"/>
      <c r="E44" s="336"/>
      <c r="F44" s="336"/>
      <c r="G44" s="336"/>
      <c r="H44" s="337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338"/>
      <c r="E45" s="339"/>
      <c r="F45" s="339"/>
      <c r="G45" s="339"/>
      <c r="H45" s="340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335"/>
      <c r="E48" s="336"/>
      <c r="F48" s="336"/>
      <c r="G48" s="336"/>
      <c r="H48" s="337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338"/>
      <c r="E49" s="339"/>
      <c r="F49" s="339"/>
      <c r="G49" s="339"/>
      <c r="H49" s="340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1582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1583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125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1584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1585</v>
      </c>
      <c r="R72" s="401"/>
      <c r="S72" s="409" t="s">
        <v>1586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130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1587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1588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1589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48:X4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Q46:R47"/>
    <mergeCell ref="S46:T47"/>
    <mergeCell ref="U46:V47"/>
    <mergeCell ref="W46:X47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0:B41"/>
    <mergeCell ref="C40:C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U38:V39"/>
    <mergeCell ref="W38:X39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A30:B31"/>
    <mergeCell ref="C30:C31"/>
    <mergeCell ref="D30:D31"/>
    <mergeCell ref="E30:F31"/>
    <mergeCell ref="I30:J31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11" priority="5" operator="greaterThan">
      <formula>$AA$26</formula>
    </cfRule>
    <cfRule type="cellIs" dxfId="10" priority="6" operator="lessThan">
      <formula>$AA$27</formula>
    </cfRule>
  </conditionalFormatting>
  <conditionalFormatting sqref="I28:X29">
    <cfRule type="cellIs" dxfId="9" priority="3" operator="greaterThan">
      <formula>$AA$28</formula>
    </cfRule>
    <cfRule type="cellIs" dxfId="8" priority="4" operator="lessThan">
      <formula>$AA$29</formula>
    </cfRule>
  </conditionalFormatting>
  <conditionalFormatting sqref="I30:X31">
    <cfRule type="cellIs" dxfId="7" priority="1" operator="greaterThan">
      <formula>$AA$30</formula>
    </cfRule>
    <cfRule type="cellIs" dxfId="6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80"/>
  <sheetViews>
    <sheetView showGridLines="0" tabSelected="1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6" customWidth="1"/>
    <col min="28" max="28" width="3.875" style="55" customWidth="1"/>
    <col min="29" max="16384" width="9" style="1"/>
  </cols>
  <sheetData>
    <row r="1" spans="1:26" ht="25.5" customHeight="1" x14ac:dyDescent="0.25">
      <c r="A1" s="484" t="s">
        <v>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</row>
    <row r="2" spans="1:26" ht="13.5" customHeight="1" x14ac:dyDescent="0.25">
      <c r="A2" s="495" t="s">
        <v>30</v>
      </c>
      <c r="B2" s="496"/>
      <c r="C2" s="465" t="s">
        <v>1646</v>
      </c>
      <c r="D2" s="359" t="s">
        <v>2</v>
      </c>
      <c r="E2" s="43"/>
      <c r="F2" s="369" t="s">
        <v>1647</v>
      </c>
      <c r="G2" s="369"/>
      <c r="H2" s="369"/>
      <c r="I2" s="369"/>
      <c r="J2" s="369"/>
      <c r="K2" s="370"/>
      <c r="L2" s="359" t="s">
        <v>4</v>
      </c>
      <c r="M2" s="369">
        <v>4</v>
      </c>
      <c r="N2" s="499"/>
      <c r="O2" s="359" t="s">
        <v>6</v>
      </c>
      <c r="P2" s="502" t="s">
        <v>1648</v>
      </c>
      <c r="Q2" s="502"/>
      <c r="R2" s="502"/>
      <c r="S2" s="502"/>
      <c r="T2" s="502"/>
      <c r="U2" s="502"/>
      <c r="V2" s="503"/>
      <c r="W2" s="359" t="s">
        <v>34</v>
      </c>
      <c r="X2" s="32">
        <v>1</v>
      </c>
      <c r="Z2" s="34" t="s">
        <v>1649</v>
      </c>
    </row>
    <row r="3" spans="1:26" ht="9.9499999999999993" customHeight="1" x14ac:dyDescent="0.25">
      <c r="A3" s="497" t="s">
        <v>1</v>
      </c>
      <c r="B3" s="498"/>
      <c r="C3" s="486"/>
      <c r="D3" s="360" t="s">
        <v>3</v>
      </c>
      <c r="E3" s="44"/>
      <c r="F3" s="371"/>
      <c r="G3" s="371"/>
      <c r="H3" s="371"/>
      <c r="I3" s="371"/>
      <c r="J3" s="371"/>
      <c r="K3" s="372"/>
      <c r="L3" s="360" t="s">
        <v>5</v>
      </c>
      <c r="M3" s="500"/>
      <c r="N3" s="501"/>
      <c r="O3" s="360" t="s">
        <v>7</v>
      </c>
      <c r="P3" s="504"/>
      <c r="Q3" s="504"/>
      <c r="R3" s="504"/>
      <c r="S3" s="504"/>
      <c r="T3" s="504"/>
      <c r="U3" s="504"/>
      <c r="V3" s="505"/>
      <c r="W3" s="360" t="s">
        <v>8</v>
      </c>
      <c r="X3" s="368">
        <v>1</v>
      </c>
      <c r="Z3" s="35"/>
    </row>
    <row r="4" spans="1:26" ht="14.25" customHeight="1" x14ac:dyDescent="0.25">
      <c r="A4" s="3" t="s">
        <v>1650</v>
      </c>
      <c r="B4" s="4"/>
      <c r="C4" s="4"/>
      <c r="D4" s="48"/>
      <c r="E4" s="28" t="s">
        <v>1651</v>
      </c>
      <c r="F4" s="5" t="s">
        <v>32</v>
      </c>
      <c r="G4" s="5"/>
      <c r="H4" s="5"/>
      <c r="I4" s="4"/>
      <c r="J4" s="4"/>
      <c r="K4" s="28" t="s">
        <v>114</v>
      </c>
      <c r="L4" s="5" t="s">
        <v>33</v>
      </c>
      <c r="M4" s="4"/>
      <c r="N4" s="4"/>
      <c r="O4" s="359" t="s">
        <v>9</v>
      </c>
      <c r="P4" s="6"/>
      <c r="Q4" s="442" t="s">
        <v>1652</v>
      </c>
      <c r="R4" s="443"/>
      <c r="S4" s="443"/>
      <c r="T4" s="444"/>
      <c r="U4" s="359" t="s">
        <v>11</v>
      </c>
      <c r="V4" s="7"/>
      <c r="W4" s="369" t="s">
        <v>71</v>
      </c>
      <c r="X4" s="499"/>
      <c r="Z4" s="34" t="s">
        <v>49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G5" s="27"/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445"/>
      <c r="R5" s="445"/>
      <c r="S5" s="445"/>
      <c r="T5" s="446"/>
      <c r="U5" s="360" t="s">
        <v>12</v>
      </c>
      <c r="V5" s="11"/>
      <c r="W5" s="500"/>
      <c r="X5" s="501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447" t="s">
        <v>36</v>
      </c>
      <c r="T6" s="448"/>
      <c r="U6" s="448"/>
      <c r="V6" s="448"/>
      <c r="W6" s="448"/>
      <c r="X6" s="40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425" t="s">
        <v>13</v>
      </c>
      <c r="T7" s="426"/>
      <c r="U7" s="426"/>
      <c r="V7" s="426"/>
      <c r="W7" s="426"/>
      <c r="X7" s="42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9" t="s">
        <v>55</v>
      </c>
      <c r="T8" s="450"/>
      <c r="U8" s="450"/>
      <c r="V8" s="451"/>
      <c r="W8" s="451"/>
      <c r="X8" s="452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80"/>
      <c r="T9" s="388"/>
      <c r="U9" s="388"/>
      <c r="V9" s="453"/>
      <c r="W9" s="453"/>
      <c r="X9" s="454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80"/>
      <c r="T10" s="388"/>
      <c r="U10" s="388"/>
      <c r="V10" s="389"/>
      <c r="W10" s="389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80"/>
      <c r="T11" s="388"/>
      <c r="U11" s="388"/>
      <c r="V11" s="389"/>
      <c r="W11" s="389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80"/>
      <c r="T12" s="388"/>
      <c r="U12" s="388"/>
      <c r="V12" s="389"/>
      <c r="W12" s="389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80"/>
      <c r="T13" s="388"/>
      <c r="U13" s="388"/>
      <c r="V13" s="389"/>
      <c r="W13" s="389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80"/>
      <c r="T14" s="381"/>
      <c r="U14" s="381"/>
      <c r="V14" s="429"/>
      <c r="W14" s="430"/>
      <c r="X14" s="431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80"/>
      <c r="T15" s="381"/>
      <c r="U15" s="381"/>
      <c r="V15" s="429"/>
      <c r="W15" s="430"/>
      <c r="X15" s="431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80"/>
      <c r="T16" s="381"/>
      <c r="U16" s="381"/>
      <c r="V16" s="429"/>
      <c r="W16" s="430"/>
      <c r="X16" s="431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80"/>
      <c r="T17" s="381"/>
      <c r="U17" s="381"/>
      <c r="V17" s="429"/>
      <c r="W17" s="430"/>
      <c r="X17" s="431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80"/>
      <c r="T18" s="381"/>
      <c r="U18" s="381"/>
      <c r="V18" s="429"/>
      <c r="W18" s="430"/>
      <c r="X18" s="431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80"/>
      <c r="T19" s="381"/>
      <c r="U19" s="381"/>
      <c r="V19" s="429"/>
      <c r="W19" s="430"/>
      <c r="X19" s="431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80"/>
      <c r="T20" s="381"/>
      <c r="U20" s="381"/>
      <c r="V20" s="429"/>
      <c r="W20" s="430"/>
      <c r="X20" s="431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80"/>
      <c r="T21" s="381"/>
      <c r="U21" s="381"/>
      <c r="V21" s="515"/>
      <c r="W21" s="516"/>
      <c r="X21" s="486"/>
    </row>
    <row r="22" spans="1:28" ht="12.75" customHeight="1" x14ac:dyDescent="0.25">
      <c r="A22" s="447" t="s">
        <v>35</v>
      </c>
      <c r="B22" s="487"/>
      <c r="C22" s="488"/>
      <c r="D22" s="466" t="s">
        <v>40</v>
      </c>
      <c r="E22" s="467"/>
      <c r="F22" s="467"/>
      <c r="G22" s="467"/>
      <c r="H22" s="468"/>
      <c r="I22" s="468"/>
      <c r="J22" s="468"/>
      <c r="K22" s="468"/>
      <c r="L22" s="468"/>
      <c r="M22" s="468"/>
      <c r="N22" s="468"/>
      <c r="O22" s="468"/>
      <c r="P22" s="468"/>
      <c r="Q22" s="468"/>
      <c r="R22" s="468"/>
      <c r="S22" s="468"/>
      <c r="T22" s="468"/>
      <c r="U22" s="468"/>
      <c r="V22" s="469"/>
      <c r="W22" s="491" t="s">
        <v>37</v>
      </c>
      <c r="X22" s="492"/>
      <c r="Z22" s="65" t="s">
        <v>50</v>
      </c>
    </row>
    <row r="23" spans="1:28" ht="11.25" customHeight="1" x14ac:dyDescent="0.3">
      <c r="A23" s="425" t="s">
        <v>14</v>
      </c>
      <c r="B23" s="489"/>
      <c r="C23" s="490"/>
      <c r="D23" s="470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1"/>
      <c r="R23" s="471"/>
      <c r="S23" s="471"/>
      <c r="T23" s="471"/>
      <c r="U23" s="471"/>
      <c r="V23" s="472"/>
      <c r="W23" s="493" t="s">
        <v>66</v>
      </c>
      <c r="X23" s="494"/>
      <c r="Z23" s="66" t="s">
        <v>51</v>
      </c>
    </row>
    <row r="24" spans="1:28" ht="14.25" customHeight="1" x14ac:dyDescent="0.25">
      <c r="A24" s="447" t="s">
        <v>29</v>
      </c>
      <c r="B24" s="473"/>
      <c r="C24" s="33" t="s">
        <v>16</v>
      </c>
      <c r="D24" s="476" t="s">
        <v>38</v>
      </c>
      <c r="E24" s="477"/>
      <c r="F24" s="477"/>
      <c r="G24" s="477"/>
      <c r="H24" s="478"/>
      <c r="I24" s="382">
        <v>1</v>
      </c>
      <c r="J24" s="382"/>
      <c r="K24" s="382">
        <v>2</v>
      </c>
      <c r="L24" s="382"/>
      <c r="M24" s="382">
        <v>3</v>
      </c>
      <c r="N24" s="382"/>
      <c r="O24" s="382">
        <v>4</v>
      </c>
      <c r="P24" s="382"/>
      <c r="Q24" s="382">
        <v>5</v>
      </c>
      <c r="R24" s="382"/>
      <c r="S24" s="382">
        <v>6</v>
      </c>
      <c r="T24" s="382"/>
      <c r="U24" s="382">
        <v>7</v>
      </c>
      <c r="V24" s="382"/>
      <c r="W24" s="382">
        <v>8</v>
      </c>
      <c r="X24" s="382"/>
      <c r="Z24" s="49"/>
    </row>
    <row r="25" spans="1:28" x14ac:dyDescent="0.25">
      <c r="A25" s="474" t="s">
        <v>15</v>
      </c>
      <c r="B25" s="475"/>
      <c r="C25" s="367" t="s">
        <v>46</v>
      </c>
      <c r="D25" s="479" t="s">
        <v>41</v>
      </c>
      <c r="E25" s="480"/>
      <c r="F25" s="480"/>
      <c r="G25" s="480"/>
      <c r="H25" s="481"/>
      <c r="I25" s="383"/>
      <c r="J25" s="383"/>
      <c r="K25" s="383"/>
      <c r="L25" s="383"/>
      <c r="M25" s="383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Z25" s="482" t="s">
        <v>52</v>
      </c>
    </row>
    <row r="26" spans="1:28" s="19" customFormat="1" ht="9.9499999999999993" customHeight="1" x14ac:dyDescent="0.25">
      <c r="A26" s="384" t="s">
        <v>56</v>
      </c>
      <c r="B26" s="384"/>
      <c r="C26" s="386" t="s">
        <v>57</v>
      </c>
      <c r="D26" s="391" t="s">
        <v>52</v>
      </c>
      <c r="E26" s="373">
        <v>0.92100000000000004</v>
      </c>
      <c r="F26" s="374"/>
      <c r="G26" s="51" t="s">
        <v>50</v>
      </c>
      <c r="H26" s="68">
        <v>3.0000000000000001E-3</v>
      </c>
      <c r="I26" s="423">
        <v>0.92200000000000004</v>
      </c>
      <c r="J26" s="423"/>
      <c r="K26" s="423">
        <v>0.92249999999999999</v>
      </c>
      <c r="L26" s="423"/>
      <c r="M26" s="423">
        <v>0.92200000000000004</v>
      </c>
      <c r="N26" s="423"/>
      <c r="O26" s="423">
        <v>0.92200000000000004</v>
      </c>
      <c r="P26" s="423"/>
      <c r="Q26" s="423">
        <v>0.92200000000000004</v>
      </c>
      <c r="R26" s="423"/>
      <c r="S26" s="423">
        <v>0.92200000000000004</v>
      </c>
      <c r="T26" s="423"/>
      <c r="U26" s="423">
        <v>0.92249999999999999</v>
      </c>
      <c r="V26" s="423"/>
      <c r="W26" s="423">
        <v>0.92300000000000004</v>
      </c>
      <c r="X26" s="423"/>
      <c r="Z26" s="483"/>
      <c r="AA26" s="67">
        <f>E26+H26</f>
        <v>0.92400000000000004</v>
      </c>
      <c r="AB26" s="55">
        <v>26</v>
      </c>
    </row>
    <row r="27" spans="1:28" s="19" customFormat="1" ht="9.9499999999999993" customHeight="1" x14ac:dyDescent="0.3">
      <c r="A27" s="385"/>
      <c r="B27" s="385"/>
      <c r="C27" s="399"/>
      <c r="D27" s="392"/>
      <c r="E27" s="375"/>
      <c r="F27" s="375"/>
      <c r="G27" s="50" t="s">
        <v>51</v>
      </c>
      <c r="H27" s="69">
        <v>0</v>
      </c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  <c r="AA27" s="67">
        <f>E26-H27</f>
        <v>0.92100000000000004</v>
      </c>
      <c r="AB27" s="55">
        <v>27</v>
      </c>
    </row>
    <row r="28" spans="1:28" s="19" customFormat="1" ht="9.9499999999999993" customHeight="1" x14ac:dyDescent="0.25">
      <c r="A28" s="384" t="s">
        <v>58</v>
      </c>
      <c r="B28" s="384"/>
      <c r="C28" s="386" t="s">
        <v>59</v>
      </c>
      <c r="D28" s="391" t="s">
        <v>52</v>
      </c>
      <c r="E28" s="373">
        <v>0.27300000000000002</v>
      </c>
      <c r="F28" s="374"/>
      <c r="G28" s="51" t="s">
        <v>50</v>
      </c>
      <c r="H28" s="68">
        <v>2E-3</v>
      </c>
      <c r="I28" s="423">
        <v>0.27279999999999999</v>
      </c>
      <c r="J28" s="423"/>
      <c r="K28" s="423">
        <v>0.2732</v>
      </c>
      <c r="L28" s="423"/>
      <c r="M28" s="423">
        <v>0.27300000000000002</v>
      </c>
      <c r="N28" s="423"/>
      <c r="O28" s="423">
        <v>0.27300000000000002</v>
      </c>
      <c r="P28" s="423"/>
      <c r="Q28" s="423">
        <v>0.27300000000000002</v>
      </c>
      <c r="R28" s="423"/>
      <c r="S28" s="423">
        <v>0.27260000000000001</v>
      </c>
      <c r="T28" s="423"/>
      <c r="U28" s="423">
        <v>0.27210000000000001</v>
      </c>
      <c r="V28" s="423"/>
      <c r="W28" s="423">
        <v>0.27229999999999999</v>
      </c>
      <c r="X28" s="423"/>
      <c r="AA28" s="67">
        <f>E28+H28</f>
        <v>0.27500000000000002</v>
      </c>
      <c r="AB28" s="55">
        <v>28</v>
      </c>
    </row>
    <row r="29" spans="1:28" s="19" customFormat="1" ht="9.9499999999999993" customHeight="1" x14ac:dyDescent="0.3">
      <c r="A29" s="385"/>
      <c r="B29" s="385"/>
      <c r="C29" s="399"/>
      <c r="D29" s="392"/>
      <c r="E29" s="375"/>
      <c r="F29" s="375"/>
      <c r="G29" s="50" t="s">
        <v>51</v>
      </c>
      <c r="H29" s="69">
        <v>2E-3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  <c r="AA29" s="67">
        <f>E28-H29</f>
        <v>0.27100000000000002</v>
      </c>
      <c r="AB29" s="55">
        <v>29</v>
      </c>
    </row>
    <row r="30" spans="1:28" s="19" customFormat="1" ht="9.9499999999999993" customHeight="1" x14ac:dyDescent="0.25">
      <c r="A30" s="384" t="s">
        <v>60</v>
      </c>
      <c r="B30" s="384"/>
      <c r="C30" s="386" t="s">
        <v>57</v>
      </c>
      <c r="D30" s="391"/>
      <c r="E30" s="373">
        <v>1.2999999999999999E-2</v>
      </c>
      <c r="F30" s="374"/>
      <c r="G30" s="51" t="s">
        <v>50</v>
      </c>
      <c r="H30" s="68">
        <v>2E-3</v>
      </c>
      <c r="I30" s="423">
        <v>1.35E-2</v>
      </c>
      <c r="J30" s="423"/>
      <c r="K30" s="423">
        <v>1.35E-2</v>
      </c>
      <c r="L30" s="423"/>
      <c r="M30" s="423">
        <v>1.2999999999999999E-2</v>
      </c>
      <c r="N30" s="423"/>
      <c r="O30" s="423">
        <v>1.2999999999999999E-2</v>
      </c>
      <c r="P30" s="423"/>
      <c r="Q30" s="423">
        <v>1.35E-2</v>
      </c>
      <c r="R30" s="423"/>
      <c r="S30" s="423">
        <v>1.2999999999999999E-2</v>
      </c>
      <c r="T30" s="423"/>
      <c r="U30" s="423">
        <v>1.2999999999999999E-2</v>
      </c>
      <c r="V30" s="423"/>
      <c r="W30" s="423">
        <v>1.35E-2</v>
      </c>
      <c r="X30" s="423"/>
      <c r="AA30" s="67">
        <f>E30+H30</f>
        <v>1.4999999999999999E-2</v>
      </c>
      <c r="AB30" s="55">
        <v>30</v>
      </c>
    </row>
    <row r="31" spans="1:28" s="19" customFormat="1" ht="9.9499999999999993" customHeight="1" x14ac:dyDescent="0.3">
      <c r="A31" s="385"/>
      <c r="B31" s="385"/>
      <c r="C31" s="399"/>
      <c r="D31" s="392"/>
      <c r="E31" s="375"/>
      <c r="F31" s="375"/>
      <c r="G31" s="50" t="s">
        <v>51</v>
      </c>
      <c r="H31" s="69">
        <v>2E-3</v>
      </c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  <c r="AA31" s="67">
        <f>E30-H31</f>
        <v>1.0999999999999999E-2</v>
      </c>
      <c r="AB31" s="55">
        <v>31</v>
      </c>
    </row>
    <row r="32" spans="1:28" s="19" customFormat="1" ht="9.9499999999999993" customHeight="1" x14ac:dyDescent="0.25">
      <c r="A32" s="384" t="s">
        <v>61</v>
      </c>
      <c r="B32" s="384"/>
      <c r="C32" s="386" t="s">
        <v>62</v>
      </c>
      <c r="D32" s="361" t="s">
        <v>63</v>
      </c>
      <c r="E32" s="362"/>
      <c r="F32" s="362"/>
      <c r="G32" s="362"/>
      <c r="H32" s="363"/>
      <c r="I32" s="379" t="s">
        <v>73</v>
      </c>
      <c r="J32" s="379"/>
      <c r="K32" s="379" t="s">
        <v>73</v>
      </c>
      <c r="L32" s="379"/>
      <c r="M32" s="379" t="s">
        <v>73</v>
      </c>
      <c r="N32" s="379"/>
      <c r="O32" s="379" t="s">
        <v>73</v>
      </c>
      <c r="P32" s="379"/>
      <c r="Q32" s="379" t="s">
        <v>73</v>
      </c>
      <c r="R32" s="379"/>
      <c r="S32" s="379" t="s">
        <v>73</v>
      </c>
      <c r="T32" s="379"/>
      <c r="U32" s="379" t="s">
        <v>73</v>
      </c>
      <c r="V32" s="379"/>
      <c r="W32" s="379" t="s">
        <v>73</v>
      </c>
      <c r="X32" s="379"/>
      <c r="AA32" s="67">
        <f>E32+H32</f>
        <v>0</v>
      </c>
      <c r="AB32" s="55">
        <v>32</v>
      </c>
    </row>
    <row r="33" spans="1:28" s="19" customFormat="1" ht="9.9499999999999993" customHeight="1" x14ac:dyDescent="0.25">
      <c r="A33" s="385"/>
      <c r="B33" s="385"/>
      <c r="C33" s="399"/>
      <c r="D33" s="364" t="s">
        <v>64</v>
      </c>
      <c r="E33" s="365"/>
      <c r="F33" s="365"/>
      <c r="G33" s="365"/>
      <c r="H33" s="366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AA33" s="67">
        <f>E32-H33</f>
        <v>0</v>
      </c>
      <c r="AB33" s="55">
        <v>33</v>
      </c>
    </row>
    <row r="34" spans="1:28" s="19" customFormat="1" ht="9.9499999999999993" customHeight="1" x14ac:dyDescent="0.25">
      <c r="A34" s="384"/>
      <c r="B34" s="384"/>
      <c r="C34" s="31"/>
      <c r="D34" s="40"/>
      <c r="E34" s="52"/>
      <c r="F34" s="52"/>
      <c r="G34" s="52"/>
      <c r="H34" s="37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AA34" s="67">
        <f t="shared" ref="AA34" si="0">E34+H34</f>
        <v>0</v>
      </c>
      <c r="AB34" s="55">
        <v>34</v>
      </c>
    </row>
    <row r="35" spans="1:28" s="19" customFormat="1" ht="9.9499999999999993" customHeight="1" x14ac:dyDescent="0.25">
      <c r="A35" s="385"/>
      <c r="B35" s="385"/>
      <c r="C35" s="30"/>
      <c r="D35" s="364"/>
      <c r="E35" s="365"/>
      <c r="F35" s="365"/>
      <c r="G35" s="365"/>
      <c r="H35" s="366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AA35" s="67">
        <f t="shared" ref="AA35" si="1">E34-H35</f>
        <v>0</v>
      </c>
      <c r="AB35" s="55">
        <v>35</v>
      </c>
    </row>
    <row r="36" spans="1:28" s="20" customFormat="1" ht="9.9499999999999993" customHeight="1" x14ac:dyDescent="0.25">
      <c r="A36" s="384"/>
      <c r="B36" s="384"/>
      <c r="C36" s="31"/>
      <c r="D36" s="361"/>
      <c r="E36" s="362"/>
      <c r="F36" s="362"/>
      <c r="G36" s="362"/>
      <c r="H36" s="363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AA36" s="67">
        <f t="shared" ref="AA36" si="2">E36+H36</f>
        <v>0</v>
      </c>
      <c r="AB36" s="55">
        <v>36</v>
      </c>
    </row>
    <row r="37" spans="1:28" s="20" customFormat="1" ht="9.9499999999999993" customHeight="1" x14ac:dyDescent="0.25">
      <c r="A37" s="385"/>
      <c r="B37" s="385"/>
      <c r="C37" s="30"/>
      <c r="D37" s="364"/>
      <c r="E37" s="365"/>
      <c r="F37" s="365"/>
      <c r="G37" s="365"/>
      <c r="H37" s="366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AA37" s="67">
        <f t="shared" ref="AA37" si="3">E36-H37</f>
        <v>0</v>
      </c>
      <c r="AB37" s="55">
        <v>37</v>
      </c>
    </row>
    <row r="38" spans="1:28" s="20" customFormat="1" ht="9.9499999999999993" customHeight="1" x14ac:dyDescent="0.25">
      <c r="A38" s="384"/>
      <c r="B38" s="384"/>
      <c r="C38" s="31"/>
      <c r="D38" s="361"/>
      <c r="E38" s="53"/>
      <c r="F38" s="53"/>
      <c r="G38" s="53"/>
      <c r="H38" s="38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AA38" s="67">
        <f t="shared" ref="AA38" si="4">E38+H38</f>
        <v>0</v>
      </c>
      <c r="AB38" s="55">
        <v>38</v>
      </c>
    </row>
    <row r="39" spans="1:28" s="20" customFormat="1" ht="9.9499999999999993" customHeight="1" x14ac:dyDescent="0.25">
      <c r="A39" s="385"/>
      <c r="B39" s="385"/>
      <c r="C39" s="30"/>
      <c r="D39" s="364"/>
      <c r="E39" s="54"/>
      <c r="F39" s="54"/>
      <c r="G39" s="54"/>
      <c r="H39" s="3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AA39" s="67">
        <f t="shared" ref="AA39" si="5">E38-H39</f>
        <v>0</v>
      </c>
      <c r="AB39" s="55">
        <v>39</v>
      </c>
    </row>
    <row r="40" spans="1:28" s="20" customFormat="1" ht="9.9499999999999993" customHeight="1" x14ac:dyDescent="0.25">
      <c r="A40" s="384"/>
      <c r="B40" s="384"/>
      <c r="C40" s="510"/>
      <c r="D40" s="361"/>
      <c r="E40" s="356"/>
      <c r="F40" s="357"/>
      <c r="G40" s="51"/>
      <c r="H40" s="45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AA40" s="67">
        <f t="shared" ref="AA40" si="6">E40+H40</f>
        <v>0</v>
      </c>
      <c r="AB40" s="55">
        <v>40</v>
      </c>
    </row>
    <row r="41" spans="1:28" s="20" customFormat="1" ht="9.9499999999999993" customHeight="1" x14ac:dyDescent="0.3">
      <c r="A41" s="385"/>
      <c r="B41" s="385"/>
      <c r="C41" s="511"/>
      <c r="D41" s="364"/>
      <c r="E41" s="358"/>
      <c r="F41" s="358"/>
      <c r="G41" s="50"/>
      <c r="H41" s="47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AA41" s="67">
        <f t="shared" ref="AA41" si="7">E40-H41</f>
        <v>0</v>
      </c>
      <c r="AB41" s="55">
        <v>41</v>
      </c>
    </row>
    <row r="42" spans="1:28" s="20" customFormat="1" ht="9.9499999999999993" customHeight="1" x14ac:dyDescent="0.25">
      <c r="A42" s="384"/>
      <c r="B42" s="384"/>
      <c r="C42" s="510"/>
      <c r="D42" s="361"/>
      <c r="E42" s="356"/>
      <c r="F42" s="357"/>
      <c r="G42" s="51"/>
      <c r="H42" s="45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AA42" s="67">
        <f t="shared" ref="AA42" si="8">E42+H42</f>
        <v>0</v>
      </c>
      <c r="AB42" s="55">
        <v>42</v>
      </c>
    </row>
    <row r="43" spans="1:28" s="20" customFormat="1" ht="9.9499999999999993" customHeight="1" x14ac:dyDescent="0.3">
      <c r="A43" s="385"/>
      <c r="B43" s="385"/>
      <c r="C43" s="512"/>
      <c r="D43" s="364"/>
      <c r="E43" s="358"/>
      <c r="F43" s="358"/>
      <c r="G43" s="50"/>
      <c r="H43" s="47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AA43" s="67">
        <f t="shared" ref="AA43" si="9">E42-H43</f>
        <v>0</v>
      </c>
      <c r="AB43" s="55">
        <v>43</v>
      </c>
    </row>
    <row r="44" spans="1:28" s="20" customFormat="1" ht="9.9499999999999993" customHeight="1" x14ac:dyDescent="0.25">
      <c r="A44" s="384"/>
      <c r="B44" s="384"/>
      <c r="C44" s="510"/>
      <c r="D44" s="361"/>
      <c r="E44" s="362"/>
      <c r="F44" s="362"/>
      <c r="G44" s="362"/>
      <c r="H44" s="363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AA44" s="67">
        <f t="shared" ref="AA44" si="10">E44+H44</f>
        <v>0</v>
      </c>
      <c r="AB44" s="55">
        <v>44</v>
      </c>
    </row>
    <row r="45" spans="1:28" s="20" customFormat="1" ht="9.9499999999999993" customHeight="1" x14ac:dyDescent="0.25">
      <c r="A45" s="385"/>
      <c r="B45" s="385"/>
      <c r="C45" s="512"/>
      <c r="D45" s="364"/>
      <c r="E45" s="365"/>
      <c r="F45" s="365"/>
      <c r="G45" s="365"/>
      <c r="H45" s="366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AA45" s="67">
        <f t="shared" ref="AA45" si="11">E44-H45</f>
        <v>0</v>
      </c>
      <c r="AB45" s="55">
        <v>45</v>
      </c>
    </row>
    <row r="46" spans="1:28" s="20" customFormat="1" ht="9.9499999999999993" customHeight="1" x14ac:dyDescent="0.25">
      <c r="A46" s="384"/>
      <c r="B46" s="384"/>
      <c r="C46" s="386"/>
      <c r="D46" s="391"/>
      <c r="E46" s="376"/>
      <c r="F46" s="377"/>
      <c r="G46" s="51"/>
      <c r="H46" s="45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AA46" s="67">
        <f t="shared" ref="AA46" si="12">E46+H46</f>
        <v>0</v>
      </c>
      <c r="AB46" s="55">
        <v>46</v>
      </c>
    </row>
    <row r="47" spans="1:28" s="20" customFormat="1" ht="9.9499999999999993" customHeight="1" x14ac:dyDescent="0.3">
      <c r="A47" s="385"/>
      <c r="B47" s="385"/>
      <c r="C47" s="387"/>
      <c r="D47" s="392"/>
      <c r="E47" s="378"/>
      <c r="F47" s="378"/>
      <c r="G47" s="50"/>
      <c r="H47" s="47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AA47" s="67">
        <f t="shared" ref="AA47" si="13">E46-H47</f>
        <v>0</v>
      </c>
      <c r="AB47" s="55">
        <v>47</v>
      </c>
    </row>
    <row r="48" spans="1:28" s="20" customFormat="1" ht="9.9499999999999993" customHeight="1" x14ac:dyDescent="0.25">
      <c r="A48" s="384"/>
      <c r="B48" s="384"/>
      <c r="C48" s="386"/>
      <c r="D48" s="361"/>
      <c r="E48" s="362"/>
      <c r="F48" s="362"/>
      <c r="G48" s="362"/>
      <c r="H48" s="363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AA48" s="67">
        <f t="shared" ref="AA48" si="14">E48+H48</f>
        <v>0</v>
      </c>
      <c r="AB48" s="55">
        <v>48</v>
      </c>
    </row>
    <row r="49" spans="1:28" s="20" customFormat="1" ht="9.9499999999999993" customHeight="1" x14ac:dyDescent="0.25">
      <c r="A49" s="385"/>
      <c r="B49" s="385"/>
      <c r="C49" s="399"/>
      <c r="D49" s="364"/>
      <c r="E49" s="365"/>
      <c r="F49" s="365"/>
      <c r="G49" s="365"/>
      <c r="H49" s="366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AA49" s="67">
        <f t="shared" ref="AA49" si="15">E48-H49</f>
        <v>0</v>
      </c>
      <c r="AB49" s="55">
        <v>49</v>
      </c>
    </row>
    <row r="50" spans="1:28" s="20" customFormat="1" ht="9.9499999999999993" customHeight="1" x14ac:dyDescent="0.25">
      <c r="A50" s="384"/>
      <c r="B50" s="384"/>
      <c r="C50" s="41"/>
      <c r="D50" s="417"/>
      <c r="E50" s="418"/>
      <c r="F50" s="418"/>
      <c r="G50" s="418"/>
      <c r="H50" s="41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AA50" s="67">
        <f t="shared" ref="AA50" si="16">E50+H50</f>
        <v>0</v>
      </c>
      <c r="AB50" s="55">
        <v>50</v>
      </c>
    </row>
    <row r="51" spans="1:28" s="20" customFormat="1" ht="9.9499999999999993" customHeight="1" x14ac:dyDescent="0.25">
      <c r="A51" s="385"/>
      <c r="B51" s="385"/>
      <c r="C51" s="42"/>
      <c r="D51" s="420"/>
      <c r="E51" s="421"/>
      <c r="F51" s="421"/>
      <c r="G51" s="421"/>
      <c r="H51" s="422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AA51" s="67">
        <f t="shared" ref="AA51" si="17">E50-H51</f>
        <v>0</v>
      </c>
      <c r="AB51" s="55">
        <v>51</v>
      </c>
    </row>
    <row r="52" spans="1:28" s="20" customFormat="1" ht="9.9499999999999993" customHeight="1" x14ac:dyDescent="0.25">
      <c r="A52" s="384"/>
      <c r="B52" s="384"/>
      <c r="C52" s="386"/>
      <c r="D52" s="417"/>
      <c r="E52" s="418"/>
      <c r="F52" s="418"/>
      <c r="G52" s="418"/>
      <c r="H52" s="41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AA52" s="67">
        <f t="shared" ref="AA52" si="18">E52+H52</f>
        <v>0</v>
      </c>
      <c r="AB52" s="55">
        <v>52</v>
      </c>
    </row>
    <row r="53" spans="1:28" s="20" customFormat="1" ht="9.9499999999999993" customHeight="1" x14ac:dyDescent="0.25">
      <c r="A53" s="385"/>
      <c r="B53" s="385"/>
      <c r="C53" s="387"/>
      <c r="D53" s="420"/>
      <c r="E53" s="421"/>
      <c r="F53" s="421"/>
      <c r="G53" s="421"/>
      <c r="H53" s="422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AA53" s="67">
        <f t="shared" ref="AA53" si="19">E52-H53</f>
        <v>0</v>
      </c>
      <c r="AB53" s="55">
        <v>53</v>
      </c>
    </row>
    <row r="54" spans="1:28" s="20" customFormat="1" ht="9.9499999999999993" customHeight="1" x14ac:dyDescent="0.25">
      <c r="A54" s="384"/>
      <c r="B54" s="384"/>
      <c r="C54" s="386"/>
      <c r="D54" s="391"/>
      <c r="E54" s="376"/>
      <c r="F54" s="377"/>
      <c r="G54" s="51"/>
      <c r="H54" s="45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AA54" s="67">
        <f t="shared" ref="AA54" si="20">E54+H54</f>
        <v>0</v>
      </c>
      <c r="AB54" s="55">
        <v>54</v>
      </c>
    </row>
    <row r="55" spans="1:28" s="20" customFormat="1" ht="9.9499999999999993" customHeight="1" x14ac:dyDescent="0.3">
      <c r="A55" s="385"/>
      <c r="B55" s="385"/>
      <c r="C55" s="387"/>
      <c r="D55" s="392"/>
      <c r="E55" s="378"/>
      <c r="F55" s="378"/>
      <c r="G55" s="50"/>
      <c r="H55" s="47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AA55" s="67">
        <f t="shared" ref="AA55" si="21">E54-H55</f>
        <v>0</v>
      </c>
      <c r="AB55" s="55">
        <v>55</v>
      </c>
    </row>
    <row r="56" spans="1:28" s="20" customFormat="1" ht="9.9499999999999993" customHeight="1" x14ac:dyDescent="0.25">
      <c r="A56" s="384"/>
      <c r="B56" s="384"/>
      <c r="C56" s="386"/>
      <c r="D56" s="391"/>
      <c r="E56" s="376"/>
      <c r="F56" s="377"/>
      <c r="G56" s="51"/>
      <c r="H56" s="45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AA56" s="67">
        <f t="shared" ref="AA56" si="22">E56+H56</f>
        <v>0</v>
      </c>
      <c r="AB56" s="55">
        <v>56</v>
      </c>
    </row>
    <row r="57" spans="1:28" s="20" customFormat="1" ht="9.9499999999999993" customHeight="1" x14ac:dyDescent="0.3">
      <c r="A57" s="385"/>
      <c r="B57" s="385"/>
      <c r="C57" s="387"/>
      <c r="D57" s="392"/>
      <c r="E57" s="378"/>
      <c r="F57" s="378"/>
      <c r="G57" s="50"/>
      <c r="H57" s="47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AA57" s="67">
        <f t="shared" ref="AA57" si="23">E56-H57</f>
        <v>0</v>
      </c>
      <c r="AB57" s="55">
        <v>57</v>
      </c>
    </row>
    <row r="58" spans="1:28" s="20" customFormat="1" ht="9.9499999999999993" customHeight="1" x14ac:dyDescent="0.25">
      <c r="A58" s="384"/>
      <c r="B58" s="384"/>
      <c r="C58" s="41"/>
      <c r="D58" s="417"/>
      <c r="E58" s="418"/>
      <c r="F58" s="418"/>
      <c r="G58" s="418"/>
      <c r="H58" s="41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AA58" s="67">
        <f t="shared" ref="AA58" si="24">E58+H58</f>
        <v>0</v>
      </c>
      <c r="AB58" s="55">
        <v>58</v>
      </c>
    </row>
    <row r="59" spans="1:28" s="20" customFormat="1" ht="9.9499999999999993" customHeight="1" x14ac:dyDescent="0.25">
      <c r="A59" s="385"/>
      <c r="B59" s="385"/>
      <c r="C59" s="42"/>
      <c r="D59" s="420"/>
      <c r="E59" s="421"/>
      <c r="F59" s="421"/>
      <c r="G59" s="421"/>
      <c r="H59" s="422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AA59" s="67">
        <f t="shared" ref="AA59" si="25">E58-H59</f>
        <v>0</v>
      </c>
      <c r="AB59" s="55">
        <v>59</v>
      </c>
    </row>
    <row r="60" spans="1:28" s="20" customFormat="1" ht="9.9499999999999993" customHeight="1" x14ac:dyDescent="0.25">
      <c r="A60" s="384"/>
      <c r="B60" s="384"/>
      <c r="C60" s="386"/>
      <c r="D60" s="417"/>
      <c r="E60" s="418"/>
      <c r="F60" s="418"/>
      <c r="G60" s="418"/>
      <c r="H60" s="41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AA60" s="67">
        <f t="shared" ref="AA60" si="26">E60+H60</f>
        <v>0</v>
      </c>
      <c r="AB60" s="55">
        <v>60</v>
      </c>
    </row>
    <row r="61" spans="1:28" s="20" customFormat="1" ht="9.9499999999999993" customHeight="1" x14ac:dyDescent="0.25">
      <c r="A61" s="385"/>
      <c r="B61" s="385"/>
      <c r="C61" s="387"/>
      <c r="D61" s="420"/>
      <c r="E61" s="421"/>
      <c r="F61" s="421"/>
      <c r="G61" s="421"/>
      <c r="H61" s="422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AA61" s="67">
        <f t="shared" ref="AA61" si="27">E60-H61</f>
        <v>0</v>
      </c>
      <c r="AB61" s="55">
        <v>61</v>
      </c>
    </row>
    <row r="62" spans="1:28" s="20" customFormat="1" ht="9.9499999999999993" customHeight="1" x14ac:dyDescent="0.25">
      <c r="A62" s="384"/>
      <c r="B62" s="384"/>
      <c r="C62" s="386"/>
      <c r="D62" s="417"/>
      <c r="E62" s="418"/>
      <c r="F62" s="418"/>
      <c r="G62" s="418"/>
      <c r="H62" s="41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AA62" s="67">
        <f t="shared" ref="AA62" si="28">E62+H62</f>
        <v>0</v>
      </c>
      <c r="AB62" s="55">
        <v>62</v>
      </c>
    </row>
    <row r="63" spans="1:28" s="20" customFormat="1" ht="9.9499999999999993" customHeight="1" x14ac:dyDescent="0.25">
      <c r="A63" s="385"/>
      <c r="B63" s="385"/>
      <c r="C63" s="387"/>
      <c r="D63" s="420"/>
      <c r="E63" s="421"/>
      <c r="F63" s="421"/>
      <c r="G63" s="421"/>
      <c r="H63" s="422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AA63" s="67">
        <f t="shared" ref="AA63" si="29">E62-H63</f>
        <v>0</v>
      </c>
      <c r="AB63" s="55">
        <v>63</v>
      </c>
    </row>
    <row r="64" spans="1:28" s="20" customFormat="1" ht="9.9499999999999993" customHeight="1" x14ac:dyDescent="0.25">
      <c r="A64" s="409"/>
      <c r="B64" s="459"/>
      <c r="C64" s="462"/>
      <c r="D64" s="464"/>
      <c r="E64" s="376"/>
      <c r="F64" s="376"/>
      <c r="G64" s="376"/>
      <c r="H64" s="465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AA64" s="67">
        <f t="shared" ref="AA64" si="30">E64+H64</f>
        <v>0</v>
      </c>
      <c r="AB64" s="55">
        <v>64</v>
      </c>
    </row>
    <row r="65" spans="1:28" s="20" customFormat="1" ht="9.9499999999999993" customHeight="1" thickBot="1" x14ac:dyDescent="0.3">
      <c r="A65" s="460"/>
      <c r="B65" s="461"/>
      <c r="C65" s="463"/>
      <c r="D65" s="455"/>
      <c r="E65" s="456"/>
      <c r="F65" s="456"/>
      <c r="G65" s="456"/>
      <c r="H65" s="457"/>
      <c r="I65" s="458"/>
      <c r="J65" s="458"/>
      <c r="K65" s="458"/>
      <c r="L65" s="458"/>
      <c r="M65" s="458"/>
      <c r="N65" s="458"/>
      <c r="O65" s="458"/>
      <c r="P65" s="458"/>
      <c r="Q65" s="458"/>
      <c r="R65" s="458"/>
      <c r="S65" s="458"/>
      <c r="T65" s="458"/>
      <c r="U65" s="458"/>
      <c r="V65" s="458"/>
      <c r="W65" s="458"/>
      <c r="X65" s="458"/>
      <c r="AA65" s="67">
        <f t="shared" ref="AA65" si="31">E64-H65</f>
        <v>0</v>
      </c>
      <c r="AB65" s="55">
        <v>65</v>
      </c>
    </row>
    <row r="66" spans="1:28" ht="12.75" customHeight="1" thickTop="1" x14ac:dyDescent="0.25">
      <c r="A66" s="432" t="s">
        <v>42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05"/>
      <c r="R66" s="406"/>
      <c r="S66" s="413"/>
      <c r="T66" s="414"/>
      <c r="U66" s="405"/>
      <c r="V66" s="406"/>
      <c r="W66" s="405"/>
      <c r="X66" s="406"/>
    </row>
    <row r="67" spans="1:28" ht="9.75" customHeight="1" x14ac:dyDescent="0.25">
      <c r="A67" s="435" t="s">
        <v>43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7"/>
      <c r="Q67" s="407"/>
      <c r="R67" s="408"/>
      <c r="S67" s="415"/>
      <c r="T67" s="416"/>
      <c r="U67" s="407"/>
      <c r="V67" s="408"/>
      <c r="W67" s="407"/>
      <c r="X67" s="408"/>
    </row>
    <row r="68" spans="1:28" ht="12.75" customHeight="1" x14ac:dyDescent="0.25">
      <c r="A68" s="393" t="s">
        <v>39</v>
      </c>
      <c r="B68" s="394"/>
      <c r="C68" s="394"/>
      <c r="D68" s="394"/>
      <c r="E68" s="394"/>
      <c r="F68" s="394"/>
      <c r="G68" s="394"/>
      <c r="H68" s="394"/>
      <c r="I68" s="394"/>
      <c r="J68" s="394"/>
      <c r="K68" s="394"/>
      <c r="L68" s="394"/>
      <c r="M68" s="394"/>
      <c r="N68" s="394"/>
      <c r="O68" s="394"/>
      <c r="P68" s="395"/>
      <c r="Q68" s="404"/>
      <c r="R68" s="401"/>
      <c r="S68" s="409"/>
      <c r="T68" s="410"/>
      <c r="U68" s="404"/>
      <c r="V68" s="401"/>
      <c r="W68" s="404"/>
      <c r="X68" s="401"/>
    </row>
    <row r="69" spans="1:28" ht="9.75" customHeight="1" x14ac:dyDescent="0.25">
      <c r="A69" s="396" t="s">
        <v>44</v>
      </c>
      <c r="B69" s="397"/>
      <c r="C69" s="397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8"/>
      <c r="Q69" s="402"/>
      <c r="R69" s="403"/>
      <c r="S69" s="411"/>
      <c r="T69" s="412"/>
      <c r="U69" s="402"/>
      <c r="V69" s="403"/>
      <c r="W69" s="402"/>
      <c r="X69" s="403"/>
    </row>
    <row r="70" spans="1:28" ht="12.75" customHeight="1" x14ac:dyDescent="0.25">
      <c r="A70" s="393"/>
      <c r="B70" s="394"/>
      <c r="C70" s="394"/>
      <c r="D70" s="394"/>
      <c r="E70" s="394"/>
      <c r="F70" s="394"/>
      <c r="G70" s="394"/>
      <c r="H70" s="394"/>
      <c r="I70" s="394"/>
      <c r="J70" s="394"/>
      <c r="K70" s="394"/>
      <c r="L70" s="394"/>
      <c r="M70" s="394"/>
      <c r="N70" s="394"/>
      <c r="O70" s="394"/>
      <c r="P70" s="395"/>
      <c r="Q70" s="404"/>
      <c r="R70" s="401"/>
      <c r="S70" s="409"/>
      <c r="T70" s="410"/>
      <c r="U70" s="404"/>
      <c r="V70" s="401"/>
      <c r="W70" s="404"/>
      <c r="X70" s="401"/>
    </row>
    <row r="71" spans="1:28" ht="9.75" customHeight="1" x14ac:dyDescent="0.25">
      <c r="A71" s="396"/>
      <c r="B71" s="397"/>
      <c r="C71" s="397"/>
      <c r="D71" s="397"/>
      <c r="E71" s="397"/>
      <c r="F71" s="397"/>
      <c r="G71" s="397"/>
      <c r="H71" s="397"/>
      <c r="I71" s="397"/>
      <c r="J71" s="397"/>
      <c r="K71" s="397"/>
      <c r="L71" s="397"/>
      <c r="M71" s="397"/>
      <c r="N71" s="397"/>
      <c r="O71" s="397"/>
      <c r="P71" s="398"/>
      <c r="Q71" s="402"/>
      <c r="R71" s="403"/>
      <c r="S71" s="411"/>
      <c r="T71" s="412"/>
      <c r="U71" s="402"/>
      <c r="V71" s="403"/>
      <c r="W71" s="402"/>
      <c r="X71" s="403"/>
    </row>
    <row r="72" spans="1:28" ht="12.75" customHeight="1" x14ac:dyDescent="0.25">
      <c r="A72" s="393"/>
      <c r="B72" s="394"/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4"/>
      <c r="P72" s="395"/>
      <c r="Q72" s="404" t="s">
        <v>57</v>
      </c>
      <c r="R72" s="401"/>
      <c r="S72" s="409" t="s">
        <v>68</v>
      </c>
      <c r="T72" s="410"/>
      <c r="U72" s="404"/>
      <c r="V72" s="401"/>
      <c r="W72" s="404"/>
      <c r="X72" s="401"/>
    </row>
    <row r="73" spans="1:28" ht="9.75" customHeight="1" x14ac:dyDescent="0.25">
      <c r="A73" s="396"/>
      <c r="B73" s="397"/>
      <c r="C73" s="397"/>
      <c r="D73" s="397"/>
      <c r="E73" s="397"/>
      <c r="F73" s="397"/>
      <c r="G73" s="397"/>
      <c r="H73" s="397"/>
      <c r="I73" s="397"/>
      <c r="J73" s="397"/>
      <c r="K73" s="397"/>
      <c r="L73" s="397"/>
      <c r="M73" s="397"/>
      <c r="N73" s="397"/>
      <c r="O73" s="397"/>
      <c r="P73" s="398"/>
      <c r="Q73" s="402"/>
      <c r="R73" s="403"/>
      <c r="S73" s="411"/>
      <c r="T73" s="412"/>
      <c r="U73" s="402"/>
      <c r="V73" s="403"/>
      <c r="W73" s="402"/>
      <c r="X73" s="403"/>
    </row>
    <row r="74" spans="1:28" ht="12.75" customHeight="1" x14ac:dyDescent="0.25">
      <c r="A74" s="393" t="s">
        <v>1653</v>
      </c>
      <c r="B74" s="394"/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4"/>
      <c r="P74" s="395"/>
      <c r="Q74" s="404" t="s">
        <v>65</v>
      </c>
      <c r="R74" s="401"/>
      <c r="S74" s="400">
        <v>42192</v>
      </c>
      <c r="T74" s="401"/>
      <c r="U74" s="404"/>
      <c r="V74" s="401"/>
      <c r="W74" s="404"/>
      <c r="X74" s="401"/>
    </row>
    <row r="75" spans="1:28" ht="9.75" customHeight="1" x14ac:dyDescent="0.25">
      <c r="A75" s="396"/>
      <c r="B75" s="397"/>
      <c r="C75" s="397"/>
      <c r="D75" s="397"/>
      <c r="E75" s="397"/>
      <c r="F75" s="397"/>
      <c r="G75" s="397"/>
      <c r="H75" s="397"/>
      <c r="I75" s="397"/>
      <c r="J75" s="397"/>
      <c r="K75" s="397"/>
      <c r="L75" s="397"/>
      <c r="M75" s="397"/>
      <c r="N75" s="397"/>
      <c r="O75" s="397"/>
      <c r="P75" s="398"/>
      <c r="Q75" s="402"/>
      <c r="R75" s="403"/>
      <c r="S75" s="402"/>
      <c r="T75" s="403"/>
      <c r="U75" s="402"/>
      <c r="V75" s="403"/>
      <c r="W75" s="402"/>
      <c r="X75" s="403"/>
    </row>
    <row r="76" spans="1:28" ht="12.75" customHeight="1" x14ac:dyDescent="0.25">
      <c r="A76" s="393"/>
      <c r="B76" s="394"/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4"/>
      <c r="P76" s="395"/>
      <c r="Q76" s="404" t="s">
        <v>17</v>
      </c>
      <c r="R76" s="401"/>
      <c r="S76" s="400">
        <v>42009</v>
      </c>
      <c r="T76" s="401"/>
      <c r="U76" s="404"/>
      <c r="V76" s="401"/>
      <c r="W76" s="404"/>
      <c r="X76" s="401"/>
    </row>
    <row r="77" spans="1:28" ht="9.75" customHeight="1" x14ac:dyDescent="0.25">
      <c r="A77" s="396"/>
      <c r="B77" s="397"/>
      <c r="C77" s="397"/>
      <c r="D77" s="397"/>
      <c r="E77" s="397"/>
      <c r="F77" s="397"/>
      <c r="G77" s="397"/>
      <c r="H77" s="397"/>
      <c r="I77" s="397"/>
      <c r="J77" s="397"/>
      <c r="K77" s="397"/>
      <c r="L77" s="397"/>
      <c r="M77" s="397"/>
      <c r="N77" s="397"/>
      <c r="O77" s="397"/>
      <c r="P77" s="398"/>
      <c r="Q77" s="402"/>
      <c r="R77" s="403"/>
      <c r="S77" s="402"/>
      <c r="T77" s="403"/>
      <c r="U77" s="402"/>
      <c r="V77" s="403"/>
      <c r="W77" s="402"/>
      <c r="X77" s="403"/>
    </row>
    <row r="78" spans="1:28" ht="13.35" customHeight="1" x14ac:dyDescent="0.25">
      <c r="A78" s="21"/>
      <c r="B78" s="22"/>
      <c r="C78" s="22"/>
      <c r="D78" s="22"/>
      <c r="E78" s="22"/>
      <c r="F78" s="22"/>
      <c r="G78" s="22"/>
      <c r="H78" s="22"/>
      <c r="I78" s="22"/>
      <c r="J78" s="513" t="s">
        <v>47</v>
      </c>
      <c r="K78" s="514"/>
      <c r="L78" s="438"/>
      <c r="M78" s="438"/>
      <c r="N78" s="438"/>
      <c r="O78" s="438"/>
      <c r="P78" s="439"/>
      <c r="Q78" s="424" t="s">
        <v>18</v>
      </c>
      <c r="R78" s="424"/>
      <c r="S78" s="424" t="s">
        <v>19</v>
      </c>
      <c r="T78" s="424"/>
      <c r="U78" s="424" t="s">
        <v>20</v>
      </c>
      <c r="V78" s="424"/>
      <c r="W78" s="424" t="s">
        <v>22</v>
      </c>
      <c r="X78" s="424"/>
    </row>
    <row r="79" spans="1:28" ht="9" customHeight="1" x14ac:dyDescent="0.25">
      <c r="A79" s="23"/>
      <c r="B79" s="24"/>
      <c r="C79" s="24"/>
      <c r="D79" s="24"/>
      <c r="E79" s="24"/>
      <c r="F79" s="24"/>
      <c r="G79" s="24"/>
      <c r="H79" s="24"/>
      <c r="I79" s="24"/>
      <c r="J79" s="508" t="s">
        <v>45</v>
      </c>
      <c r="K79" s="509"/>
      <c r="L79" s="440"/>
      <c r="M79" s="440"/>
      <c r="N79" s="440"/>
      <c r="O79" s="440"/>
      <c r="P79" s="441"/>
      <c r="Q79" s="428" t="s">
        <v>5</v>
      </c>
      <c r="R79" s="428"/>
      <c r="S79" s="428" t="s">
        <v>10</v>
      </c>
      <c r="T79" s="428"/>
      <c r="U79" s="428" t="s">
        <v>21</v>
      </c>
      <c r="V79" s="428"/>
      <c r="W79" s="428" t="s">
        <v>23</v>
      </c>
      <c r="X79" s="428"/>
    </row>
    <row r="80" spans="1:28" ht="13.5" customHeight="1" x14ac:dyDescent="0.25">
      <c r="A80" s="506" t="s">
        <v>24</v>
      </c>
      <c r="B80" s="507"/>
      <c r="C80" s="507"/>
      <c r="D80" s="507"/>
      <c r="E80" s="507"/>
      <c r="F80" s="507"/>
      <c r="G80" s="507"/>
      <c r="H80" s="507"/>
      <c r="I80" s="507"/>
      <c r="J80" s="507"/>
      <c r="K80" s="507"/>
      <c r="L80" s="507"/>
      <c r="M80" s="507"/>
      <c r="N80" s="507"/>
      <c r="O80" s="507"/>
      <c r="P80" s="507"/>
      <c r="Q80" s="507"/>
      <c r="R80" s="507"/>
      <c r="S80" s="507"/>
      <c r="T80" s="507"/>
      <c r="U80" s="507"/>
      <c r="V80" s="507"/>
      <c r="W80" s="507"/>
      <c r="X80" s="50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O60:P61"/>
    <mergeCell ref="Q60:R61"/>
    <mergeCell ref="S60:T61"/>
    <mergeCell ref="U60:V61"/>
    <mergeCell ref="W60:X61"/>
    <mergeCell ref="D61:H61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4:X55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K54:L55"/>
    <mergeCell ref="M54:N55"/>
    <mergeCell ref="O54:P55"/>
    <mergeCell ref="Q54:R55"/>
    <mergeCell ref="S54:T55"/>
    <mergeCell ref="U54:V55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U44:V45"/>
    <mergeCell ref="W44:X45"/>
    <mergeCell ref="A46:B47"/>
    <mergeCell ref="C46:C47"/>
    <mergeCell ref="D46:D47"/>
    <mergeCell ref="E46:F47"/>
    <mergeCell ref="I46:J47"/>
    <mergeCell ref="K46:L47"/>
    <mergeCell ref="M46:N47"/>
    <mergeCell ref="O46:P47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38:V39"/>
    <mergeCell ref="W38:X39"/>
    <mergeCell ref="A40:B41"/>
    <mergeCell ref="C40:C41"/>
    <mergeCell ref="I40:J41"/>
    <mergeCell ref="K40:L41"/>
    <mergeCell ref="M40:N41"/>
    <mergeCell ref="O40:P41"/>
    <mergeCell ref="Q40:R41"/>
    <mergeCell ref="S40:T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A36:B37"/>
    <mergeCell ref="I36:J37"/>
    <mergeCell ref="K36:L37"/>
    <mergeCell ref="M36:N37"/>
    <mergeCell ref="O36:P37"/>
    <mergeCell ref="Q36:R37"/>
    <mergeCell ref="W32:X33"/>
    <mergeCell ref="A34:B35"/>
    <mergeCell ref="I34:J35"/>
    <mergeCell ref="K34:L35"/>
    <mergeCell ref="M34:N35"/>
    <mergeCell ref="O34:P35"/>
    <mergeCell ref="Q34:R35"/>
    <mergeCell ref="S34:T35"/>
    <mergeCell ref="U34:V35"/>
    <mergeCell ref="W34:X35"/>
    <mergeCell ref="W30:X31"/>
    <mergeCell ref="A32:B33"/>
    <mergeCell ref="C32:C33"/>
    <mergeCell ref="I32:J33"/>
    <mergeCell ref="K32:L33"/>
    <mergeCell ref="M32:N33"/>
    <mergeCell ref="O32:P33"/>
    <mergeCell ref="Q32:R33"/>
    <mergeCell ref="S32:T33"/>
    <mergeCell ref="U32:V33"/>
    <mergeCell ref="K30:L31"/>
    <mergeCell ref="M30:N31"/>
    <mergeCell ref="O30:P31"/>
    <mergeCell ref="Q30:R31"/>
    <mergeCell ref="S30:T31"/>
    <mergeCell ref="U30:V31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9">
    <cfRule type="cellIs" dxfId="3" priority="3" operator="greaterThan">
      <formula>$AA$28</formula>
    </cfRule>
    <cfRule type="cellIs" dxfId="2" priority="4" operator="lessThan">
      <formula>$AA$29</formula>
    </cfRule>
  </conditionalFormatting>
  <conditionalFormatting sqref="I30:X31">
    <cfRule type="cellIs" dxfId="1" priority="1" operator="greaterThan">
      <formula>$AA$30</formula>
    </cfRule>
    <cfRule type="cellIs" dxfId="0" priority="2" operator="lessThan">
      <formula>$AA$31</formula>
    </cfRule>
  </conditionalFormatting>
  <printOptions horizontalCentered="1"/>
  <pageMargins left="0.31496062992125984" right="0" top="0.43307086614173229" bottom="0.25" header="0.31496062992125984" footer="0.18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46</vt:i4>
      </vt:variant>
      <vt:variant>
        <vt:lpstr>已命名的範圍</vt:lpstr>
      </vt:variant>
      <vt:variant>
        <vt:i4>46</vt:i4>
      </vt:variant>
    </vt:vector>
  </HeadingPairs>
  <TitlesOfParts>
    <vt:vector size="92" baseType="lpstr">
      <vt:lpstr>SETUP</vt:lpstr>
      <vt:lpstr>190605E</vt:lpstr>
      <vt:lpstr>190606D</vt:lpstr>
      <vt:lpstr>190609E</vt:lpstr>
      <vt:lpstr>190610D</vt:lpstr>
      <vt:lpstr>190610E</vt:lpstr>
      <vt:lpstr>190611D</vt:lpstr>
      <vt:lpstr>190611E</vt:lpstr>
      <vt:lpstr>190612D</vt:lpstr>
      <vt:lpstr>190612E</vt:lpstr>
      <vt:lpstr>190613D</vt:lpstr>
      <vt:lpstr>190613E</vt:lpstr>
      <vt:lpstr>190614D</vt:lpstr>
      <vt:lpstr>190616E</vt:lpstr>
      <vt:lpstr>190617D</vt:lpstr>
      <vt:lpstr>190617E</vt:lpstr>
      <vt:lpstr>190618D</vt:lpstr>
      <vt:lpstr>190618E</vt:lpstr>
      <vt:lpstr>190619D</vt:lpstr>
      <vt:lpstr>190619E</vt:lpstr>
      <vt:lpstr>190620D</vt:lpstr>
      <vt:lpstr>190620E</vt:lpstr>
      <vt:lpstr>190621D</vt:lpstr>
      <vt:lpstr>190623E</vt:lpstr>
      <vt:lpstr>190624D</vt:lpstr>
      <vt:lpstr>190624E</vt:lpstr>
      <vt:lpstr>190625D</vt:lpstr>
      <vt:lpstr>190625E</vt:lpstr>
      <vt:lpstr>190626D</vt:lpstr>
      <vt:lpstr>190626E</vt:lpstr>
      <vt:lpstr>190627D</vt:lpstr>
      <vt:lpstr>190627E</vt:lpstr>
      <vt:lpstr>190628D</vt:lpstr>
      <vt:lpstr>190630E</vt:lpstr>
      <vt:lpstr>190701D</vt:lpstr>
      <vt:lpstr>190701E</vt:lpstr>
      <vt:lpstr>190702D</vt:lpstr>
      <vt:lpstr>190702E</vt:lpstr>
      <vt:lpstr>190703D</vt:lpstr>
      <vt:lpstr>190703E</vt:lpstr>
      <vt:lpstr>190704D</vt:lpstr>
      <vt:lpstr>190704E</vt:lpstr>
      <vt:lpstr>190705D</vt:lpstr>
      <vt:lpstr>190707E</vt:lpstr>
      <vt:lpstr>190708D</vt:lpstr>
      <vt:lpstr>190708E</vt:lpstr>
      <vt:lpstr>'190605E'!Print_Area</vt:lpstr>
      <vt:lpstr>'190606D'!Print_Area</vt:lpstr>
      <vt:lpstr>'190609E'!Print_Area</vt:lpstr>
      <vt:lpstr>'190610D'!Print_Area</vt:lpstr>
      <vt:lpstr>'190610E'!Print_Area</vt:lpstr>
      <vt:lpstr>'190611D'!Print_Area</vt:lpstr>
      <vt:lpstr>'190611E'!Print_Area</vt:lpstr>
      <vt:lpstr>'190612D'!Print_Area</vt:lpstr>
      <vt:lpstr>'190612E'!Print_Area</vt:lpstr>
      <vt:lpstr>'190613D'!Print_Area</vt:lpstr>
      <vt:lpstr>'190613E'!Print_Area</vt:lpstr>
      <vt:lpstr>'190614D'!Print_Area</vt:lpstr>
      <vt:lpstr>'190616E'!Print_Area</vt:lpstr>
      <vt:lpstr>'190617D'!Print_Area</vt:lpstr>
      <vt:lpstr>'190617E'!Print_Area</vt:lpstr>
      <vt:lpstr>'190618D'!Print_Area</vt:lpstr>
      <vt:lpstr>'190618E'!Print_Area</vt:lpstr>
      <vt:lpstr>'190619D'!Print_Area</vt:lpstr>
      <vt:lpstr>'190619E'!Print_Area</vt:lpstr>
      <vt:lpstr>'190620D'!Print_Area</vt:lpstr>
      <vt:lpstr>'190620E'!Print_Area</vt:lpstr>
      <vt:lpstr>'190621D'!Print_Area</vt:lpstr>
      <vt:lpstr>'190623E'!Print_Area</vt:lpstr>
      <vt:lpstr>'190624D'!Print_Area</vt:lpstr>
      <vt:lpstr>'190624E'!Print_Area</vt:lpstr>
      <vt:lpstr>'190625D'!Print_Area</vt:lpstr>
      <vt:lpstr>'190625E'!Print_Area</vt:lpstr>
      <vt:lpstr>'190626D'!Print_Area</vt:lpstr>
      <vt:lpstr>'190626E'!Print_Area</vt:lpstr>
      <vt:lpstr>'190627D'!Print_Area</vt:lpstr>
      <vt:lpstr>'190627E'!Print_Area</vt:lpstr>
      <vt:lpstr>'190628D'!Print_Area</vt:lpstr>
      <vt:lpstr>'190630E'!Print_Area</vt:lpstr>
      <vt:lpstr>'190701D'!Print_Area</vt:lpstr>
      <vt:lpstr>'190701E'!Print_Area</vt:lpstr>
      <vt:lpstr>'190702D'!Print_Area</vt:lpstr>
      <vt:lpstr>'190702E'!Print_Area</vt:lpstr>
      <vt:lpstr>'190703D'!Print_Area</vt:lpstr>
      <vt:lpstr>'190703E'!Print_Area</vt:lpstr>
      <vt:lpstr>'190704D'!Print_Area</vt:lpstr>
      <vt:lpstr>'190704E'!Print_Area</vt:lpstr>
      <vt:lpstr>'190705D'!Print_Area</vt:lpstr>
      <vt:lpstr>'190707E'!Print_Area</vt:lpstr>
      <vt:lpstr>'190708D'!Print_Area</vt:lpstr>
      <vt:lpstr>'190708E'!Print_Area</vt:lpstr>
      <vt:lpstr>SETUP!Print_Area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廖秀紋</cp:lastModifiedBy>
  <cp:lastPrinted>2015-07-07T02:03:39Z</cp:lastPrinted>
  <dcterms:created xsi:type="dcterms:W3CDTF">2014-12-29T06:32:15Z</dcterms:created>
  <dcterms:modified xsi:type="dcterms:W3CDTF">2019-07-15T08:48:57Z</dcterms:modified>
</cp:coreProperties>
</file>