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jpeg" ContentType="image/jpeg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9425" windowHeight="7935" firstSheet="7" activeTab="15"/>
  </bookViews>
  <sheets>
    <sheet name="SETUP" sheetId="2" r:id="rId1"/>
    <sheet name="SETUP (2)" sheetId="3" r:id="rId2"/>
    <sheet name="180510D-1" sheetId="4" r:id="rId3"/>
    <sheet name="180510D-2" sheetId="5" r:id="rId4"/>
    <sheet name="180510E-1" sheetId="6" r:id="rId5"/>
    <sheet name="180510E-2" sheetId="7" r:id="rId6"/>
    <sheet name="180511D-1" sheetId="8" r:id="rId7"/>
    <sheet name="180511D-2" sheetId="9" r:id="rId8"/>
    <sheet name="180513E-1" sheetId="10" r:id="rId9"/>
    <sheet name="180513E-2" sheetId="11" r:id="rId10"/>
    <sheet name="180514D-1" sheetId="12" r:id="rId11"/>
    <sheet name="180514D-2" sheetId="13" r:id="rId12"/>
    <sheet name="180514E-1" sheetId="14" r:id="rId13"/>
    <sheet name="180514E-2" sheetId="15" r:id="rId14"/>
    <sheet name="180515D-1" sheetId="16" r:id="rId15"/>
    <sheet name="180515D-2" sheetId="17" r:id="rId16"/>
  </sheets>
  <definedNames>
    <definedName name="_xlnm.Print_Area" localSheetId="2">'180510D-1'!$A$1:$X$80</definedName>
    <definedName name="_xlnm.Print_Area" localSheetId="3">'180510D-2'!$A$1:$X$80</definedName>
    <definedName name="_xlnm.Print_Area" localSheetId="4">'180510E-1'!$A$1:$X$80</definedName>
    <definedName name="_xlnm.Print_Area" localSheetId="5">'180510E-2'!$A$1:$X$80</definedName>
    <definedName name="_xlnm.Print_Area" localSheetId="6">'180511D-1'!$A$1:$X$80</definedName>
    <definedName name="_xlnm.Print_Area" localSheetId="7">'180511D-2'!$A$1:$X$80</definedName>
    <definedName name="_xlnm.Print_Area" localSheetId="8">'180513E-1'!$A$1:$X$80</definedName>
    <definedName name="_xlnm.Print_Area" localSheetId="9">'180513E-2'!$A$1:$X$80</definedName>
    <definedName name="_xlnm.Print_Area" localSheetId="10">'180514D-1'!$A$1:$X$80</definedName>
    <definedName name="_xlnm.Print_Area" localSheetId="11">'180514D-2'!$A$1:$X$80</definedName>
    <definedName name="_xlnm.Print_Area" localSheetId="12">'180514E-1'!$A$1:$X$80</definedName>
    <definedName name="_xlnm.Print_Area" localSheetId="13">'180514E-2'!$A$1:$X$80</definedName>
    <definedName name="_xlnm.Print_Area" localSheetId="14">'180515D-1'!$A$1:$X$80</definedName>
    <definedName name="_xlnm.Print_Area" localSheetId="15">'180515D-2'!$A$1:$X$80</definedName>
    <definedName name="_xlnm.Print_Area" localSheetId="0">SETUP!$A$1:$X$80</definedName>
    <definedName name="_xlnm.Print_Area" localSheetId="1">'SETUP (2)'!$A$1:$X$80</definedName>
  </definedNames>
  <calcPr calcId="124519"/>
</workbook>
</file>

<file path=xl/calcChain.xml><?xml version="1.0" encoding="utf-8"?>
<calcChain xmlns="http://schemas.openxmlformats.org/spreadsheetml/2006/main">
  <c r="AA33" i="17"/>
  <c r="AA32"/>
  <c r="AA31"/>
  <c r="AA30"/>
  <c r="AA29"/>
  <c r="AA28"/>
  <c r="AA27"/>
  <c r="AA26"/>
  <c r="AA33" i="16"/>
  <c r="AA32"/>
  <c r="AA31"/>
  <c r="AA30"/>
  <c r="AA29"/>
  <c r="AA28"/>
  <c r="AA27"/>
  <c r="AA26"/>
  <c r="AA33" i="15" l="1"/>
  <c r="AA32"/>
  <c r="AA31"/>
  <c r="AA30"/>
  <c r="AA29"/>
  <c r="AA28"/>
  <c r="AA27"/>
  <c r="AA26"/>
  <c r="AA33" i="14"/>
  <c r="AA32"/>
  <c r="AA31"/>
  <c r="AA30"/>
  <c r="AA29"/>
  <c r="AA28"/>
  <c r="AA27"/>
  <c r="AA26"/>
  <c r="AA33" i="13" l="1"/>
  <c r="AA32"/>
  <c r="AA31"/>
  <c r="AA30"/>
  <c r="AA29"/>
  <c r="AA28"/>
  <c r="AA27"/>
  <c r="AA26"/>
  <c r="AA33" i="12"/>
  <c r="AA32"/>
  <c r="AA31"/>
  <c r="AA30"/>
  <c r="AA29"/>
  <c r="AA28"/>
  <c r="AA27"/>
  <c r="AA26"/>
  <c r="AA33" i="11" l="1"/>
  <c r="AA32"/>
  <c r="AA31"/>
  <c r="AA30"/>
  <c r="AA29"/>
  <c r="AA28"/>
  <c r="AA27"/>
  <c r="AA26"/>
  <c r="AA33" i="10"/>
  <c r="AA32"/>
  <c r="AA31"/>
  <c r="AA30"/>
  <c r="AA29"/>
  <c r="AA28"/>
  <c r="AA27"/>
  <c r="AA26"/>
  <c r="AA33" i="9" l="1"/>
  <c r="AA32"/>
  <c r="AA31"/>
  <c r="AA30"/>
  <c r="AA29"/>
  <c r="AA28"/>
  <c r="AA27"/>
  <c r="AA26"/>
  <c r="AA33" i="8"/>
  <c r="AA32"/>
  <c r="AA31"/>
  <c r="AA30"/>
  <c r="AA29"/>
  <c r="AA28"/>
  <c r="AA27"/>
  <c r="AA26"/>
  <c r="AA33" i="7"/>
  <c r="AA32"/>
  <c r="AA31"/>
  <c r="AA30"/>
  <c r="AA29"/>
  <c r="AA28"/>
  <c r="AA27"/>
  <c r="AA26"/>
  <c r="AA33" i="6"/>
  <c r="AA32"/>
  <c r="AA31"/>
  <c r="AA30"/>
  <c r="AA29"/>
  <c r="AA28"/>
  <c r="AA27"/>
  <c r="AA26"/>
  <c r="AA33" i="5"/>
  <c r="AA32"/>
  <c r="AA31"/>
  <c r="AA30"/>
  <c r="AA29"/>
  <c r="AA28"/>
  <c r="AA27"/>
  <c r="AA26"/>
  <c r="AA33" i="4"/>
  <c r="AA32"/>
  <c r="AA31"/>
  <c r="AA30"/>
  <c r="AA29"/>
  <c r="AA28"/>
  <c r="AA27"/>
  <c r="AA26"/>
  <c r="AA33" i="3"/>
  <c r="AA32"/>
  <c r="AA31"/>
  <c r="AA30"/>
  <c r="AA29"/>
  <c r="AA28"/>
  <c r="AA27"/>
  <c r="AA26"/>
  <c r="AA33" i="2" l="1"/>
  <c r="AA32"/>
  <c r="AA31"/>
  <c r="AA30"/>
  <c r="AA29"/>
  <c r="AA28"/>
  <c r="AA27"/>
  <c r="AA26"/>
</calcChain>
</file>

<file path=xl/sharedStrings.xml><?xml version="1.0" encoding="utf-8"?>
<sst xmlns="http://schemas.openxmlformats.org/spreadsheetml/2006/main" count="2632" uniqueCount="119">
  <si>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</si>
  <si>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</si>
  <si>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</si>
  <si>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</si>
  <si>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</si>
  <si>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</si>
  <si>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</si>
  <si>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</si>
  <si>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</si>
  <si>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</si>
  <si>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</si>
  <si>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</si>
  <si>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</si>
  <si>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</si>
  <si>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</si>
  <si>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</si>
  <si>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</si>
  <si>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</si>
  <si>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</si>
  <si>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</si>
  <si>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</si>
  <si>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</si>
  <si>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</si>
  <si>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</si>
  <si>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</si>
  <si>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</si>
  <si>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</si>
  <si>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</si>
  <si>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</si>
  <si>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</si>
  <si>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</si>
  <si>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</si>
  <si>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</si>
  <si>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</si>
  <si>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</si>
  <si>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</si>
  <si>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</si>
  <si>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量測單位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</si>
  <si>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</si>
  <si>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</si>
  <si>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</si>
  <si>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</si>
  <si>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</si>
  <si>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</si>
  <si>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</si>
  <si>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</si>
  <si>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</si>
  <si>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</si>
  <si>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</si>
  <si>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r>
      <rPr>
        <sz val="8"/>
        <color theme="1"/>
        <rFont val="細明體"/>
        <family val="3"/>
        <charset val="136"/>
      </rPr>
      <t>單位：</t>
    </r>
    <r>
      <rPr>
        <sz val="8"/>
        <color theme="1"/>
        <rFont val="Times New Roman"/>
        <family val="1"/>
      </rPr>
      <t xml:space="preserve">mm </t>
    </r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</si>
  <si>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</si>
  <si>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</si>
  <si>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</si>
  <si>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</si>
  <si>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</si>
  <si>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(B)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</si>
  <si>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</si>
  <si>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</si>
  <si>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</si>
  <si>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</si>
  <si>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</si>
  <si>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</si>
  <si>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</si>
  <si>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</si>
  <si>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</si>
  <si>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</si>
  <si>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</si>
  <si>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</si>
  <si>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</si>
  <si>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</si>
  <si>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</si>
  <si>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</si>
  <si>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</si>
  <si>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</si>
  <si>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</si>
  <si>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</si>
  <si>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</si>
  <si>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</si>
  <si>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</si>
  <si>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</si>
  <si>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</si>
  <si>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</si>
  <si>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</si>
  <si>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D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</si>
  <si>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</si>
  <si>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</si>
  <si>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</si>
  <si>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</si>
  <si>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</si>
  <si>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</si>
  <si>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</si>
  <si>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</si>
  <si>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</si>
  <si>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</si>
  <si>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</si>
  <si>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</si>
  <si>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</si>
  <si>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R1-2360</t>
    <phoneticPr fontId="10" type="noConversion"/>
  </si>
  <si>
    <t>(A): M12002， (B):M08006， (C): M12002， (D): M15012</t>
    <phoneticPr fontId="10" type="noConversion"/>
  </si>
  <si>
    <t>180510D</t>
    <phoneticPr fontId="10" type="noConversion"/>
  </si>
  <si>
    <t>-</t>
    <phoneticPr fontId="10" type="noConversion"/>
  </si>
  <si>
    <t>-</t>
    <phoneticPr fontId="10" type="noConversion"/>
  </si>
  <si>
    <t>GO</t>
    <phoneticPr fontId="10" type="noConversion"/>
  </si>
  <si>
    <t>OK</t>
    <phoneticPr fontId="10" type="noConversion"/>
  </si>
  <si>
    <t>(A): M12002， (B):M08006， (C): M12002， (D): M15005</t>
    <phoneticPr fontId="10" type="noConversion"/>
  </si>
  <si>
    <t>(A): M12002， (B):M08006， (C): M12002， (D): M15005</t>
    <phoneticPr fontId="10" type="noConversion"/>
  </si>
  <si>
    <t>180510E</t>
    <phoneticPr fontId="10" type="noConversion"/>
  </si>
  <si>
    <t>180510E</t>
    <phoneticPr fontId="10" type="noConversion"/>
  </si>
  <si>
    <t>180511D</t>
    <phoneticPr fontId="10" type="noConversion"/>
  </si>
  <si>
    <t>180511D</t>
    <phoneticPr fontId="10" type="noConversion"/>
  </si>
  <si>
    <t>180513E</t>
    <phoneticPr fontId="10" type="noConversion"/>
  </si>
  <si>
    <t>180513E</t>
    <phoneticPr fontId="10" type="noConversion"/>
  </si>
  <si>
    <t>180514D</t>
    <phoneticPr fontId="10" type="noConversion"/>
  </si>
  <si>
    <t>180514D</t>
    <phoneticPr fontId="10" type="noConversion"/>
  </si>
  <si>
    <t>-</t>
  </si>
  <si>
    <t>180514E</t>
    <phoneticPr fontId="10" type="noConversion"/>
  </si>
  <si>
    <t>180514E</t>
    <phoneticPr fontId="10" type="noConversion"/>
  </si>
  <si>
    <t>180515D</t>
    <phoneticPr fontId="10" type="noConversion"/>
  </si>
  <si>
    <t>180515D</t>
    <phoneticPr fontId="10" type="noConversion"/>
  </si>
</sst>
</file>

<file path=xl/styles.xml><?xml version="1.0" encoding="utf-8"?>
<styleSheet xmlns="http://schemas.openxmlformats.org/spreadsheetml/2006/main">
  <numFmts count="3">
    <numFmt numFmtId="176" formatCode="0.00_ "/>
    <numFmt numFmtId="177" formatCode="0.000_ "/>
    <numFmt numFmtId="178" formatCode="yyyy\-mm\-dd;@"/>
  </numFmts>
  <fonts count="27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9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3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8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6" fillId="0" borderId="0" xfId="0" applyNumberFormat="1" applyFont="1" applyAlignment="1" applyProtection="1">
      <alignment vertical="center"/>
    </xf>
    <xf numFmtId="0" fontId="6" fillId="0" borderId="0" xfId="0" applyFont="1" applyAlignme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4" fillId="0" borderId="10" xfId="0" applyFont="1" applyBorder="1" applyAlignment="1" applyProtection="1">
      <alignment horizontal="left"/>
    </xf>
    <xf numFmtId="0" fontId="25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6" fontId="3" fillId="0" borderId="5" xfId="0" applyNumberFormat="1" applyFont="1" applyBorder="1" applyAlignment="1" applyProtection="1">
      <alignment horizontal="left" vertical="center"/>
    </xf>
    <xf numFmtId="176" fontId="0" fillId="0" borderId="5" xfId="0" applyNumberFormat="1" applyBorder="1" applyAlignment="1" applyProtection="1">
      <alignment horizontal="left" vertical="center"/>
    </xf>
    <xf numFmtId="176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0" fillId="0" borderId="3" xfId="0" applyBorder="1" applyAlignment="1" applyProtection="1">
      <alignment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20" fillId="0" borderId="4" xfId="0" applyFont="1" applyBorder="1" applyAlignment="1" applyProtection="1">
      <alignment horizontal="left" vertical="center"/>
    </xf>
    <xf numFmtId="0" fontId="20" fillId="0" borderId="5" xfId="0" applyFont="1" applyBorder="1" applyAlignment="1" applyProtection="1">
      <alignment horizontal="left" vertical="center"/>
    </xf>
    <xf numFmtId="0" fontId="20" fillId="0" borderId="6" xfId="0" applyFont="1" applyBorder="1" applyAlignment="1" applyProtection="1">
      <alignment horizontal="left"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0" xfId="0" applyFont="1" applyBorder="1" applyAlignment="1" applyProtection="1">
      <alignment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76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6" fillId="0" borderId="5" xfId="0" applyFont="1" applyBorder="1" applyAlignment="1" applyProtection="1">
      <alignment vertical="center"/>
    </xf>
    <xf numFmtId="0" fontId="26" fillId="0" borderId="6" xfId="0" applyFont="1" applyBorder="1" applyAlignment="1" applyProtection="1">
      <alignment vertical="center"/>
    </xf>
    <xf numFmtId="0" fontId="26" fillId="0" borderId="10" xfId="0" applyFont="1" applyBorder="1" applyAlignment="1" applyProtection="1">
      <alignment vertical="center"/>
    </xf>
    <xf numFmtId="0" fontId="26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4" xfId="0" applyNumberFormat="1" applyFont="1" applyBorder="1" applyAlignment="1" applyProtection="1">
      <alignment horizontal="center" vertical="center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177" fontId="3" fillId="0" borderId="3" xfId="0" applyNumberFormat="1" applyFont="1" applyBorder="1" applyAlignment="1" applyProtection="1">
      <alignment horizontal="center" vertical="center"/>
      <protection locked="0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0" fontId="21" fillId="0" borderId="5" xfId="0" applyFont="1" applyBorder="1" applyAlignment="1" applyProtection="1">
      <alignment vertical="center"/>
    </xf>
    <xf numFmtId="0" fontId="19" fillId="0" borderId="5" xfId="0" applyFont="1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3" fillId="0" borderId="0" xfId="0" applyFont="1" applyAlignment="1" applyProtection="1"/>
    <xf numFmtId="0" fontId="15" fillId="0" borderId="10" xfId="0" applyFont="1" applyBorder="1" applyAlignment="1" applyProtection="1">
      <alignment horizontal="left" vertical="top"/>
    </xf>
    <xf numFmtId="0" fontId="22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0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6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91053" y="10359258"/>
          <a:ext cx="509857" cy="2627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3426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11</xdr:col>
      <xdr:colOff>59122</xdr:colOff>
      <xdr:row>76</xdr:row>
      <xdr:rowOff>78827</xdr:rowOff>
    </xdr:from>
    <xdr:to>
      <xdr:col>12</xdr:col>
      <xdr:colOff>181410</xdr:colOff>
      <xdr:row>78</xdr:row>
      <xdr:rowOff>52551</xdr:rowOff>
    </xdr:to>
    <xdr:pic>
      <xdr:nvPicPr>
        <xdr:cNvPr id="10" name="圖片 9" descr="湯子誼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288097" y="10280102"/>
          <a:ext cx="512813" cy="2594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1" name="圖片 10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466552"/>
          <a:ext cx="350345" cy="1700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2" name="圖片 11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1655" y="10466552"/>
          <a:ext cx="350345" cy="1700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6847921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168400" y="1060450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037829" y="3310625"/>
          <a:ext cx="1025921" cy="29376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75</xdr:row>
      <xdr:rowOff>76519</xdr:rowOff>
    </xdr:from>
    <xdr:to>
      <xdr:col>23</xdr:col>
      <xdr:colOff>270338</xdr:colOff>
      <xdr:row>76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32549" y="10255569"/>
          <a:ext cx="470389" cy="161060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75</xdr:row>
      <xdr:rowOff>84847</xdr:rowOff>
    </xdr:from>
    <xdr:to>
      <xdr:col>21</xdr:col>
      <xdr:colOff>307732</xdr:colOff>
      <xdr:row>76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102638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34140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5664" y="1038258"/>
          <a:ext cx="4407976" cy="18227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926993" y="9984497"/>
          <a:ext cx="565639" cy="1585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73</xdr:row>
      <xdr:rowOff>72259</xdr:rowOff>
    </xdr:from>
    <xdr:to>
      <xdr:col>23</xdr:col>
      <xdr:colOff>259490</xdr:colOff>
      <xdr:row>74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6633560" y="9971909"/>
          <a:ext cx="458530" cy="153056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77</xdr:row>
      <xdr:rowOff>0</xdr:rowOff>
    </xdr:from>
    <xdr:to>
      <xdr:col>11</xdr:col>
      <xdr:colOff>350345</xdr:colOff>
      <xdr:row>78</xdr:row>
      <xdr:rowOff>3588</xdr:rowOff>
    </xdr:to>
    <xdr:pic>
      <xdr:nvPicPr>
        <xdr:cNvPr id="10" name="圖片 9" descr="曾逸慧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2959100" y="10458450"/>
          <a:ext cx="350345" cy="16868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80"/>
  <sheetViews>
    <sheetView showGridLines="0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2" t="s">
        <v>2</v>
      </c>
      <c r="E2" s="42"/>
      <c r="F2" s="169" t="s">
        <v>97</v>
      </c>
      <c r="G2" s="169"/>
      <c r="H2" s="169"/>
      <c r="I2" s="169"/>
      <c r="J2" s="169"/>
      <c r="K2" s="170"/>
      <c r="L2" s="2" t="s">
        <v>4</v>
      </c>
      <c r="M2" s="169">
        <v>9</v>
      </c>
      <c r="N2" s="219"/>
      <c r="O2" s="2" t="s">
        <v>6</v>
      </c>
      <c r="P2" s="222" t="s">
        <v>81</v>
      </c>
      <c r="Q2" s="223"/>
      <c r="R2" s="223"/>
      <c r="S2" s="223"/>
      <c r="T2" s="223"/>
      <c r="U2" s="223"/>
      <c r="V2" s="224"/>
      <c r="W2" s="2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25" t="s">
        <v>3</v>
      </c>
      <c r="E3" s="43"/>
      <c r="F3" s="171"/>
      <c r="G3" s="171"/>
      <c r="H3" s="171"/>
      <c r="I3" s="171"/>
      <c r="J3" s="171"/>
      <c r="K3" s="172"/>
      <c r="L3" s="25" t="s">
        <v>5</v>
      </c>
      <c r="M3" s="220"/>
      <c r="N3" s="221"/>
      <c r="O3" s="25" t="s">
        <v>7</v>
      </c>
      <c r="P3" s="225"/>
      <c r="Q3" s="225"/>
      <c r="R3" s="225"/>
      <c r="S3" s="225"/>
      <c r="T3" s="225"/>
      <c r="U3" s="225"/>
      <c r="V3" s="226"/>
      <c r="W3" s="25" t="s">
        <v>8</v>
      </c>
      <c r="X3" s="3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227" t="s">
        <v>99</v>
      </c>
      <c r="R4" s="228"/>
      <c r="S4" s="228"/>
      <c r="T4" s="229"/>
      <c r="U4" s="2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25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29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51</v>
      </c>
      <c r="E26" s="160">
        <v>2.08</v>
      </c>
      <c r="F26" s="161"/>
      <c r="G26" s="52" t="s">
        <v>52</v>
      </c>
      <c r="H26" s="44">
        <v>0.05</v>
      </c>
      <c r="I26" s="261" t="s">
        <v>100</v>
      </c>
      <c r="J26" s="261"/>
      <c r="K26" s="261">
        <v>2.093</v>
      </c>
      <c r="L26" s="261"/>
      <c r="M26" s="261">
        <v>2.0870000000000002</v>
      </c>
      <c r="N26" s="261"/>
      <c r="O26" s="261">
        <v>2.0950000000000002</v>
      </c>
      <c r="P26" s="261"/>
      <c r="Q26" s="261">
        <v>2.085</v>
      </c>
      <c r="R26" s="261"/>
      <c r="S26" s="261">
        <v>2.0910000000000002</v>
      </c>
      <c r="T26" s="261"/>
      <c r="U26" s="261">
        <v>2.0950000000000002</v>
      </c>
      <c r="V26" s="261"/>
      <c r="W26" s="261" t="s">
        <v>100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51</v>
      </c>
      <c r="E28" s="160">
        <v>1.97</v>
      </c>
      <c r="F28" s="161"/>
      <c r="G28" s="52" t="s">
        <v>52</v>
      </c>
      <c r="H28" s="44">
        <v>0.05</v>
      </c>
      <c r="I28" s="261" t="s">
        <v>100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 t="s">
        <v>100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51</v>
      </c>
      <c r="E30" s="160">
        <v>2.08</v>
      </c>
      <c r="F30" s="161"/>
      <c r="G30" s="52" t="s">
        <v>52</v>
      </c>
      <c r="H30" s="44">
        <v>0.05</v>
      </c>
      <c r="I30" s="261" t="s">
        <v>100</v>
      </c>
      <c r="J30" s="261"/>
      <c r="K30" s="261">
        <v>2.0979999999999999</v>
      </c>
      <c r="L30" s="261"/>
      <c r="M30" s="261">
        <v>2.1</v>
      </c>
      <c r="N30" s="261"/>
      <c r="O30" s="261">
        <v>2.1</v>
      </c>
      <c r="P30" s="261"/>
      <c r="Q30" s="261">
        <v>2.1019999999999999</v>
      </c>
      <c r="R30" s="261"/>
      <c r="S30" s="261">
        <v>2.097</v>
      </c>
      <c r="T30" s="261"/>
      <c r="U30" s="261">
        <v>2.0960000000000001</v>
      </c>
      <c r="V30" s="261"/>
      <c r="W30" s="261" t="s">
        <v>100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51</v>
      </c>
      <c r="E32" s="160">
        <v>10.92</v>
      </c>
      <c r="F32" s="161"/>
      <c r="G32" s="52" t="s">
        <v>52</v>
      </c>
      <c r="H32" s="44">
        <v>0.13</v>
      </c>
      <c r="I32" s="214" t="s">
        <v>100</v>
      </c>
      <c r="J32" s="214"/>
      <c r="K32" s="214">
        <v>11.02</v>
      </c>
      <c r="L32" s="214"/>
      <c r="M32" s="214">
        <v>11.03</v>
      </c>
      <c r="N32" s="214"/>
      <c r="O32" s="214">
        <v>11.04</v>
      </c>
      <c r="P32" s="214"/>
      <c r="Q32" s="214">
        <v>11.04</v>
      </c>
      <c r="R32" s="214"/>
      <c r="S32" s="214">
        <v>11.03</v>
      </c>
      <c r="T32" s="214"/>
      <c r="U32" s="214">
        <v>11.01</v>
      </c>
      <c r="V32" s="214"/>
      <c r="W32" s="214" t="s">
        <v>100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62" t="s">
        <v>87</v>
      </c>
      <c r="E34" s="63"/>
      <c r="F34" s="63"/>
      <c r="G34" s="63"/>
      <c r="H34" s="64"/>
      <c r="I34" s="176" t="s">
        <v>101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100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58" t="s">
        <v>88</v>
      </c>
      <c r="E35" s="65"/>
      <c r="F35" s="65"/>
      <c r="G35" s="65"/>
      <c r="H35" s="6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101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100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95</v>
      </c>
      <c r="D37" s="58" t="s">
        <v>67</v>
      </c>
      <c r="E37" s="65"/>
      <c r="F37" s="65"/>
      <c r="G37" s="65"/>
      <c r="H37" s="6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62" t="s">
        <v>69</v>
      </c>
      <c r="E38" s="63"/>
      <c r="F38" s="63"/>
      <c r="G38" s="63"/>
      <c r="H38" s="64"/>
      <c r="I38" s="176" t="s">
        <v>101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100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58" t="s">
        <v>70</v>
      </c>
      <c r="E39" s="65"/>
      <c r="F39" s="65"/>
      <c r="G39" s="65"/>
      <c r="H39" s="6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62" t="s">
        <v>71</v>
      </c>
      <c r="E40" s="54"/>
      <c r="F40" s="54"/>
      <c r="G40" s="54"/>
      <c r="H40" s="38"/>
      <c r="I40" s="176" t="s">
        <v>100</v>
      </c>
      <c r="J40" s="176"/>
      <c r="K40" s="176" t="s">
        <v>103</v>
      </c>
      <c r="L40" s="176"/>
      <c r="M40" s="176" t="s">
        <v>103</v>
      </c>
      <c r="N40" s="176"/>
      <c r="O40" s="176" t="s">
        <v>103</v>
      </c>
      <c r="P40" s="176"/>
      <c r="Q40" s="176" t="s">
        <v>103</v>
      </c>
      <c r="R40" s="176"/>
      <c r="S40" s="176" t="s">
        <v>103</v>
      </c>
      <c r="T40" s="176"/>
      <c r="U40" s="176" t="s">
        <v>103</v>
      </c>
      <c r="V40" s="176"/>
      <c r="W40" s="176" t="s">
        <v>100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58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62" t="s">
        <v>73</v>
      </c>
      <c r="E42" s="59"/>
      <c r="F42" s="60"/>
      <c r="G42" s="52"/>
      <c r="H42" s="44"/>
      <c r="I42" s="176" t="s">
        <v>101</v>
      </c>
      <c r="J42" s="176"/>
      <c r="K42" s="176" t="s">
        <v>103</v>
      </c>
      <c r="L42" s="176"/>
      <c r="M42" s="176" t="s">
        <v>103</v>
      </c>
      <c r="N42" s="176"/>
      <c r="O42" s="176" t="s">
        <v>103</v>
      </c>
      <c r="P42" s="176"/>
      <c r="Q42" s="176" t="s">
        <v>103</v>
      </c>
      <c r="R42" s="176"/>
      <c r="S42" s="176" t="s">
        <v>103</v>
      </c>
      <c r="T42" s="176"/>
      <c r="U42" s="176" t="s">
        <v>103</v>
      </c>
      <c r="V42" s="176"/>
      <c r="W42" s="176" t="s">
        <v>100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58" t="s">
        <v>74</v>
      </c>
      <c r="E43" s="61"/>
      <c r="F43" s="61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62" t="s">
        <v>75</v>
      </c>
      <c r="E44" s="59"/>
      <c r="F44" s="60"/>
      <c r="G44" s="52"/>
      <c r="H44" s="44"/>
      <c r="I44" s="176" t="s">
        <v>100</v>
      </c>
      <c r="J44" s="176"/>
      <c r="K44" s="176" t="s">
        <v>103</v>
      </c>
      <c r="L44" s="176"/>
      <c r="M44" s="176" t="s">
        <v>103</v>
      </c>
      <c r="N44" s="176"/>
      <c r="O44" s="176" t="s">
        <v>103</v>
      </c>
      <c r="P44" s="176"/>
      <c r="Q44" s="176" t="s">
        <v>103</v>
      </c>
      <c r="R44" s="176"/>
      <c r="S44" s="176" t="s">
        <v>103</v>
      </c>
      <c r="T44" s="176"/>
      <c r="U44" s="176" t="s">
        <v>103</v>
      </c>
      <c r="V44" s="176"/>
      <c r="W44" s="176" t="s">
        <v>100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58" t="s">
        <v>76</v>
      </c>
      <c r="E45" s="61"/>
      <c r="F45" s="61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62" t="s">
        <v>77</v>
      </c>
      <c r="E46" s="63"/>
      <c r="F46" s="63"/>
      <c r="G46" s="63"/>
      <c r="H46" s="64"/>
      <c r="I46" s="176" t="s">
        <v>100</v>
      </c>
      <c r="J46" s="176"/>
      <c r="K46" s="176" t="s">
        <v>103</v>
      </c>
      <c r="L46" s="176"/>
      <c r="M46" s="176" t="s">
        <v>103</v>
      </c>
      <c r="N46" s="176"/>
      <c r="O46" s="176" t="s">
        <v>103</v>
      </c>
      <c r="P46" s="176"/>
      <c r="Q46" s="176" t="s">
        <v>103</v>
      </c>
      <c r="R46" s="176"/>
      <c r="S46" s="176" t="s">
        <v>103</v>
      </c>
      <c r="T46" s="176"/>
      <c r="U46" s="176" t="s">
        <v>103</v>
      </c>
      <c r="V46" s="176"/>
      <c r="W46" s="176" t="s">
        <v>100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58" t="s">
        <v>78</v>
      </c>
      <c r="E47" s="65"/>
      <c r="F47" s="65"/>
      <c r="G47" s="65"/>
      <c r="H47" s="6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62" t="s">
        <v>79</v>
      </c>
      <c r="E48" s="63"/>
      <c r="F48" s="63"/>
      <c r="G48" s="63"/>
      <c r="H48" s="64"/>
      <c r="I48" s="176" t="s">
        <v>101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101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58" t="s">
        <v>80</v>
      </c>
      <c r="E49" s="65"/>
      <c r="F49" s="65"/>
      <c r="G49" s="65"/>
      <c r="H49" s="6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98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sortState ref="S8:X28">
    <sortCondition ref="S8"/>
  </sortState>
  <mergeCells count="318">
    <mergeCell ref="A80:X80"/>
    <mergeCell ref="S17:U17"/>
    <mergeCell ref="S18:U18"/>
    <mergeCell ref="S19:U19"/>
    <mergeCell ref="S20:U20"/>
    <mergeCell ref="S21:U21"/>
    <mergeCell ref="V14:X14"/>
    <mergeCell ref="V15:X15"/>
    <mergeCell ref="V16:X16"/>
    <mergeCell ref="V17:X17"/>
    <mergeCell ref="V18:X18"/>
    <mergeCell ref="V19:X19"/>
    <mergeCell ref="V20:X20"/>
    <mergeCell ref="V21:X21"/>
    <mergeCell ref="J78:K78"/>
    <mergeCell ref="J79:K79"/>
    <mergeCell ref="S64:T65"/>
    <mergeCell ref="U64:V65"/>
    <mergeCell ref="S62:T63"/>
    <mergeCell ref="U62:V63"/>
    <mergeCell ref="C42:C43"/>
    <mergeCell ref="C44:C45"/>
    <mergeCell ref="C46:C47"/>
    <mergeCell ref="I26:J27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C28:C29"/>
    <mergeCell ref="D50:H50"/>
    <mergeCell ref="D51:H51"/>
    <mergeCell ref="M26:N27"/>
    <mergeCell ref="S54:T55"/>
    <mergeCell ref="U54:V55"/>
    <mergeCell ref="W28:X29"/>
    <mergeCell ref="S28:T29"/>
    <mergeCell ref="U28:V29"/>
    <mergeCell ref="W30:X31"/>
    <mergeCell ref="I28:J29"/>
    <mergeCell ref="K28:L29"/>
    <mergeCell ref="S30:T31"/>
    <mergeCell ref="U30:V31"/>
    <mergeCell ref="U26:V27"/>
    <mergeCell ref="M28:N29"/>
    <mergeCell ref="O28:P29"/>
    <mergeCell ref="Q28:R29"/>
    <mergeCell ref="K26:L27"/>
    <mergeCell ref="O26:P27"/>
    <mergeCell ref="Q26:R27"/>
    <mergeCell ref="S26:T27"/>
    <mergeCell ref="A38:B39"/>
    <mergeCell ref="A40:B41"/>
    <mergeCell ref="W34:X35"/>
    <mergeCell ref="I36:J37"/>
    <mergeCell ref="K36:L37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I40:J41"/>
    <mergeCell ref="K40:L41"/>
    <mergeCell ref="M40:N41"/>
    <mergeCell ref="O40:P41"/>
    <mergeCell ref="Q40:R41"/>
    <mergeCell ref="S40:T41"/>
    <mergeCell ref="U40:V41"/>
    <mergeCell ref="Q34:R35"/>
    <mergeCell ref="S34:T35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W79:X79"/>
    <mergeCell ref="D65:H65"/>
    <mergeCell ref="W64:X65"/>
    <mergeCell ref="A32:B33"/>
    <mergeCell ref="I32:J33"/>
    <mergeCell ref="K32:L33"/>
    <mergeCell ref="M32:N33"/>
    <mergeCell ref="O32:P33"/>
    <mergeCell ref="W62:X63"/>
    <mergeCell ref="D63:H63"/>
    <mergeCell ref="A64:B65"/>
    <mergeCell ref="C64:C65"/>
    <mergeCell ref="D64:H64"/>
    <mergeCell ref="I64:J65"/>
    <mergeCell ref="K64:L65"/>
    <mergeCell ref="M64:N65"/>
    <mergeCell ref="O64:P65"/>
    <mergeCell ref="Q64:R65"/>
    <mergeCell ref="W54:X55"/>
    <mergeCell ref="A62:B63"/>
    <mergeCell ref="C54:C55"/>
    <mergeCell ref="M52:N53"/>
    <mergeCell ref="S46:T47"/>
    <mergeCell ref="K44:L45"/>
    <mergeCell ref="A2:B2"/>
    <mergeCell ref="A3:B3"/>
    <mergeCell ref="M2:N3"/>
    <mergeCell ref="P2:V3"/>
    <mergeCell ref="W4:X5"/>
    <mergeCell ref="Q4:T5"/>
    <mergeCell ref="Q78:R78"/>
    <mergeCell ref="C62:C63"/>
    <mergeCell ref="A66:P66"/>
    <mergeCell ref="A67:P67"/>
    <mergeCell ref="A68:P68"/>
    <mergeCell ref="L78:P79"/>
    <mergeCell ref="O58:P59"/>
    <mergeCell ref="M60:N61"/>
    <mergeCell ref="C52:C53"/>
    <mergeCell ref="D52:H52"/>
    <mergeCell ref="S6:X6"/>
    <mergeCell ref="Q79:R79"/>
    <mergeCell ref="S78:T78"/>
    <mergeCell ref="U78:V78"/>
    <mergeCell ref="W78:X78"/>
    <mergeCell ref="S7:X7"/>
    <mergeCell ref="S79:T79"/>
    <mergeCell ref="U79:V79"/>
    <mergeCell ref="C56:C57"/>
    <mergeCell ref="I56:J57"/>
    <mergeCell ref="K56:L57"/>
    <mergeCell ref="M56:N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S14:U14"/>
    <mergeCell ref="I54:J55"/>
    <mergeCell ref="K54:L55"/>
    <mergeCell ref="M54:N55"/>
    <mergeCell ref="O54:P55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S58:T59"/>
    <mergeCell ref="U58:V59"/>
    <mergeCell ref="W58:X59"/>
    <mergeCell ref="D60:H60"/>
    <mergeCell ref="I60:J61"/>
    <mergeCell ref="D58:H58"/>
    <mergeCell ref="D59:H59"/>
    <mergeCell ref="S76:T77"/>
    <mergeCell ref="U76:V77"/>
    <mergeCell ref="W76:X77"/>
    <mergeCell ref="W66:X67"/>
    <mergeCell ref="Q68:R69"/>
    <mergeCell ref="S68:T69"/>
    <mergeCell ref="U68:V69"/>
    <mergeCell ref="W68:X69"/>
    <mergeCell ref="Q70:R71"/>
    <mergeCell ref="S70:T71"/>
    <mergeCell ref="U70:V71"/>
    <mergeCell ref="W70:X71"/>
    <mergeCell ref="Q66:R67"/>
    <mergeCell ref="S66:T67"/>
    <mergeCell ref="U66:V67"/>
    <mergeCell ref="S72:T73"/>
    <mergeCell ref="S60:T61"/>
    <mergeCell ref="U72:V73"/>
    <mergeCell ref="W72:X73"/>
    <mergeCell ref="Q74:R75"/>
    <mergeCell ref="S74:T75"/>
    <mergeCell ref="U74:V75"/>
    <mergeCell ref="W74:X75"/>
    <mergeCell ref="U60:V61"/>
    <mergeCell ref="W60:X61"/>
    <mergeCell ref="Q62:R63"/>
    <mergeCell ref="A77:P77"/>
    <mergeCell ref="A75:P75"/>
    <mergeCell ref="A76:P76"/>
    <mergeCell ref="K60:L61"/>
    <mergeCell ref="O60:P61"/>
    <mergeCell ref="A60:B61"/>
    <mergeCell ref="D62:H62"/>
    <mergeCell ref="Q72:R73"/>
    <mergeCell ref="Q76:R77"/>
    <mergeCell ref="D61:H61"/>
    <mergeCell ref="A69:P69"/>
    <mergeCell ref="A74:P74"/>
    <mergeCell ref="A70:P70"/>
    <mergeCell ref="A71:P71"/>
    <mergeCell ref="A72:P72"/>
    <mergeCell ref="A73:P73"/>
    <mergeCell ref="Q60:R61"/>
    <mergeCell ref="C60:C61"/>
    <mergeCell ref="Q50:R51"/>
    <mergeCell ref="D28:D29"/>
    <mergeCell ref="D54:D55"/>
    <mergeCell ref="Q58:R59"/>
    <mergeCell ref="I62:J63"/>
    <mergeCell ref="K62:L63"/>
    <mergeCell ref="M62:N63"/>
    <mergeCell ref="O62:P63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28:F29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</mergeCells>
  <phoneticPr fontId="10" type="noConversion"/>
  <conditionalFormatting sqref="I28:X29 W30:X31">
    <cfRule type="cellIs" dxfId="239" priority="29" operator="greaterThan">
      <formula>$AA$28</formula>
    </cfRule>
    <cfRule type="cellIs" dxfId="238" priority="30" operator="lessThan">
      <formula>$AA$29</formula>
    </cfRule>
  </conditionalFormatting>
  <conditionalFormatting sqref="I32:X33">
    <cfRule type="cellIs" dxfId="237" priority="7" operator="greaterThan">
      <formula>$AA$32</formula>
    </cfRule>
    <cfRule type="cellIs" dxfId="236" priority="8" operator="lessThan">
      <formula>$AA$33</formula>
    </cfRule>
  </conditionalFormatting>
  <conditionalFormatting sqref="I30:X31">
    <cfRule type="cellIs" dxfId="235" priority="5" operator="greaterThan">
      <formula>$AA$30</formula>
    </cfRule>
    <cfRule type="cellIs" dxfId="234" priority="6" operator="lessThan">
      <formula>$AA$31</formula>
    </cfRule>
  </conditionalFormatting>
  <conditionalFormatting sqref="I26:X27">
    <cfRule type="cellIs" dxfId="233" priority="3" operator="greaterThan">
      <formula>$AA$26</formula>
    </cfRule>
    <cfRule type="cellIs" dxfId="232" priority="4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10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75" t="s">
        <v>2</v>
      </c>
      <c r="E2" s="42"/>
      <c r="F2" s="169" t="s">
        <v>97</v>
      </c>
      <c r="G2" s="169"/>
      <c r="H2" s="169"/>
      <c r="I2" s="169"/>
      <c r="J2" s="169"/>
      <c r="K2" s="170"/>
      <c r="L2" s="75" t="s">
        <v>4</v>
      </c>
      <c r="M2" s="169">
        <v>9</v>
      </c>
      <c r="N2" s="219"/>
      <c r="O2" s="75" t="s">
        <v>6</v>
      </c>
      <c r="P2" s="222" t="s">
        <v>81</v>
      </c>
      <c r="Q2" s="223"/>
      <c r="R2" s="223"/>
      <c r="S2" s="223"/>
      <c r="T2" s="223"/>
      <c r="U2" s="223"/>
      <c r="V2" s="224"/>
      <c r="W2" s="75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76" t="s">
        <v>3</v>
      </c>
      <c r="E3" s="43"/>
      <c r="F3" s="171"/>
      <c r="G3" s="171"/>
      <c r="H3" s="171"/>
      <c r="I3" s="171"/>
      <c r="J3" s="171"/>
      <c r="K3" s="172"/>
      <c r="L3" s="76" t="s">
        <v>5</v>
      </c>
      <c r="M3" s="220"/>
      <c r="N3" s="221"/>
      <c r="O3" s="76" t="s">
        <v>7</v>
      </c>
      <c r="P3" s="225"/>
      <c r="Q3" s="225"/>
      <c r="R3" s="225"/>
      <c r="S3" s="225"/>
      <c r="T3" s="225"/>
      <c r="U3" s="225"/>
      <c r="V3" s="226"/>
      <c r="W3" s="76" t="s">
        <v>8</v>
      </c>
      <c r="X3" s="77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48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75" t="s">
        <v>9</v>
      </c>
      <c r="P4" s="6"/>
      <c r="Q4" s="227" t="s">
        <v>99</v>
      </c>
      <c r="R4" s="228"/>
      <c r="S4" s="228"/>
      <c r="T4" s="229"/>
      <c r="U4" s="75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76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73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2.093</v>
      </c>
      <c r="J26" s="261"/>
      <c r="K26" s="261">
        <v>2.0960000000000001</v>
      </c>
      <c r="L26" s="261"/>
      <c r="M26" s="261">
        <v>2.0870000000000002</v>
      </c>
      <c r="N26" s="261"/>
      <c r="O26" s="261">
        <v>2.0939999999999999</v>
      </c>
      <c r="P26" s="261"/>
      <c r="Q26" s="261">
        <v>2.0960000000000001</v>
      </c>
      <c r="R26" s="261"/>
      <c r="S26" s="261">
        <v>2.1040000000000001</v>
      </c>
      <c r="T26" s="261"/>
      <c r="U26" s="261">
        <v>2.0859999999999999</v>
      </c>
      <c r="V26" s="261"/>
      <c r="W26" s="261">
        <v>2.1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2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1.99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2.0990000000000002</v>
      </c>
      <c r="J30" s="261"/>
      <c r="K30" s="261">
        <v>2.1</v>
      </c>
      <c r="L30" s="261"/>
      <c r="M30" s="261">
        <v>2.0979999999999999</v>
      </c>
      <c r="N30" s="261"/>
      <c r="O30" s="261">
        <v>2.1030000000000002</v>
      </c>
      <c r="P30" s="261"/>
      <c r="Q30" s="261">
        <v>2.1040000000000001</v>
      </c>
      <c r="R30" s="261"/>
      <c r="S30" s="261">
        <v>2.11</v>
      </c>
      <c r="T30" s="261"/>
      <c r="U30" s="261">
        <v>2.097</v>
      </c>
      <c r="V30" s="261"/>
      <c r="W30" s="261">
        <v>2.097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</v>
      </c>
      <c r="J32" s="214"/>
      <c r="K32" s="214">
        <v>11</v>
      </c>
      <c r="L32" s="214"/>
      <c r="M32" s="214">
        <v>11.04</v>
      </c>
      <c r="N32" s="214"/>
      <c r="O32" s="214">
        <v>11.04</v>
      </c>
      <c r="P32" s="214"/>
      <c r="Q32" s="214">
        <v>11.04</v>
      </c>
      <c r="R32" s="214"/>
      <c r="S32" s="214">
        <v>11.02</v>
      </c>
      <c r="T32" s="214"/>
      <c r="U32" s="214">
        <v>11.01</v>
      </c>
      <c r="V32" s="214"/>
      <c r="W32" s="214">
        <v>11.03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67" t="s">
        <v>87</v>
      </c>
      <c r="E34" s="68"/>
      <c r="F34" s="68"/>
      <c r="G34" s="68"/>
      <c r="H34" s="69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70" t="s">
        <v>88</v>
      </c>
      <c r="E35" s="71"/>
      <c r="F35" s="71"/>
      <c r="G35" s="71"/>
      <c r="H35" s="72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70" t="s">
        <v>67</v>
      </c>
      <c r="E37" s="71"/>
      <c r="F37" s="71"/>
      <c r="G37" s="71"/>
      <c r="H37" s="72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67" t="s">
        <v>69</v>
      </c>
      <c r="E38" s="68"/>
      <c r="F38" s="68"/>
      <c r="G38" s="68"/>
      <c r="H38" s="69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70" t="s">
        <v>70</v>
      </c>
      <c r="E39" s="71"/>
      <c r="F39" s="71"/>
      <c r="G39" s="71"/>
      <c r="H39" s="72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67" t="s">
        <v>71</v>
      </c>
      <c r="E40" s="54"/>
      <c r="F40" s="54"/>
      <c r="G40" s="54"/>
      <c r="H40" s="38"/>
      <c r="I40" s="176" t="s">
        <v>103</v>
      </c>
      <c r="J40" s="176"/>
      <c r="K40" s="176" t="s">
        <v>103</v>
      </c>
      <c r="L40" s="176"/>
      <c r="M40" s="176" t="s">
        <v>103</v>
      </c>
      <c r="N40" s="176"/>
      <c r="O40" s="176" t="s">
        <v>103</v>
      </c>
      <c r="P40" s="176"/>
      <c r="Q40" s="176" t="s">
        <v>103</v>
      </c>
      <c r="R40" s="176"/>
      <c r="S40" s="176" t="s">
        <v>103</v>
      </c>
      <c r="T40" s="176"/>
      <c r="U40" s="176" t="s">
        <v>103</v>
      </c>
      <c r="V40" s="176"/>
      <c r="W40" s="176" t="s">
        <v>103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70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67" t="s">
        <v>73</v>
      </c>
      <c r="E42" s="74"/>
      <c r="F42" s="78"/>
      <c r="G42" s="52"/>
      <c r="H42" s="44"/>
      <c r="I42" s="176" t="s">
        <v>103</v>
      </c>
      <c r="J42" s="176"/>
      <c r="K42" s="176" t="s">
        <v>103</v>
      </c>
      <c r="L42" s="176"/>
      <c r="M42" s="176" t="s">
        <v>103</v>
      </c>
      <c r="N42" s="176"/>
      <c r="O42" s="176" t="s">
        <v>103</v>
      </c>
      <c r="P42" s="176"/>
      <c r="Q42" s="176" t="s">
        <v>103</v>
      </c>
      <c r="R42" s="176"/>
      <c r="S42" s="176" t="s">
        <v>103</v>
      </c>
      <c r="T42" s="176"/>
      <c r="U42" s="176" t="s">
        <v>103</v>
      </c>
      <c r="V42" s="176"/>
      <c r="W42" s="176" t="s">
        <v>103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70" t="s">
        <v>74</v>
      </c>
      <c r="E43" s="79"/>
      <c r="F43" s="79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67" t="s">
        <v>75</v>
      </c>
      <c r="E44" s="74"/>
      <c r="F44" s="78"/>
      <c r="G44" s="52"/>
      <c r="H44" s="44"/>
      <c r="I44" s="176" t="s">
        <v>103</v>
      </c>
      <c r="J44" s="176"/>
      <c r="K44" s="176" t="s">
        <v>103</v>
      </c>
      <c r="L44" s="176"/>
      <c r="M44" s="176" t="s">
        <v>103</v>
      </c>
      <c r="N44" s="176"/>
      <c r="O44" s="176" t="s">
        <v>103</v>
      </c>
      <c r="P44" s="176"/>
      <c r="Q44" s="176" t="s">
        <v>103</v>
      </c>
      <c r="R44" s="176"/>
      <c r="S44" s="176" t="s">
        <v>103</v>
      </c>
      <c r="T44" s="176"/>
      <c r="U44" s="176" t="s">
        <v>103</v>
      </c>
      <c r="V44" s="176"/>
      <c r="W44" s="176" t="s">
        <v>103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70" t="s">
        <v>76</v>
      </c>
      <c r="E45" s="79"/>
      <c r="F45" s="79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67" t="s">
        <v>77</v>
      </c>
      <c r="E46" s="68"/>
      <c r="F46" s="68"/>
      <c r="G46" s="68"/>
      <c r="H46" s="69"/>
      <c r="I46" s="176" t="s">
        <v>103</v>
      </c>
      <c r="J46" s="176"/>
      <c r="K46" s="176" t="s">
        <v>103</v>
      </c>
      <c r="L46" s="176"/>
      <c r="M46" s="176" t="s">
        <v>103</v>
      </c>
      <c r="N46" s="176"/>
      <c r="O46" s="176" t="s">
        <v>103</v>
      </c>
      <c r="P46" s="176"/>
      <c r="Q46" s="176" t="s">
        <v>103</v>
      </c>
      <c r="R46" s="176"/>
      <c r="S46" s="176" t="s">
        <v>103</v>
      </c>
      <c r="T46" s="176"/>
      <c r="U46" s="176" t="s">
        <v>103</v>
      </c>
      <c r="V46" s="176"/>
      <c r="W46" s="176" t="s">
        <v>103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70" t="s">
        <v>78</v>
      </c>
      <c r="E47" s="71"/>
      <c r="F47" s="71"/>
      <c r="G47" s="71"/>
      <c r="H47" s="72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67" t="s">
        <v>79</v>
      </c>
      <c r="E48" s="68"/>
      <c r="F48" s="68"/>
      <c r="G48" s="68"/>
      <c r="H48" s="69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70" t="s">
        <v>80</v>
      </c>
      <c r="E49" s="71"/>
      <c r="F49" s="71"/>
      <c r="G49" s="71"/>
      <c r="H49" s="72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98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231" priority="7" operator="greaterThan">
      <formula>$AA$28</formula>
    </cfRule>
    <cfRule type="cellIs" dxfId="230" priority="8" operator="lessThan">
      <formula>$AA$29</formula>
    </cfRule>
  </conditionalFormatting>
  <conditionalFormatting sqref="I32:X33">
    <cfRule type="cellIs" dxfId="229" priority="5" operator="greaterThan">
      <formula>$AA$32</formula>
    </cfRule>
    <cfRule type="cellIs" dxfId="228" priority="6" operator="lessThan">
      <formula>$AA$33</formula>
    </cfRule>
  </conditionalFormatting>
  <conditionalFormatting sqref="I30:X31">
    <cfRule type="cellIs" dxfId="227" priority="3" operator="greaterThan">
      <formula>$AA$30</formula>
    </cfRule>
    <cfRule type="cellIs" dxfId="226" priority="4" operator="lessThan">
      <formula>$AA$31</formula>
    </cfRule>
  </conditionalFormatting>
  <conditionalFormatting sqref="I26:X27">
    <cfRule type="cellIs" dxfId="225" priority="1" operator="greaterThan">
      <formula>$AA$26</formula>
    </cfRule>
    <cfRule type="cellIs" dxfId="22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90" t="s">
        <v>2</v>
      </c>
      <c r="E2" s="42"/>
      <c r="F2" s="169" t="s">
        <v>91</v>
      </c>
      <c r="G2" s="169"/>
      <c r="H2" s="169"/>
      <c r="I2" s="169"/>
      <c r="J2" s="169"/>
      <c r="K2" s="170"/>
      <c r="L2" s="90" t="s">
        <v>4</v>
      </c>
      <c r="M2" s="169">
        <v>9</v>
      </c>
      <c r="N2" s="219"/>
      <c r="O2" s="90" t="s">
        <v>6</v>
      </c>
      <c r="P2" s="222" t="s">
        <v>81</v>
      </c>
      <c r="Q2" s="223"/>
      <c r="R2" s="223"/>
      <c r="S2" s="223"/>
      <c r="T2" s="223"/>
      <c r="U2" s="223"/>
      <c r="V2" s="224"/>
      <c r="W2" s="90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91" t="s">
        <v>3</v>
      </c>
      <c r="E3" s="43"/>
      <c r="F3" s="171"/>
      <c r="G3" s="171"/>
      <c r="H3" s="171"/>
      <c r="I3" s="171"/>
      <c r="J3" s="171"/>
      <c r="K3" s="172"/>
      <c r="L3" s="91" t="s">
        <v>5</v>
      </c>
      <c r="M3" s="220"/>
      <c r="N3" s="221"/>
      <c r="O3" s="91" t="s">
        <v>7</v>
      </c>
      <c r="P3" s="225"/>
      <c r="Q3" s="225"/>
      <c r="R3" s="225"/>
      <c r="S3" s="225"/>
      <c r="T3" s="225"/>
      <c r="U3" s="225"/>
      <c r="V3" s="22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227" t="s">
        <v>99</v>
      </c>
      <c r="R4" s="228"/>
      <c r="S4" s="228"/>
      <c r="T4" s="229"/>
      <c r="U4" s="90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91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9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51</v>
      </c>
      <c r="E26" s="160">
        <v>2.08</v>
      </c>
      <c r="F26" s="161"/>
      <c r="G26" s="52" t="s">
        <v>52</v>
      </c>
      <c r="H26" s="44">
        <v>0.05</v>
      </c>
      <c r="I26" s="261" t="s">
        <v>100</v>
      </c>
      <c r="J26" s="261"/>
      <c r="K26" s="261">
        <v>2.0990000000000002</v>
      </c>
      <c r="L26" s="261"/>
      <c r="M26" s="261">
        <v>2.105</v>
      </c>
      <c r="N26" s="261"/>
      <c r="O26" s="261">
        <v>2.1059999999999999</v>
      </c>
      <c r="P26" s="261"/>
      <c r="Q26" s="261">
        <v>2.1059999999999999</v>
      </c>
      <c r="R26" s="261"/>
      <c r="S26" s="261">
        <v>2.101</v>
      </c>
      <c r="T26" s="261"/>
      <c r="U26" s="261">
        <v>2.101</v>
      </c>
      <c r="V26" s="261"/>
      <c r="W26" s="261" t="s">
        <v>100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51</v>
      </c>
      <c r="E28" s="160">
        <v>1.97</v>
      </c>
      <c r="F28" s="161"/>
      <c r="G28" s="52" t="s">
        <v>52</v>
      </c>
      <c r="H28" s="44">
        <v>0.05</v>
      </c>
      <c r="I28" s="261" t="s">
        <v>100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 t="s">
        <v>100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51</v>
      </c>
      <c r="E30" s="160">
        <v>2.08</v>
      </c>
      <c r="F30" s="161"/>
      <c r="G30" s="52" t="s">
        <v>52</v>
      </c>
      <c r="H30" s="44">
        <v>0.05</v>
      </c>
      <c r="I30" s="261" t="s">
        <v>100</v>
      </c>
      <c r="J30" s="261"/>
      <c r="K30" s="261">
        <v>2.0910000000000002</v>
      </c>
      <c r="L30" s="261"/>
      <c r="M30" s="261">
        <v>2.0830000000000002</v>
      </c>
      <c r="N30" s="261"/>
      <c r="O30" s="261">
        <v>2.1</v>
      </c>
      <c r="P30" s="261"/>
      <c r="Q30" s="261">
        <v>2.0920000000000001</v>
      </c>
      <c r="R30" s="261"/>
      <c r="S30" s="261">
        <v>2.09</v>
      </c>
      <c r="T30" s="261"/>
      <c r="U30" s="261">
        <v>2.0950000000000002</v>
      </c>
      <c r="V30" s="261"/>
      <c r="W30" s="261" t="s">
        <v>100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51</v>
      </c>
      <c r="E32" s="160">
        <v>10.92</v>
      </c>
      <c r="F32" s="161"/>
      <c r="G32" s="52" t="s">
        <v>52</v>
      </c>
      <c r="H32" s="44">
        <v>0.13</v>
      </c>
      <c r="I32" s="214" t="s">
        <v>100</v>
      </c>
      <c r="J32" s="214"/>
      <c r="K32" s="214">
        <v>11</v>
      </c>
      <c r="L32" s="214"/>
      <c r="M32" s="214">
        <v>11.01</v>
      </c>
      <c r="N32" s="214"/>
      <c r="O32" s="214">
        <v>11.03</v>
      </c>
      <c r="P32" s="214"/>
      <c r="Q32" s="214">
        <v>11.03</v>
      </c>
      <c r="R32" s="214"/>
      <c r="S32" s="214">
        <v>11</v>
      </c>
      <c r="T32" s="214"/>
      <c r="U32" s="214">
        <v>11</v>
      </c>
      <c r="V32" s="214"/>
      <c r="W32" s="214" t="s">
        <v>100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84" t="s">
        <v>87</v>
      </c>
      <c r="E34" s="85"/>
      <c r="F34" s="85"/>
      <c r="G34" s="85"/>
      <c r="H34" s="86"/>
      <c r="I34" s="176" t="s">
        <v>100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100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87" t="s">
        <v>88</v>
      </c>
      <c r="E35" s="88"/>
      <c r="F35" s="88"/>
      <c r="G35" s="88"/>
      <c r="H35" s="89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100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100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87" t="s">
        <v>67</v>
      </c>
      <c r="E37" s="88"/>
      <c r="F37" s="88"/>
      <c r="G37" s="88"/>
      <c r="H37" s="89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84" t="s">
        <v>69</v>
      </c>
      <c r="E38" s="85"/>
      <c r="F38" s="85"/>
      <c r="G38" s="85"/>
      <c r="H38" s="86"/>
      <c r="I38" s="176" t="s">
        <v>100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100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87" t="s">
        <v>70</v>
      </c>
      <c r="E39" s="88"/>
      <c r="F39" s="88"/>
      <c r="G39" s="88"/>
      <c r="H39" s="89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84" t="s">
        <v>71</v>
      </c>
      <c r="E40" s="54"/>
      <c r="F40" s="54"/>
      <c r="G40" s="54"/>
      <c r="H40" s="38"/>
      <c r="I40" s="176" t="s">
        <v>100</v>
      </c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 t="s">
        <v>100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87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84" t="s">
        <v>73</v>
      </c>
      <c r="E42" s="81"/>
      <c r="F42" s="82"/>
      <c r="G42" s="52"/>
      <c r="H42" s="44"/>
      <c r="I42" s="176" t="s">
        <v>100</v>
      </c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 t="s">
        <v>100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87" t="s">
        <v>74</v>
      </c>
      <c r="E43" s="83"/>
      <c r="F43" s="83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84" t="s">
        <v>75</v>
      </c>
      <c r="E44" s="81"/>
      <c r="F44" s="82"/>
      <c r="G44" s="52"/>
      <c r="H44" s="44"/>
      <c r="I44" s="176" t="s">
        <v>100</v>
      </c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 t="s">
        <v>100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87" t="s">
        <v>76</v>
      </c>
      <c r="E45" s="83"/>
      <c r="F45" s="83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84" t="s">
        <v>77</v>
      </c>
      <c r="E46" s="85"/>
      <c r="F46" s="85"/>
      <c r="G46" s="85"/>
      <c r="H46" s="86"/>
      <c r="I46" s="176" t="s">
        <v>100</v>
      </c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 t="s">
        <v>100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87" t="s">
        <v>78</v>
      </c>
      <c r="E47" s="88"/>
      <c r="F47" s="88"/>
      <c r="G47" s="88"/>
      <c r="H47" s="89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84" t="s">
        <v>79</v>
      </c>
      <c r="E48" s="85"/>
      <c r="F48" s="85"/>
      <c r="G48" s="85"/>
      <c r="H48" s="86"/>
      <c r="I48" s="176" t="s">
        <v>100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100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87" t="s">
        <v>80</v>
      </c>
      <c r="E49" s="88"/>
      <c r="F49" s="88"/>
      <c r="G49" s="88"/>
      <c r="H49" s="89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105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">
    <cfRule type="cellIs" dxfId="223" priority="23" operator="greaterThan">
      <formula>$AA$28</formula>
    </cfRule>
    <cfRule type="cellIs" dxfId="222" priority="24" operator="lessThan">
      <formula>$AA$29</formula>
    </cfRule>
  </conditionalFormatting>
  <conditionalFormatting sqref="I32:X33">
    <cfRule type="cellIs" dxfId="221" priority="21" operator="greaterThan">
      <formula>$AA$32</formula>
    </cfRule>
    <cfRule type="cellIs" dxfId="220" priority="22" operator="lessThan">
      <formula>$AA$33</formula>
    </cfRule>
  </conditionalFormatting>
  <conditionalFormatting sqref="I30:X31">
    <cfRule type="cellIs" dxfId="219" priority="19" operator="greaterThan">
      <formula>$AA$30</formula>
    </cfRule>
    <cfRule type="cellIs" dxfId="218" priority="20" operator="lessThan">
      <formula>$AA$31</formula>
    </cfRule>
  </conditionalFormatting>
  <conditionalFormatting sqref="I26:X27">
    <cfRule type="cellIs" dxfId="217" priority="17" operator="greaterThan">
      <formula>$AA$26</formula>
    </cfRule>
    <cfRule type="cellIs" dxfId="216" priority="18" operator="lessThan">
      <formula>$AA$27</formula>
    </cfRule>
  </conditionalFormatting>
  <conditionalFormatting sqref="I28:J29">
    <cfRule type="cellIs" dxfId="215" priority="15" operator="greaterThan">
      <formula>$AA$28</formula>
    </cfRule>
    <cfRule type="cellIs" dxfId="214" priority="16" operator="lessThan">
      <formula>$AA$29</formula>
    </cfRule>
  </conditionalFormatting>
  <conditionalFormatting sqref="I32:J33">
    <cfRule type="cellIs" dxfId="213" priority="13" operator="greaterThan">
      <formula>$AA$32</formula>
    </cfRule>
    <cfRule type="cellIs" dxfId="212" priority="14" operator="lessThan">
      <formula>$AA$33</formula>
    </cfRule>
  </conditionalFormatting>
  <conditionalFormatting sqref="I30:J31">
    <cfRule type="cellIs" dxfId="211" priority="11" operator="greaterThan">
      <formula>$AA$30</formula>
    </cfRule>
    <cfRule type="cellIs" dxfId="210" priority="12" operator="lessThan">
      <formula>$AA$31</formula>
    </cfRule>
  </conditionalFormatting>
  <conditionalFormatting sqref="I26:J27">
    <cfRule type="cellIs" dxfId="209" priority="9" operator="greaterThan">
      <formula>$AA$26</formula>
    </cfRule>
    <cfRule type="cellIs" dxfId="208" priority="10" operator="lessThan">
      <formula>$AA$27</formula>
    </cfRule>
  </conditionalFormatting>
  <conditionalFormatting sqref="W28:X31">
    <cfRule type="cellIs" dxfId="207" priority="7" operator="greaterThan">
      <formula>$AA$28</formula>
    </cfRule>
    <cfRule type="cellIs" dxfId="206" priority="8" operator="lessThan">
      <formula>$AA$29</formula>
    </cfRule>
  </conditionalFormatting>
  <conditionalFormatting sqref="W32:X33">
    <cfRule type="cellIs" dxfId="205" priority="5" operator="greaterThan">
      <formula>$AA$32</formula>
    </cfRule>
    <cfRule type="cellIs" dxfId="204" priority="6" operator="lessThan">
      <formula>$AA$33</formula>
    </cfRule>
  </conditionalFormatting>
  <conditionalFormatting sqref="W30:X31">
    <cfRule type="cellIs" dxfId="203" priority="3" operator="greaterThan">
      <formula>$AA$30</formula>
    </cfRule>
    <cfRule type="cellIs" dxfId="202" priority="4" operator="lessThan">
      <formula>$AA$31</formula>
    </cfRule>
  </conditionalFormatting>
  <conditionalFormatting sqref="W26:X27">
    <cfRule type="cellIs" dxfId="201" priority="1" operator="greaterThan">
      <formula>$AA$26</formula>
    </cfRule>
    <cfRule type="cellIs" dxfId="20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90" t="s">
        <v>2</v>
      </c>
      <c r="E2" s="42"/>
      <c r="F2" s="169" t="s">
        <v>91</v>
      </c>
      <c r="G2" s="169"/>
      <c r="H2" s="169"/>
      <c r="I2" s="169"/>
      <c r="J2" s="169"/>
      <c r="K2" s="170"/>
      <c r="L2" s="90" t="s">
        <v>4</v>
      </c>
      <c r="M2" s="169">
        <v>9</v>
      </c>
      <c r="N2" s="219"/>
      <c r="O2" s="90" t="s">
        <v>6</v>
      </c>
      <c r="P2" s="222" t="s">
        <v>81</v>
      </c>
      <c r="Q2" s="223"/>
      <c r="R2" s="223"/>
      <c r="S2" s="223"/>
      <c r="T2" s="223"/>
      <c r="U2" s="223"/>
      <c r="V2" s="224"/>
      <c r="W2" s="90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91" t="s">
        <v>3</v>
      </c>
      <c r="E3" s="43"/>
      <c r="F3" s="171"/>
      <c r="G3" s="171"/>
      <c r="H3" s="171"/>
      <c r="I3" s="171"/>
      <c r="J3" s="171"/>
      <c r="K3" s="172"/>
      <c r="L3" s="91" t="s">
        <v>5</v>
      </c>
      <c r="M3" s="220"/>
      <c r="N3" s="221"/>
      <c r="O3" s="91" t="s">
        <v>7</v>
      </c>
      <c r="P3" s="225"/>
      <c r="Q3" s="225"/>
      <c r="R3" s="225"/>
      <c r="S3" s="225"/>
      <c r="T3" s="225"/>
      <c r="U3" s="225"/>
      <c r="V3" s="22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227" t="s">
        <v>99</v>
      </c>
      <c r="R4" s="228"/>
      <c r="S4" s="228"/>
      <c r="T4" s="229"/>
      <c r="U4" s="90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91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9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2.101</v>
      </c>
      <c r="J26" s="261"/>
      <c r="K26" s="261">
        <v>2.1030000000000002</v>
      </c>
      <c r="L26" s="261"/>
      <c r="M26" s="261">
        <v>2.1030000000000002</v>
      </c>
      <c r="N26" s="261"/>
      <c r="O26" s="261">
        <v>2.1080000000000001</v>
      </c>
      <c r="P26" s="261"/>
      <c r="Q26" s="261">
        <v>2.1080000000000001</v>
      </c>
      <c r="R26" s="261"/>
      <c r="S26" s="261">
        <v>2.1019999999999999</v>
      </c>
      <c r="T26" s="261"/>
      <c r="U26" s="261">
        <v>2.0990000000000002</v>
      </c>
      <c r="V26" s="261"/>
      <c r="W26" s="261">
        <v>2.0990000000000002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2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1.99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2.0910000000000002</v>
      </c>
      <c r="J30" s="261"/>
      <c r="K30" s="261">
        <v>2.0960000000000001</v>
      </c>
      <c r="L30" s="261"/>
      <c r="M30" s="261">
        <v>2.089</v>
      </c>
      <c r="N30" s="261"/>
      <c r="O30" s="261">
        <v>2.093</v>
      </c>
      <c r="P30" s="261"/>
      <c r="Q30" s="261">
        <v>2.0990000000000002</v>
      </c>
      <c r="R30" s="261"/>
      <c r="S30" s="261">
        <v>2.101</v>
      </c>
      <c r="T30" s="261"/>
      <c r="U30" s="261">
        <v>2.0840000000000001</v>
      </c>
      <c r="V30" s="261"/>
      <c r="W30" s="261">
        <v>2.097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</v>
      </c>
      <c r="J32" s="214"/>
      <c r="K32" s="214">
        <v>11.03</v>
      </c>
      <c r="L32" s="214"/>
      <c r="M32" s="214">
        <v>11.02</v>
      </c>
      <c r="N32" s="214"/>
      <c r="O32" s="214">
        <v>11.03</v>
      </c>
      <c r="P32" s="214"/>
      <c r="Q32" s="214">
        <v>11.03</v>
      </c>
      <c r="R32" s="214"/>
      <c r="S32" s="214">
        <v>11.02</v>
      </c>
      <c r="T32" s="214"/>
      <c r="U32" s="214">
        <v>11.01</v>
      </c>
      <c r="V32" s="214"/>
      <c r="W32" s="214">
        <v>11.01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84" t="s">
        <v>87</v>
      </c>
      <c r="E34" s="85"/>
      <c r="F34" s="85"/>
      <c r="G34" s="85"/>
      <c r="H34" s="86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87" t="s">
        <v>88</v>
      </c>
      <c r="E35" s="88"/>
      <c r="F35" s="88"/>
      <c r="G35" s="88"/>
      <c r="H35" s="89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87" t="s">
        <v>67</v>
      </c>
      <c r="E37" s="88"/>
      <c r="F37" s="88"/>
      <c r="G37" s="88"/>
      <c r="H37" s="89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84" t="s">
        <v>69</v>
      </c>
      <c r="E38" s="85"/>
      <c r="F38" s="85"/>
      <c r="G38" s="85"/>
      <c r="H38" s="86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87" t="s">
        <v>70</v>
      </c>
      <c r="E39" s="88"/>
      <c r="F39" s="88"/>
      <c r="G39" s="88"/>
      <c r="H39" s="89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84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87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84" t="s">
        <v>73</v>
      </c>
      <c r="E42" s="81"/>
      <c r="F42" s="82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87" t="s">
        <v>74</v>
      </c>
      <c r="E43" s="83"/>
      <c r="F43" s="83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84" t="s">
        <v>75</v>
      </c>
      <c r="E44" s="81"/>
      <c r="F44" s="82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87" t="s">
        <v>76</v>
      </c>
      <c r="E45" s="83"/>
      <c r="F45" s="83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84" t="s">
        <v>77</v>
      </c>
      <c r="E46" s="85"/>
      <c r="F46" s="85"/>
      <c r="G46" s="85"/>
      <c r="H46" s="8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87" t="s">
        <v>78</v>
      </c>
      <c r="E47" s="88"/>
      <c r="F47" s="88"/>
      <c r="G47" s="88"/>
      <c r="H47" s="89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84" t="s">
        <v>79</v>
      </c>
      <c r="E48" s="85"/>
      <c r="F48" s="85"/>
      <c r="G48" s="85"/>
      <c r="H48" s="86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87" t="s">
        <v>80</v>
      </c>
      <c r="E49" s="88"/>
      <c r="F49" s="88"/>
      <c r="G49" s="88"/>
      <c r="H49" s="89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99" priority="7" operator="greaterThan">
      <formula>$AA$28</formula>
    </cfRule>
    <cfRule type="cellIs" dxfId="198" priority="8" operator="lessThan">
      <formula>$AA$29</formula>
    </cfRule>
  </conditionalFormatting>
  <conditionalFormatting sqref="I32:X33">
    <cfRule type="cellIs" dxfId="197" priority="5" operator="greaterThan">
      <formula>$AA$32</formula>
    </cfRule>
    <cfRule type="cellIs" dxfId="196" priority="6" operator="lessThan">
      <formula>$AA$33</formula>
    </cfRule>
  </conditionalFormatting>
  <conditionalFormatting sqref="I30:X31">
    <cfRule type="cellIs" dxfId="195" priority="3" operator="greaterThan">
      <formula>$AA$30</formula>
    </cfRule>
    <cfRule type="cellIs" dxfId="194" priority="4" operator="lessThan">
      <formula>$AA$31</formula>
    </cfRule>
  </conditionalFormatting>
  <conditionalFormatting sqref="I26:X27">
    <cfRule type="cellIs" dxfId="193" priority="1" operator="greaterThan">
      <formula>$AA$26</formula>
    </cfRule>
    <cfRule type="cellIs" dxfId="19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90" t="s">
        <v>2</v>
      </c>
      <c r="E2" s="42"/>
      <c r="F2" s="169" t="s">
        <v>91</v>
      </c>
      <c r="G2" s="169"/>
      <c r="H2" s="169"/>
      <c r="I2" s="169"/>
      <c r="J2" s="169"/>
      <c r="K2" s="170"/>
      <c r="L2" s="90" t="s">
        <v>4</v>
      </c>
      <c r="M2" s="169">
        <v>9</v>
      </c>
      <c r="N2" s="219"/>
      <c r="O2" s="90" t="s">
        <v>6</v>
      </c>
      <c r="P2" s="222" t="s">
        <v>81</v>
      </c>
      <c r="Q2" s="223"/>
      <c r="R2" s="223"/>
      <c r="S2" s="223"/>
      <c r="T2" s="223"/>
      <c r="U2" s="223"/>
      <c r="V2" s="224"/>
      <c r="W2" s="90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91" t="s">
        <v>3</v>
      </c>
      <c r="E3" s="43"/>
      <c r="F3" s="171"/>
      <c r="G3" s="171"/>
      <c r="H3" s="171"/>
      <c r="I3" s="171"/>
      <c r="J3" s="171"/>
      <c r="K3" s="172"/>
      <c r="L3" s="91" t="s">
        <v>5</v>
      </c>
      <c r="M3" s="220"/>
      <c r="N3" s="221"/>
      <c r="O3" s="91" t="s">
        <v>7</v>
      </c>
      <c r="P3" s="225"/>
      <c r="Q3" s="225"/>
      <c r="R3" s="225"/>
      <c r="S3" s="225"/>
      <c r="T3" s="225"/>
      <c r="U3" s="225"/>
      <c r="V3" s="22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227" t="s">
        <v>107</v>
      </c>
      <c r="R4" s="228"/>
      <c r="S4" s="228"/>
      <c r="T4" s="229"/>
      <c r="U4" s="90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91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9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51</v>
      </c>
      <c r="E26" s="160">
        <v>2.08</v>
      </c>
      <c r="F26" s="161"/>
      <c r="G26" s="52" t="s">
        <v>52</v>
      </c>
      <c r="H26" s="44">
        <v>0.05</v>
      </c>
      <c r="I26" s="261" t="s">
        <v>100</v>
      </c>
      <c r="J26" s="261"/>
      <c r="K26" s="261">
        <v>2.0979999999999999</v>
      </c>
      <c r="L26" s="261"/>
      <c r="M26" s="261">
        <v>2.101</v>
      </c>
      <c r="N26" s="261"/>
      <c r="O26" s="261">
        <v>2.1</v>
      </c>
      <c r="P26" s="261"/>
      <c r="Q26" s="261">
        <v>2.1040000000000001</v>
      </c>
      <c r="R26" s="261"/>
      <c r="S26" s="261">
        <v>2.1</v>
      </c>
      <c r="T26" s="261"/>
      <c r="U26" s="261">
        <v>2.0979999999999999</v>
      </c>
      <c r="V26" s="261"/>
      <c r="W26" s="261" t="s">
        <v>100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51</v>
      </c>
      <c r="E28" s="160">
        <v>1.97</v>
      </c>
      <c r="F28" s="161"/>
      <c r="G28" s="52" t="s">
        <v>52</v>
      </c>
      <c r="H28" s="44">
        <v>0.05</v>
      </c>
      <c r="I28" s="261" t="s">
        <v>100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 t="s">
        <v>100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51</v>
      </c>
      <c r="E30" s="160">
        <v>2.08</v>
      </c>
      <c r="F30" s="161"/>
      <c r="G30" s="52" t="s">
        <v>52</v>
      </c>
      <c r="H30" s="44">
        <v>0.05</v>
      </c>
      <c r="I30" s="261" t="s">
        <v>100</v>
      </c>
      <c r="J30" s="261"/>
      <c r="K30" s="261">
        <v>2.0870000000000002</v>
      </c>
      <c r="L30" s="261"/>
      <c r="M30" s="261">
        <v>2.0819999999999999</v>
      </c>
      <c r="N30" s="261"/>
      <c r="O30" s="261">
        <v>2.09</v>
      </c>
      <c r="P30" s="261"/>
      <c r="Q30" s="261">
        <v>2.0880000000000001</v>
      </c>
      <c r="R30" s="261"/>
      <c r="S30" s="261">
        <v>2.0910000000000002</v>
      </c>
      <c r="T30" s="261"/>
      <c r="U30" s="261">
        <v>2.093</v>
      </c>
      <c r="V30" s="261"/>
      <c r="W30" s="261" t="s">
        <v>100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51</v>
      </c>
      <c r="E32" s="160">
        <v>10.92</v>
      </c>
      <c r="F32" s="161"/>
      <c r="G32" s="52" t="s">
        <v>52</v>
      </c>
      <c r="H32" s="44">
        <v>0.13</v>
      </c>
      <c r="I32" s="214" t="s">
        <v>100</v>
      </c>
      <c r="J32" s="214"/>
      <c r="K32" s="214">
        <v>11.01</v>
      </c>
      <c r="L32" s="214"/>
      <c r="M32" s="214">
        <v>11.01</v>
      </c>
      <c r="N32" s="214"/>
      <c r="O32" s="214">
        <v>11.03</v>
      </c>
      <c r="P32" s="214"/>
      <c r="Q32" s="214">
        <v>11.03</v>
      </c>
      <c r="R32" s="214"/>
      <c r="S32" s="214">
        <v>11.01</v>
      </c>
      <c r="T32" s="214"/>
      <c r="U32" s="214">
        <v>11</v>
      </c>
      <c r="V32" s="214"/>
      <c r="W32" s="214" t="s">
        <v>100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84" t="s">
        <v>87</v>
      </c>
      <c r="E34" s="85"/>
      <c r="F34" s="85"/>
      <c r="G34" s="85"/>
      <c r="H34" s="86"/>
      <c r="I34" s="176" t="s">
        <v>100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100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87" t="s">
        <v>88</v>
      </c>
      <c r="E35" s="88"/>
      <c r="F35" s="88"/>
      <c r="G35" s="88"/>
      <c r="H35" s="89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100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100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87" t="s">
        <v>67</v>
      </c>
      <c r="E37" s="88"/>
      <c r="F37" s="88"/>
      <c r="G37" s="88"/>
      <c r="H37" s="89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84" t="s">
        <v>69</v>
      </c>
      <c r="E38" s="85"/>
      <c r="F38" s="85"/>
      <c r="G38" s="85"/>
      <c r="H38" s="86"/>
      <c r="I38" s="176" t="s">
        <v>100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100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87" t="s">
        <v>70</v>
      </c>
      <c r="E39" s="88"/>
      <c r="F39" s="88"/>
      <c r="G39" s="88"/>
      <c r="H39" s="89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84" t="s">
        <v>71</v>
      </c>
      <c r="E40" s="54"/>
      <c r="F40" s="54"/>
      <c r="G40" s="54"/>
      <c r="H40" s="38"/>
      <c r="I40" s="176" t="s">
        <v>100</v>
      </c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 t="s">
        <v>100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87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84" t="s">
        <v>73</v>
      </c>
      <c r="E42" s="81"/>
      <c r="F42" s="82"/>
      <c r="G42" s="52"/>
      <c r="H42" s="44"/>
      <c r="I42" s="176" t="s">
        <v>100</v>
      </c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 t="s">
        <v>100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87" t="s">
        <v>74</v>
      </c>
      <c r="E43" s="83"/>
      <c r="F43" s="83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84" t="s">
        <v>75</v>
      </c>
      <c r="E44" s="81"/>
      <c r="F44" s="82"/>
      <c r="G44" s="52"/>
      <c r="H44" s="44"/>
      <c r="I44" s="176" t="s">
        <v>100</v>
      </c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 t="s">
        <v>100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87" t="s">
        <v>76</v>
      </c>
      <c r="E45" s="83"/>
      <c r="F45" s="83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84" t="s">
        <v>77</v>
      </c>
      <c r="E46" s="85"/>
      <c r="F46" s="85"/>
      <c r="G46" s="85"/>
      <c r="H46" s="86"/>
      <c r="I46" s="176" t="s">
        <v>100</v>
      </c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 t="s">
        <v>100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87" t="s">
        <v>78</v>
      </c>
      <c r="E47" s="88"/>
      <c r="F47" s="88"/>
      <c r="G47" s="88"/>
      <c r="H47" s="89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84" t="s">
        <v>79</v>
      </c>
      <c r="E48" s="85"/>
      <c r="F48" s="85"/>
      <c r="G48" s="85"/>
      <c r="H48" s="86"/>
      <c r="I48" s="176" t="s">
        <v>100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100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87" t="s">
        <v>80</v>
      </c>
      <c r="E49" s="88"/>
      <c r="F49" s="88"/>
      <c r="G49" s="88"/>
      <c r="H49" s="89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105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">
    <cfRule type="cellIs" dxfId="191" priority="23" operator="greaterThan">
      <formula>$AA$28</formula>
    </cfRule>
    <cfRule type="cellIs" dxfId="190" priority="24" operator="lessThan">
      <formula>$AA$29</formula>
    </cfRule>
  </conditionalFormatting>
  <conditionalFormatting sqref="I32:X33">
    <cfRule type="cellIs" dxfId="189" priority="21" operator="greaterThan">
      <formula>$AA$32</formula>
    </cfRule>
    <cfRule type="cellIs" dxfId="188" priority="22" operator="lessThan">
      <formula>$AA$33</formula>
    </cfRule>
  </conditionalFormatting>
  <conditionalFormatting sqref="I30:X31">
    <cfRule type="cellIs" dxfId="187" priority="19" operator="greaterThan">
      <formula>$AA$30</formula>
    </cfRule>
    <cfRule type="cellIs" dxfId="186" priority="20" operator="lessThan">
      <formula>$AA$31</formula>
    </cfRule>
  </conditionalFormatting>
  <conditionalFormatting sqref="I26:X27">
    <cfRule type="cellIs" dxfId="185" priority="17" operator="greaterThan">
      <formula>$AA$26</formula>
    </cfRule>
    <cfRule type="cellIs" dxfId="184" priority="18" operator="lessThan">
      <formula>$AA$27</formula>
    </cfRule>
  </conditionalFormatting>
  <conditionalFormatting sqref="I28:J29">
    <cfRule type="cellIs" dxfId="183" priority="15" operator="greaterThan">
      <formula>$AA$28</formula>
    </cfRule>
    <cfRule type="cellIs" dxfId="182" priority="16" operator="lessThan">
      <formula>$AA$29</formula>
    </cfRule>
  </conditionalFormatting>
  <conditionalFormatting sqref="I32:J33">
    <cfRule type="cellIs" dxfId="181" priority="13" operator="greaterThan">
      <formula>$AA$32</formula>
    </cfRule>
    <cfRule type="cellIs" dxfId="180" priority="14" operator="lessThan">
      <formula>$AA$33</formula>
    </cfRule>
  </conditionalFormatting>
  <conditionalFormatting sqref="I30:J31">
    <cfRule type="cellIs" dxfId="179" priority="11" operator="greaterThan">
      <formula>$AA$30</formula>
    </cfRule>
    <cfRule type="cellIs" dxfId="178" priority="12" operator="lessThan">
      <formula>$AA$31</formula>
    </cfRule>
  </conditionalFormatting>
  <conditionalFormatting sqref="I26:J27">
    <cfRule type="cellIs" dxfId="177" priority="9" operator="greaterThan">
      <formula>$AA$26</formula>
    </cfRule>
    <cfRule type="cellIs" dxfId="176" priority="10" operator="lessThan">
      <formula>$AA$27</formula>
    </cfRule>
  </conditionalFormatting>
  <conditionalFormatting sqref="W28:X31">
    <cfRule type="cellIs" dxfId="175" priority="7" operator="greaterThan">
      <formula>$AA$28</formula>
    </cfRule>
    <cfRule type="cellIs" dxfId="174" priority="8" operator="lessThan">
      <formula>$AA$29</formula>
    </cfRule>
  </conditionalFormatting>
  <conditionalFormatting sqref="W32:X33">
    <cfRule type="cellIs" dxfId="173" priority="5" operator="greaterThan">
      <formula>$AA$32</formula>
    </cfRule>
    <cfRule type="cellIs" dxfId="172" priority="6" operator="lessThan">
      <formula>$AA$33</formula>
    </cfRule>
  </conditionalFormatting>
  <conditionalFormatting sqref="W30:X31">
    <cfRule type="cellIs" dxfId="171" priority="3" operator="greaterThan">
      <formula>$AA$30</formula>
    </cfRule>
    <cfRule type="cellIs" dxfId="170" priority="4" operator="lessThan">
      <formula>$AA$31</formula>
    </cfRule>
  </conditionalFormatting>
  <conditionalFormatting sqref="W26:X27">
    <cfRule type="cellIs" dxfId="169" priority="1" operator="greaterThan">
      <formula>$AA$26</formula>
    </cfRule>
    <cfRule type="cellIs" dxfId="16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90" t="s">
        <v>2</v>
      </c>
      <c r="E2" s="42"/>
      <c r="F2" s="169" t="s">
        <v>91</v>
      </c>
      <c r="G2" s="169"/>
      <c r="H2" s="169"/>
      <c r="I2" s="169"/>
      <c r="J2" s="169"/>
      <c r="K2" s="170"/>
      <c r="L2" s="90" t="s">
        <v>4</v>
      </c>
      <c r="M2" s="169">
        <v>9</v>
      </c>
      <c r="N2" s="219"/>
      <c r="O2" s="90" t="s">
        <v>6</v>
      </c>
      <c r="P2" s="222" t="s">
        <v>81</v>
      </c>
      <c r="Q2" s="223"/>
      <c r="R2" s="223"/>
      <c r="S2" s="223"/>
      <c r="T2" s="223"/>
      <c r="U2" s="223"/>
      <c r="V2" s="224"/>
      <c r="W2" s="90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91" t="s">
        <v>3</v>
      </c>
      <c r="E3" s="43"/>
      <c r="F3" s="171"/>
      <c r="G3" s="171"/>
      <c r="H3" s="171"/>
      <c r="I3" s="171"/>
      <c r="J3" s="171"/>
      <c r="K3" s="172"/>
      <c r="L3" s="91" t="s">
        <v>5</v>
      </c>
      <c r="M3" s="220"/>
      <c r="N3" s="221"/>
      <c r="O3" s="91" t="s">
        <v>7</v>
      </c>
      <c r="P3" s="225"/>
      <c r="Q3" s="225"/>
      <c r="R3" s="225"/>
      <c r="S3" s="225"/>
      <c r="T3" s="225"/>
      <c r="U3" s="225"/>
      <c r="V3" s="226"/>
      <c r="W3" s="91" t="s">
        <v>8</v>
      </c>
      <c r="X3" s="80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90" t="s">
        <v>9</v>
      </c>
      <c r="P4" s="6"/>
      <c r="Q4" s="227" t="s">
        <v>106</v>
      </c>
      <c r="R4" s="228"/>
      <c r="S4" s="228"/>
      <c r="T4" s="229"/>
      <c r="U4" s="90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91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9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2.0990000000000002</v>
      </c>
      <c r="J26" s="261"/>
      <c r="K26" s="261">
        <v>2.101</v>
      </c>
      <c r="L26" s="261"/>
      <c r="M26" s="261">
        <v>2.097</v>
      </c>
      <c r="N26" s="261"/>
      <c r="O26" s="261">
        <v>2.1030000000000002</v>
      </c>
      <c r="P26" s="261"/>
      <c r="Q26" s="261">
        <v>2.105</v>
      </c>
      <c r="R26" s="261"/>
      <c r="S26" s="261">
        <v>2.101</v>
      </c>
      <c r="T26" s="261"/>
      <c r="U26" s="261">
        <v>2.0979999999999999</v>
      </c>
      <c r="V26" s="261"/>
      <c r="W26" s="261">
        <v>2.101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2.0099999999999998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2.09</v>
      </c>
      <c r="J30" s="261"/>
      <c r="K30" s="261">
        <v>2.0950000000000002</v>
      </c>
      <c r="L30" s="261"/>
      <c r="M30" s="261">
        <v>2.0920000000000001</v>
      </c>
      <c r="N30" s="261"/>
      <c r="O30" s="261">
        <v>2.0859999999999999</v>
      </c>
      <c r="P30" s="261"/>
      <c r="Q30" s="261">
        <v>2.101</v>
      </c>
      <c r="R30" s="261"/>
      <c r="S30" s="261">
        <v>2.0939999999999999</v>
      </c>
      <c r="T30" s="261"/>
      <c r="U30" s="261">
        <v>2.0870000000000002</v>
      </c>
      <c r="V30" s="261"/>
      <c r="W30" s="261">
        <v>2.0960000000000001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11.02</v>
      </c>
      <c r="J32" s="214"/>
      <c r="K32" s="214">
        <v>11</v>
      </c>
      <c r="L32" s="214"/>
      <c r="M32" s="214">
        <v>11.03</v>
      </c>
      <c r="N32" s="214"/>
      <c r="O32" s="214">
        <v>11.04</v>
      </c>
      <c r="P32" s="214"/>
      <c r="Q32" s="214">
        <v>11.01</v>
      </c>
      <c r="R32" s="214"/>
      <c r="S32" s="214">
        <v>11.02</v>
      </c>
      <c r="T32" s="214"/>
      <c r="U32" s="214">
        <v>11</v>
      </c>
      <c r="V32" s="214"/>
      <c r="W32" s="214">
        <v>11.02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84" t="s">
        <v>87</v>
      </c>
      <c r="E34" s="85"/>
      <c r="F34" s="85"/>
      <c r="G34" s="85"/>
      <c r="H34" s="86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87" t="s">
        <v>88</v>
      </c>
      <c r="E35" s="88"/>
      <c r="F35" s="88"/>
      <c r="G35" s="88"/>
      <c r="H35" s="89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87" t="s">
        <v>67</v>
      </c>
      <c r="E37" s="88"/>
      <c r="F37" s="88"/>
      <c r="G37" s="88"/>
      <c r="H37" s="89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84" t="s">
        <v>69</v>
      </c>
      <c r="E38" s="85"/>
      <c r="F38" s="85"/>
      <c r="G38" s="85"/>
      <c r="H38" s="86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87" t="s">
        <v>70</v>
      </c>
      <c r="E39" s="88"/>
      <c r="F39" s="88"/>
      <c r="G39" s="88"/>
      <c r="H39" s="89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84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87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84" t="s">
        <v>73</v>
      </c>
      <c r="E42" s="81"/>
      <c r="F42" s="82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87" t="s">
        <v>74</v>
      </c>
      <c r="E43" s="83"/>
      <c r="F43" s="83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84" t="s">
        <v>75</v>
      </c>
      <c r="E44" s="81"/>
      <c r="F44" s="82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87" t="s">
        <v>76</v>
      </c>
      <c r="E45" s="83"/>
      <c r="F45" s="83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84" t="s">
        <v>77</v>
      </c>
      <c r="E46" s="85"/>
      <c r="F46" s="85"/>
      <c r="G46" s="85"/>
      <c r="H46" s="8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87" t="s">
        <v>78</v>
      </c>
      <c r="E47" s="88"/>
      <c r="F47" s="88"/>
      <c r="G47" s="88"/>
      <c r="H47" s="89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84" t="s">
        <v>79</v>
      </c>
      <c r="E48" s="85"/>
      <c r="F48" s="85"/>
      <c r="G48" s="85"/>
      <c r="H48" s="86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87" t="s">
        <v>80</v>
      </c>
      <c r="E49" s="88"/>
      <c r="F49" s="88"/>
      <c r="G49" s="88"/>
      <c r="H49" s="89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U60:V61"/>
    <mergeCell ref="W60:X61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67" priority="7" operator="greaterThan">
      <formula>$AA$28</formula>
    </cfRule>
    <cfRule type="cellIs" dxfId="166" priority="8" operator="lessThan">
      <formula>$AA$29</formula>
    </cfRule>
  </conditionalFormatting>
  <conditionalFormatting sqref="I32:X33">
    <cfRule type="cellIs" dxfId="165" priority="5" operator="greaterThan">
      <formula>$AA$32</formula>
    </cfRule>
    <cfRule type="cellIs" dxfId="164" priority="6" operator="lessThan">
      <formula>$AA$33</formula>
    </cfRule>
  </conditionalFormatting>
  <conditionalFormatting sqref="I30:X31">
    <cfRule type="cellIs" dxfId="163" priority="3" operator="greaterThan">
      <formula>$AA$30</formula>
    </cfRule>
    <cfRule type="cellIs" dxfId="162" priority="4" operator="lessThan">
      <formula>$AA$31</formula>
    </cfRule>
  </conditionalFormatting>
  <conditionalFormatting sqref="I26:X27">
    <cfRule type="cellIs" dxfId="161" priority="1" operator="greaterThan">
      <formula>$AA$26</formula>
    </cfRule>
    <cfRule type="cellIs" dxfId="16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03" t="s">
        <v>2</v>
      </c>
      <c r="E2" s="42"/>
      <c r="F2" s="169" t="s">
        <v>91</v>
      </c>
      <c r="G2" s="169"/>
      <c r="H2" s="169"/>
      <c r="I2" s="169"/>
      <c r="J2" s="169"/>
      <c r="K2" s="170"/>
      <c r="L2" s="103" t="s">
        <v>4</v>
      </c>
      <c r="M2" s="169">
        <v>9</v>
      </c>
      <c r="N2" s="219"/>
      <c r="O2" s="103" t="s">
        <v>6</v>
      </c>
      <c r="P2" s="222" t="s">
        <v>81</v>
      </c>
      <c r="Q2" s="223"/>
      <c r="R2" s="223"/>
      <c r="S2" s="223"/>
      <c r="T2" s="223"/>
      <c r="U2" s="223"/>
      <c r="V2" s="224"/>
      <c r="W2" s="103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04" t="s">
        <v>3</v>
      </c>
      <c r="E3" s="43"/>
      <c r="F3" s="171"/>
      <c r="G3" s="171"/>
      <c r="H3" s="171"/>
      <c r="I3" s="171"/>
      <c r="J3" s="171"/>
      <c r="K3" s="172"/>
      <c r="L3" s="104" t="s">
        <v>5</v>
      </c>
      <c r="M3" s="220"/>
      <c r="N3" s="221"/>
      <c r="O3" s="104" t="s">
        <v>7</v>
      </c>
      <c r="P3" s="225"/>
      <c r="Q3" s="225"/>
      <c r="R3" s="225"/>
      <c r="S3" s="225"/>
      <c r="T3" s="225"/>
      <c r="U3" s="225"/>
      <c r="V3" s="22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27" t="s">
        <v>109</v>
      </c>
      <c r="R4" s="228"/>
      <c r="S4" s="228"/>
      <c r="T4" s="229"/>
      <c r="U4" s="103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04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51</v>
      </c>
      <c r="E26" s="160">
        <v>2.08</v>
      </c>
      <c r="F26" s="161"/>
      <c r="G26" s="52" t="s">
        <v>52</v>
      </c>
      <c r="H26" s="44">
        <v>0.05</v>
      </c>
      <c r="I26" s="261" t="s">
        <v>100</v>
      </c>
      <c r="J26" s="261"/>
      <c r="K26" s="261">
        <v>2.1</v>
      </c>
      <c r="L26" s="261"/>
      <c r="M26" s="261">
        <v>2.0990000000000002</v>
      </c>
      <c r="N26" s="261"/>
      <c r="O26" s="261">
        <v>2.1</v>
      </c>
      <c r="P26" s="261"/>
      <c r="Q26" s="261">
        <v>2.1019999999999999</v>
      </c>
      <c r="R26" s="261"/>
      <c r="S26" s="261">
        <v>2.0979999999999999</v>
      </c>
      <c r="T26" s="261"/>
      <c r="U26" s="261">
        <v>2.0990000000000002</v>
      </c>
      <c r="V26" s="261"/>
      <c r="W26" s="261" t="s">
        <v>100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51</v>
      </c>
      <c r="E28" s="160">
        <v>1.97</v>
      </c>
      <c r="F28" s="161"/>
      <c r="G28" s="52" t="s">
        <v>52</v>
      </c>
      <c r="H28" s="44">
        <v>0.05</v>
      </c>
      <c r="I28" s="261" t="s">
        <v>100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 t="s">
        <v>100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51</v>
      </c>
      <c r="E30" s="160">
        <v>2.08</v>
      </c>
      <c r="F30" s="161"/>
      <c r="G30" s="52" t="s">
        <v>52</v>
      </c>
      <c r="H30" s="44">
        <v>0.05</v>
      </c>
      <c r="I30" s="261" t="s">
        <v>100</v>
      </c>
      <c r="J30" s="261"/>
      <c r="K30" s="261">
        <v>2.09</v>
      </c>
      <c r="L30" s="261"/>
      <c r="M30" s="261">
        <v>2.0840000000000001</v>
      </c>
      <c r="N30" s="261"/>
      <c r="O30" s="261">
        <v>2.0960000000000001</v>
      </c>
      <c r="P30" s="261"/>
      <c r="Q30" s="261">
        <v>2.0960000000000001</v>
      </c>
      <c r="R30" s="261"/>
      <c r="S30" s="261">
        <v>2.089</v>
      </c>
      <c r="T30" s="261"/>
      <c r="U30" s="261">
        <v>2.081</v>
      </c>
      <c r="V30" s="261"/>
      <c r="W30" s="261" t="s">
        <v>100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51</v>
      </c>
      <c r="E32" s="160">
        <v>10.92</v>
      </c>
      <c r="F32" s="161"/>
      <c r="G32" s="52" t="s">
        <v>52</v>
      </c>
      <c r="H32" s="44">
        <v>0.13</v>
      </c>
      <c r="I32" s="214" t="s">
        <v>100</v>
      </c>
      <c r="J32" s="214"/>
      <c r="K32" s="214">
        <v>11.01</v>
      </c>
      <c r="L32" s="214"/>
      <c r="M32" s="214">
        <v>11.03</v>
      </c>
      <c r="N32" s="214"/>
      <c r="O32" s="214">
        <v>11.02</v>
      </c>
      <c r="P32" s="214"/>
      <c r="Q32" s="214">
        <v>11.03</v>
      </c>
      <c r="R32" s="214"/>
      <c r="S32" s="214">
        <v>11.04</v>
      </c>
      <c r="T32" s="214"/>
      <c r="U32" s="214">
        <v>11.01</v>
      </c>
      <c r="V32" s="214"/>
      <c r="W32" s="214" t="s">
        <v>100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97" t="s">
        <v>87</v>
      </c>
      <c r="E34" s="98"/>
      <c r="F34" s="98"/>
      <c r="G34" s="98"/>
      <c r="H34" s="99"/>
      <c r="I34" s="176" t="s">
        <v>100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100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00" t="s">
        <v>88</v>
      </c>
      <c r="E35" s="101"/>
      <c r="F35" s="101"/>
      <c r="G35" s="101"/>
      <c r="H35" s="102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100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100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00" t="s">
        <v>67</v>
      </c>
      <c r="E37" s="101"/>
      <c r="F37" s="101"/>
      <c r="G37" s="101"/>
      <c r="H37" s="102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97" t="s">
        <v>69</v>
      </c>
      <c r="E38" s="98"/>
      <c r="F38" s="98"/>
      <c r="G38" s="98"/>
      <c r="H38" s="99"/>
      <c r="I38" s="176" t="s">
        <v>100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100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00" t="s">
        <v>70</v>
      </c>
      <c r="E39" s="101"/>
      <c r="F39" s="101"/>
      <c r="G39" s="101"/>
      <c r="H39" s="102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97" t="s">
        <v>71</v>
      </c>
      <c r="E40" s="54"/>
      <c r="F40" s="54"/>
      <c r="G40" s="54"/>
      <c r="H40" s="38"/>
      <c r="I40" s="176" t="s">
        <v>100</v>
      </c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 t="s">
        <v>100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00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97" t="s">
        <v>73</v>
      </c>
      <c r="E42" s="94"/>
      <c r="F42" s="95"/>
      <c r="G42" s="52"/>
      <c r="H42" s="44"/>
      <c r="I42" s="176" t="s">
        <v>100</v>
      </c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 t="s">
        <v>100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00" t="s">
        <v>74</v>
      </c>
      <c r="E43" s="96"/>
      <c r="F43" s="96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97" t="s">
        <v>75</v>
      </c>
      <c r="E44" s="94"/>
      <c r="F44" s="95"/>
      <c r="G44" s="52"/>
      <c r="H44" s="44"/>
      <c r="I44" s="176" t="s">
        <v>100</v>
      </c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 t="s">
        <v>100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00" t="s">
        <v>76</v>
      </c>
      <c r="E45" s="96"/>
      <c r="F45" s="96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97" t="s">
        <v>77</v>
      </c>
      <c r="E46" s="98"/>
      <c r="F46" s="98"/>
      <c r="G46" s="98"/>
      <c r="H46" s="99"/>
      <c r="I46" s="176" t="s">
        <v>100</v>
      </c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 t="s">
        <v>100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00" t="s">
        <v>78</v>
      </c>
      <c r="E47" s="101"/>
      <c r="F47" s="101"/>
      <c r="G47" s="101"/>
      <c r="H47" s="102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97" t="s">
        <v>79</v>
      </c>
      <c r="E48" s="98"/>
      <c r="F48" s="98"/>
      <c r="G48" s="98"/>
      <c r="H48" s="99"/>
      <c r="I48" s="176" t="s">
        <v>100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100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00" t="s">
        <v>80</v>
      </c>
      <c r="E49" s="101"/>
      <c r="F49" s="101"/>
      <c r="G49" s="101"/>
      <c r="H49" s="102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">
    <cfRule type="cellIs" dxfId="159" priority="23" operator="greaterThan">
      <formula>$AA$28</formula>
    </cfRule>
    <cfRule type="cellIs" dxfId="158" priority="24" operator="lessThan">
      <formula>$AA$29</formula>
    </cfRule>
  </conditionalFormatting>
  <conditionalFormatting sqref="I32:X33">
    <cfRule type="cellIs" dxfId="157" priority="21" operator="greaterThan">
      <formula>$AA$32</formula>
    </cfRule>
    <cfRule type="cellIs" dxfId="156" priority="22" operator="lessThan">
      <formula>$AA$33</formula>
    </cfRule>
  </conditionalFormatting>
  <conditionalFormatting sqref="I30:X31">
    <cfRule type="cellIs" dxfId="155" priority="19" operator="greaterThan">
      <formula>$AA$30</formula>
    </cfRule>
    <cfRule type="cellIs" dxfId="154" priority="20" operator="lessThan">
      <formula>$AA$31</formula>
    </cfRule>
  </conditionalFormatting>
  <conditionalFormatting sqref="I26:X27">
    <cfRule type="cellIs" dxfId="153" priority="17" operator="greaterThan">
      <formula>$AA$26</formula>
    </cfRule>
    <cfRule type="cellIs" dxfId="152" priority="18" operator="lessThan">
      <formula>$AA$27</formula>
    </cfRule>
  </conditionalFormatting>
  <conditionalFormatting sqref="I28:J29">
    <cfRule type="cellIs" dxfId="151" priority="15" operator="greaterThan">
      <formula>$AA$28</formula>
    </cfRule>
    <cfRule type="cellIs" dxfId="150" priority="16" operator="lessThan">
      <formula>$AA$29</formula>
    </cfRule>
  </conditionalFormatting>
  <conditionalFormatting sqref="I32:J33">
    <cfRule type="cellIs" dxfId="149" priority="13" operator="greaterThan">
      <formula>$AA$32</formula>
    </cfRule>
    <cfRule type="cellIs" dxfId="148" priority="14" operator="lessThan">
      <formula>$AA$33</formula>
    </cfRule>
  </conditionalFormatting>
  <conditionalFormatting sqref="I30:J31">
    <cfRule type="cellIs" dxfId="147" priority="11" operator="greaterThan">
      <formula>$AA$30</formula>
    </cfRule>
    <cfRule type="cellIs" dxfId="146" priority="12" operator="lessThan">
      <formula>$AA$31</formula>
    </cfRule>
  </conditionalFormatting>
  <conditionalFormatting sqref="I26:J27">
    <cfRule type="cellIs" dxfId="145" priority="9" operator="greaterThan">
      <formula>$AA$26</formula>
    </cfRule>
    <cfRule type="cellIs" dxfId="144" priority="10" operator="lessThan">
      <formula>$AA$27</formula>
    </cfRule>
  </conditionalFormatting>
  <conditionalFormatting sqref="W28:X31">
    <cfRule type="cellIs" dxfId="143" priority="7" operator="greaterThan">
      <formula>$AA$28</formula>
    </cfRule>
    <cfRule type="cellIs" dxfId="142" priority="8" operator="lessThan">
      <formula>$AA$29</formula>
    </cfRule>
  </conditionalFormatting>
  <conditionalFormatting sqref="W32:X33">
    <cfRule type="cellIs" dxfId="141" priority="5" operator="greaterThan">
      <formula>$AA$32</formula>
    </cfRule>
    <cfRule type="cellIs" dxfId="140" priority="6" operator="lessThan">
      <formula>$AA$33</formula>
    </cfRule>
  </conditionalFormatting>
  <conditionalFormatting sqref="W30:X31">
    <cfRule type="cellIs" dxfId="139" priority="3" operator="greaterThan">
      <formula>$AA$30</formula>
    </cfRule>
    <cfRule type="cellIs" dxfId="138" priority="4" operator="lessThan">
      <formula>$AA$31</formula>
    </cfRule>
  </conditionalFormatting>
  <conditionalFormatting sqref="W26:X27">
    <cfRule type="cellIs" dxfId="137" priority="1" operator="greaterThan">
      <formula>$AA$26</formula>
    </cfRule>
    <cfRule type="cellIs" dxfId="13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03" t="s">
        <v>2</v>
      </c>
      <c r="E2" s="42"/>
      <c r="F2" s="169" t="s">
        <v>91</v>
      </c>
      <c r="G2" s="169"/>
      <c r="H2" s="169"/>
      <c r="I2" s="169"/>
      <c r="J2" s="169"/>
      <c r="K2" s="170"/>
      <c r="L2" s="103" t="s">
        <v>4</v>
      </c>
      <c r="M2" s="169">
        <v>9</v>
      </c>
      <c r="N2" s="219"/>
      <c r="O2" s="103" t="s">
        <v>6</v>
      </c>
      <c r="P2" s="222" t="s">
        <v>81</v>
      </c>
      <c r="Q2" s="223"/>
      <c r="R2" s="223"/>
      <c r="S2" s="223"/>
      <c r="T2" s="223"/>
      <c r="U2" s="223"/>
      <c r="V2" s="224"/>
      <c r="W2" s="103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04" t="s">
        <v>3</v>
      </c>
      <c r="E3" s="43"/>
      <c r="F3" s="171"/>
      <c r="G3" s="171"/>
      <c r="H3" s="171"/>
      <c r="I3" s="171"/>
      <c r="J3" s="171"/>
      <c r="K3" s="172"/>
      <c r="L3" s="104" t="s">
        <v>5</v>
      </c>
      <c r="M3" s="220"/>
      <c r="N3" s="221"/>
      <c r="O3" s="104" t="s">
        <v>7</v>
      </c>
      <c r="P3" s="225"/>
      <c r="Q3" s="225"/>
      <c r="R3" s="225"/>
      <c r="S3" s="225"/>
      <c r="T3" s="225"/>
      <c r="U3" s="225"/>
      <c r="V3" s="226"/>
      <c r="W3" s="104" t="s">
        <v>8</v>
      </c>
      <c r="X3" s="93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03" t="s">
        <v>9</v>
      </c>
      <c r="P4" s="6"/>
      <c r="Q4" s="227" t="s">
        <v>108</v>
      </c>
      <c r="R4" s="228"/>
      <c r="S4" s="228"/>
      <c r="T4" s="229"/>
      <c r="U4" s="103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04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105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2.1</v>
      </c>
      <c r="J26" s="261"/>
      <c r="K26" s="261">
        <v>2.1</v>
      </c>
      <c r="L26" s="261"/>
      <c r="M26" s="261">
        <v>2.097</v>
      </c>
      <c r="N26" s="261"/>
      <c r="O26" s="261">
        <v>2.101</v>
      </c>
      <c r="P26" s="261"/>
      <c r="Q26" s="261">
        <v>2.1040000000000001</v>
      </c>
      <c r="R26" s="261"/>
      <c r="S26" s="261">
        <v>2.1019999999999999</v>
      </c>
      <c r="T26" s="261"/>
      <c r="U26" s="261">
        <v>2.0979999999999999</v>
      </c>
      <c r="V26" s="261"/>
      <c r="W26" s="261">
        <v>2.101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2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2.0870000000000002</v>
      </c>
      <c r="J30" s="261"/>
      <c r="K30" s="261">
        <v>2.093</v>
      </c>
      <c r="L30" s="261"/>
      <c r="M30" s="261">
        <v>2.08</v>
      </c>
      <c r="N30" s="261"/>
      <c r="O30" s="261">
        <v>2.09</v>
      </c>
      <c r="P30" s="261"/>
      <c r="Q30" s="261">
        <v>2.0979999999999999</v>
      </c>
      <c r="R30" s="261"/>
      <c r="S30" s="261">
        <v>2.0990000000000002</v>
      </c>
      <c r="T30" s="261"/>
      <c r="U30" s="261">
        <v>2.0830000000000002</v>
      </c>
      <c r="V30" s="261"/>
      <c r="W30" s="261">
        <v>2.093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</v>
      </c>
      <c r="J32" s="214"/>
      <c r="K32" s="214">
        <v>11.01</v>
      </c>
      <c r="L32" s="214"/>
      <c r="M32" s="214">
        <v>11.02</v>
      </c>
      <c r="N32" s="214"/>
      <c r="O32" s="214">
        <v>11.04</v>
      </c>
      <c r="P32" s="214"/>
      <c r="Q32" s="214">
        <v>11.02</v>
      </c>
      <c r="R32" s="214"/>
      <c r="S32" s="214">
        <v>11.02</v>
      </c>
      <c r="T32" s="214"/>
      <c r="U32" s="214">
        <v>11.01</v>
      </c>
      <c r="V32" s="214"/>
      <c r="W32" s="214">
        <v>11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97" t="s">
        <v>87</v>
      </c>
      <c r="E34" s="98"/>
      <c r="F34" s="98"/>
      <c r="G34" s="98"/>
      <c r="H34" s="99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00" t="s">
        <v>88</v>
      </c>
      <c r="E35" s="101"/>
      <c r="F35" s="101"/>
      <c r="G35" s="101"/>
      <c r="H35" s="102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00" t="s">
        <v>67</v>
      </c>
      <c r="E37" s="101"/>
      <c r="F37" s="101"/>
      <c r="G37" s="101"/>
      <c r="H37" s="102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97" t="s">
        <v>69</v>
      </c>
      <c r="E38" s="98"/>
      <c r="F38" s="98"/>
      <c r="G38" s="98"/>
      <c r="H38" s="99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00" t="s">
        <v>70</v>
      </c>
      <c r="E39" s="101"/>
      <c r="F39" s="101"/>
      <c r="G39" s="101"/>
      <c r="H39" s="102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97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00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97" t="s">
        <v>73</v>
      </c>
      <c r="E42" s="94"/>
      <c r="F42" s="95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00" t="s">
        <v>74</v>
      </c>
      <c r="E43" s="96"/>
      <c r="F43" s="96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97" t="s">
        <v>75</v>
      </c>
      <c r="E44" s="94"/>
      <c r="F44" s="95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00" t="s">
        <v>76</v>
      </c>
      <c r="E45" s="96"/>
      <c r="F45" s="96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97" t="s">
        <v>77</v>
      </c>
      <c r="E46" s="98"/>
      <c r="F46" s="98"/>
      <c r="G46" s="98"/>
      <c r="H46" s="99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00" t="s">
        <v>78</v>
      </c>
      <c r="E47" s="101"/>
      <c r="F47" s="101"/>
      <c r="G47" s="101"/>
      <c r="H47" s="102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97" t="s">
        <v>79</v>
      </c>
      <c r="E48" s="98"/>
      <c r="F48" s="98"/>
      <c r="G48" s="98"/>
      <c r="H48" s="99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00" t="s">
        <v>80</v>
      </c>
      <c r="E49" s="101"/>
      <c r="F49" s="101"/>
      <c r="G49" s="101"/>
      <c r="H49" s="102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135" priority="7" operator="greaterThan">
      <formula>$AA$28</formula>
    </cfRule>
    <cfRule type="cellIs" dxfId="134" priority="8" operator="lessThan">
      <formula>$AA$29</formula>
    </cfRule>
  </conditionalFormatting>
  <conditionalFormatting sqref="I32:X33">
    <cfRule type="cellIs" dxfId="133" priority="5" operator="greaterThan">
      <formula>$AA$32</formula>
    </cfRule>
    <cfRule type="cellIs" dxfId="132" priority="6" operator="lessThan">
      <formula>$AA$33</formula>
    </cfRule>
  </conditionalFormatting>
  <conditionalFormatting sqref="I30:X31">
    <cfRule type="cellIs" dxfId="131" priority="3" operator="greaterThan">
      <formula>$AA$30</formula>
    </cfRule>
    <cfRule type="cellIs" dxfId="130" priority="4" operator="lessThan">
      <formula>$AA$31</formula>
    </cfRule>
  </conditionalFormatting>
  <conditionalFormatting sqref="I26:X27">
    <cfRule type="cellIs" dxfId="129" priority="1" operator="greaterThan">
      <formula>$AA$26</formula>
    </cfRule>
    <cfRule type="cellIs" dxfId="12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14" t="s">
        <v>2</v>
      </c>
      <c r="E2" s="42"/>
      <c r="F2" s="169" t="s">
        <v>91</v>
      </c>
      <c r="G2" s="169"/>
      <c r="H2" s="169"/>
      <c r="I2" s="169"/>
      <c r="J2" s="169"/>
      <c r="K2" s="170"/>
      <c r="L2" s="114" t="s">
        <v>4</v>
      </c>
      <c r="M2" s="169">
        <v>9</v>
      </c>
      <c r="N2" s="219"/>
      <c r="O2" s="114" t="s">
        <v>6</v>
      </c>
      <c r="P2" s="222" t="s">
        <v>81</v>
      </c>
      <c r="Q2" s="223"/>
      <c r="R2" s="223"/>
      <c r="S2" s="223"/>
      <c r="T2" s="223"/>
      <c r="U2" s="223"/>
      <c r="V2" s="224"/>
      <c r="W2" s="114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15" t="s">
        <v>3</v>
      </c>
      <c r="E3" s="43"/>
      <c r="F3" s="171"/>
      <c r="G3" s="171"/>
      <c r="H3" s="171"/>
      <c r="I3" s="171"/>
      <c r="J3" s="171"/>
      <c r="K3" s="172"/>
      <c r="L3" s="115" t="s">
        <v>5</v>
      </c>
      <c r="M3" s="220"/>
      <c r="N3" s="221"/>
      <c r="O3" s="115" t="s">
        <v>7</v>
      </c>
      <c r="P3" s="225"/>
      <c r="Q3" s="225"/>
      <c r="R3" s="225"/>
      <c r="S3" s="225"/>
      <c r="T3" s="225"/>
      <c r="U3" s="225"/>
      <c r="V3" s="2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227" t="s">
        <v>111</v>
      </c>
      <c r="R4" s="228"/>
      <c r="S4" s="228"/>
      <c r="T4" s="229"/>
      <c r="U4" s="114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15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11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 t="s">
        <v>53</v>
      </c>
      <c r="J26" s="261"/>
      <c r="K26" s="261">
        <v>2.101</v>
      </c>
      <c r="L26" s="261"/>
      <c r="M26" s="261">
        <v>2.1030000000000002</v>
      </c>
      <c r="N26" s="261"/>
      <c r="O26" s="261">
        <v>2.101</v>
      </c>
      <c r="P26" s="261"/>
      <c r="Q26" s="261" t="s">
        <v>114</v>
      </c>
      <c r="R26" s="261"/>
      <c r="S26" s="261">
        <v>2.0990000000000002</v>
      </c>
      <c r="T26" s="261"/>
      <c r="U26" s="261">
        <v>2.101</v>
      </c>
      <c r="V26" s="261"/>
      <c r="W26" s="261" t="s">
        <v>53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 t="s">
        <v>53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 t="s">
        <v>114</v>
      </c>
      <c r="R28" s="261"/>
      <c r="S28" s="261">
        <v>1.99</v>
      </c>
      <c r="T28" s="261"/>
      <c r="U28" s="261">
        <v>1.99</v>
      </c>
      <c r="V28" s="261"/>
      <c r="W28" s="261" t="s">
        <v>53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 t="s">
        <v>53</v>
      </c>
      <c r="J30" s="261"/>
      <c r="K30" s="261">
        <v>2.0859999999999999</v>
      </c>
      <c r="L30" s="261"/>
      <c r="M30" s="261">
        <v>2.0830000000000002</v>
      </c>
      <c r="N30" s="261"/>
      <c r="O30" s="261">
        <v>2.097</v>
      </c>
      <c r="P30" s="261"/>
      <c r="Q30" s="261" t="s">
        <v>114</v>
      </c>
      <c r="R30" s="261"/>
      <c r="S30" s="261">
        <v>2.0880000000000001</v>
      </c>
      <c r="T30" s="261"/>
      <c r="U30" s="261">
        <v>2.0920000000000001</v>
      </c>
      <c r="V30" s="261"/>
      <c r="W30" s="261" t="s">
        <v>53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 t="s">
        <v>53</v>
      </c>
      <c r="J32" s="214"/>
      <c r="K32" s="214">
        <v>11.01</v>
      </c>
      <c r="L32" s="214"/>
      <c r="M32" s="214">
        <v>11.02</v>
      </c>
      <c r="N32" s="214"/>
      <c r="O32" s="214">
        <v>11.03</v>
      </c>
      <c r="P32" s="214"/>
      <c r="Q32" s="214" t="s">
        <v>114</v>
      </c>
      <c r="R32" s="214"/>
      <c r="S32" s="214">
        <v>11.02</v>
      </c>
      <c r="T32" s="214"/>
      <c r="U32" s="214">
        <v>11.01</v>
      </c>
      <c r="V32" s="214"/>
      <c r="W32" s="214" t="s">
        <v>53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06" t="s">
        <v>87</v>
      </c>
      <c r="E34" s="107"/>
      <c r="F34" s="107"/>
      <c r="G34" s="107"/>
      <c r="H34" s="108"/>
      <c r="I34" s="176" t="s">
        <v>53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114</v>
      </c>
      <c r="R34" s="176"/>
      <c r="S34" s="176" t="s">
        <v>102</v>
      </c>
      <c r="T34" s="176"/>
      <c r="U34" s="176" t="s">
        <v>102</v>
      </c>
      <c r="V34" s="176"/>
      <c r="W34" s="176" t="s">
        <v>53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09" t="s">
        <v>88</v>
      </c>
      <c r="E35" s="110"/>
      <c r="F35" s="110"/>
      <c r="G35" s="110"/>
      <c r="H35" s="111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53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114</v>
      </c>
      <c r="R36" s="176"/>
      <c r="S36" s="176" t="s">
        <v>102</v>
      </c>
      <c r="T36" s="176"/>
      <c r="U36" s="176" t="s">
        <v>102</v>
      </c>
      <c r="V36" s="176"/>
      <c r="W36" s="176" t="s">
        <v>53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09" t="s">
        <v>67</v>
      </c>
      <c r="E37" s="110"/>
      <c r="F37" s="110"/>
      <c r="G37" s="110"/>
      <c r="H37" s="111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06" t="s">
        <v>69</v>
      </c>
      <c r="E38" s="107"/>
      <c r="F38" s="107"/>
      <c r="G38" s="107"/>
      <c r="H38" s="108"/>
      <c r="I38" s="176" t="s">
        <v>53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114</v>
      </c>
      <c r="R38" s="176"/>
      <c r="S38" s="176" t="s">
        <v>103</v>
      </c>
      <c r="T38" s="176"/>
      <c r="U38" s="176" t="s">
        <v>103</v>
      </c>
      <c r="V38" s="176"/>
      <c r="W38" s="176" t="s">
        <v>53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09" t="s">
        <v>70</v>
      </c>
      <c r="E39" s="110"/>
      <c r="F39" s="110"/>
      <c r="G39" s="110"/>
      <c r="H39" s="111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06" t="s">
        <v>71</v>
      </c>
      <c r="E40" s="54"/>
      <c r="F40" s="54"/>
      <c r="G40" s="54"/>
      <c r="H40" s="38"/>
      <c r="I40" s="176" t="s">
        <v>53</v>
      </c>
      <c r="J40" s="176"/>
      <c r="K40" s="176"/>
      <c r="L40" s="176"/>
      <c r="M40" s="176"/>
      <c r="N40" s="176"/>
      <c r="O40" s="176"/>
      <c r="P40" s="176"/>
      <c r="Q40" s="176" t="s">
        <v>114</v>
      </c>
      <c r="R40" s="176"/>
      <c r="S40" s="176"/>
      <c r="T40" s="176"/>
      <c r="U40" s="176"/>
      <c r="V40" s="176"/>
      <c r="W40" s="176" t="s">
        <v>53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09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06" t="s">
        <v>73</v>
      </c>
      <c r="E42" s="113"/>
      <c r="F42" s="117"/>
      <c r="G42" s="52"/>
      <c r="H42" s="44"/>
      <c r="I42" s="176" t="s">
        <v>53</v>
      </c>
      <c r="J42" s="176"/>
      <c r="K42" s="176"/>
      <c r="L42" s="176"/>
      <c r="M42" s="176"/>
      <c r="N42" s="176"/>
      <c r="O42" s="176"/>
      <c r="P42" s="176"/>
      <c r="Q42" s="176" t="s">
        <v>114</v>
      </c>
      <c r="R42" s="176"/>
      <c r="S42" s="176"/>
      <c r="T42" s="176"/>
      <c r="U42" s="176"/>
      <c r="V42" s="176"/>
      <c r="W42" s="176" t="s">
        <v>53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09" t="s">
        <v>74</v>
      </c>
      <c r="E43" s="118"/>
      <c r="F43" s="118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06" t="s">
        <v>75</v>
      </c>
      <c r="E44" s="113"/>
      <c r="F44" s="117"/>
      <c r="G44" s="52"/>
      <c r="H44" s="44"/>
      <c r="I44" s="176" t="s">
        <v>53</v>
      </c>
      <c r="J44" s="176"/>
      <c r="K44" s="176"/>
      <c r="L44" s="176"/>
      <c r="M44" s="176"/>
      <c r="N44" s="176"/>
      <c r="O44" s="176"/>
      <c r="P44" s="176"/>
      <c r="Q44" s="176" t="s">
        <v>114</v>
      </c>
      <c r="R44" s="176"/>
      <c r="S44" s="176"/>
      <c r="T44" s="176"/>
      <c r="U44" s="176"/>
      <c r="V44" s="176"/>
      <c r="W44" s="176" t="s">
        <v>53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09" t="s">
        <v>76</v>
      </c>
      <c r="E45" s="118"/>
      <c r="F45" s="118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06" t="s">
        <v>77</v>
      </c>
      <c r="E46" s="107"/>
      <c r="F46" s="107"/>
      <c r="G46" s="107"/>
      <c r="H46" s="108"/>
      <c r="I46" s="176" t="s">
        <v>53</v>
      </c>
      <c r="J46" s="176"/>
      <c r="K46" s="176"/>
      <c r="L46" s="176"/>
      <c r="M46" s="176"/>
      <c r="N46" s="176"/>
      <c r="O46" s="176"/>
      <c r="P46" s="176"/>
      <c r="Q46" s="176" t="s">
        <v>114</v>
      </c>
      <c r="R46" s="176"/>
      <c r="S46" s="176"/>
      <c r="T46" s="176"/>
      <c r="U46" s="176"/>
      <c r="V46" s="176"/>
      <c r="W46" s="176" t="s">
        <v>53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09" t="s">
        <v>78</v>
      </c>
      <c r="E47" s="110"/>
      <c r="F47" s="110"/>
      <c r="G47" s="110"/>
      <c r="H47" s="111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06" t="s">
        <v>79</v>
      </c>
      <c r="E48" s="107"/>
      <c r="F48" s="107"/>
      <c r="G48" s="107"/>
      <c r="H48" s="108"/>
      <c r="I48" s="176" t="s">
        <v>53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114</v>
      </c>
      <c r="R48" s="176"/>
      <c r="S48" s="176" t="s">
        <v>103</v>
      </c>
      <c r="T48" s="176"/>
      <c r="U48" s="176" t="s">
        <v>103</v>
      </c>
      <c r="V48" s="176"/>
      <c r="W48" s="176" t="s">
        <v>53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09" t="s">
        <v>80</v>
      </c>
      <c r="E49" s="110"/>
      <c r="F49" s="110"/>
      <c r="G49" s="110"/>
      <c r="H49" s="111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 W30:X31">
    <cfRule type="cellIs" dxfId="127" priority="23" operator="greaterThan">
      <formula>$AA$28</formula>
    </cfRule>
    <cfRule type="cellIs" dxfId="126" priority="24" operator="lessThan">
      <formula>$AA$29</formula>
    </cfRule>
  </conditionalFormatting>
  <conditionalFormatting sqref="I32:X33">
    <cfRule type="cellIs" dxfId="125" priority="21" operator="greaterThan">
      <formula>$AA$32</formula>
    </cfRule>
    <cfRule type="cellIs" dxfId="124" priority="22" operator="lessThan">
      <formula>$AA$33</formula>
    </cfRule>
  </conditionalFormatting>
  <conditionalFormatting sqref="I30:X31">
    <cfRule type="cellIs" dxfId="123" priority="19" operator="greaterThan">
      <formula>$AA$30</formula>
    </cfRule>
    <cfRule type="cellIs" dxfId="122" priority="20" operator="lessThan">
      <formula>$AA$31</formula>
    </cfRule>
  </conditionalFormatting>
  <conditionalFormatting sqref="I26:X27">
    <cfRule type="cellIs" dxfId="121" priority="17" operator="greaterThan">
      <formula>$AA$26</formula>
    </cfRule>
    <cfRule type="cellIs" dxfId="120" priority="18" operator="lessThan">
      <formula>$AA$27</formula>
    </cfRule>
  </conditionalFormatting>
  <conditionalFormatting sqref="I28:J29">
    <cfRule type="cellIs" dxfId="119" priority="15" operator="greaterThan">
      <formula>$AA$28</formula>
    </cfRule>
    <cfRule type="cellIs" dxfId="118" priority="16" operator="lessThan">
      <formula>$AA$29</formula>
    </cfRule>
  </conditionalFormatting>
  <conditionalFormatting sqref="I32:J33">
    <cfRule type="cellIs" dxfId="117" priority="13" operator="greaterThan">
      <formula>$AA$32</formula>
    </cfRule>
    <cfRule type="cellIs" dxfId="116" priority="14" operator="lessThan">
      <formula>$AA$33</formula>
    </cfRule>
  </conditionalFormatting>
  <conditionalFormatting sqref="I30:J31">
    <cfRule type="cellIs" dxfId="115" priority="11" operator="greaterThan">
      <formula>$AA$30</formula>
    </cfRule>
    <cfRule type="cellIs" dxfId="114" priority="12" operator="lessThan">
      <formula>$AA$31</formula>
    </cfRule>
  </conditionalFormatting>
  <conditionalFormatting sqref="I26:J27">
    <cfRule type="cellIs" dxfId="113" priority="9" operator="greaterThan">
      <formula>$AA$26</formula>
    </cfRule>
    <cfRule type="cellIs" dxfId="112" priority="10" operator="lessThan">
      <formula>$AA$27</formula>
    </cfRule>
  </conditionalFormatting>
  <conditionalFormatting sqref="W28:X31">
    <cfRule type="cellIs" dxfId="111" priority="7" operator="greaterThan">
      <formula>$AA$28</formula>
    </cfRule>
    <cfRule type="cellIs" dxfId="110" priority="8" operator="lessThan">
      <formula>$AA$29</formula>
    </cfRule>
  </conditionalFormatting>
  <conditionalFormatting sqref="W32:X33">
    <cfRule type="cellIs" dxfId="109" priority="5" operator="greaterThan">
      <formula>$AA$32</formula>
    </cfRule>
    <cfRule type="cellIs" dxfId="108" priority="6" operator="lessThan">
      <formula>$AA$33</formula>
    </cfRule>
  </conditionalFormatting>
  <conditionalFormatting sqref="W30:X31">
    <cfRule type="cellIs" dxfId="107" priority="3" operator="greaterThan">
      <formula>$AA$30</formula>
    </cfRule>
    <cfRule type="cellIs" dxfId="106" priority="4" operator="lessThan">
      <formula>$AA$31</formula>
    </cfRule>
  </conditionalFormatting>
  <conditionalFormatting sqref="W26:X27">
    <cfRule type="cellIs" dxfId="105" priority="1" operator="greaterThan">
      <formula>$AA$26</formula>
    </cfRule>
    <cfRule type="cellIs" dxfId="10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14" t="s">
        <v>2</v>
      </c>
      <c r="E2" s="42"/>
      <c r="F2" s="169" t="s">
        <v>91</v>
      </c>
      <c r="G2" s="169"/>
      <c r="H2" s="169"/>
      <c r="I2" s="169"/>
      <c r="J2" s="169"/>
      <c r="K2" s="170"/>
      <c r="L2" s="114" t="s">
        <v>4</v>
      </c>
      <c r="M2" s="169">
        <v>9</v>
      </c>
      <c r="N2" s="219"/>
      <c r="O2" s="114" t="s">
        <v>6</v>
      </c>
      <c r="P2" s="222" t="s">
        <v>81</v>
      </c>
      <c r="Q2" s="223"/>
      <c r="R2" s="223"/>
      <c r="S2" s="223"/>
      <c r="T2" s="223"/>
      <c r="U2" s="223"/>
      <c r="V2" s="224"/>
      <c r="W2" s="114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15" t="s">
        <v>3</v>
      </c>
      <c r="E3" s="43"/>
      <c r="F3" s="171"/>
      <c r="G3" s="171"/>
      <c r="H3" s="171"/>
      <c r="I3" s="171"/>
      <c r="J3" s="171"/>
      <c r="K3" s="172"/>
      <c r="L3" s="115" t="s">
        <v>5</v>
      </c>
      <c r="M3" s="220"/>
      <c r="N3" s="221"/>
      <c r="O3" s="115" t="s">
        <v>7</v>
      </c>
      <c r="P3" s="225"/>
      <c r="Q3" s="225"/>
      <c r="R3" s="225"/>
      <c r="S3" s="225"/>
      <c r="T3" s="225"/>
      <c r="U3" s="225"/>
      <c r="V3" s="226"/>
      <c r="W3" s="115" t="s">
        <v>8</v>
      </c>
      <c r="X3" s="116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14" t="s">
        <v>9</v>
      </c>
      <c r="P4" s="6"/>
      <c r="Q4" s="227" t="s">
        <v>110</v>
      </c>
      <c r="R4" s="228"/>
      <c r="S4" s="228"/>
      <c r="T4" s="229"/>
      <c r="U4" s="114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15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112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2.1019999999999999</v>
      </c>
      <c r="J26" s="261"/>
      <c r="K26" s="261">
        <v>2.1040000000000001</v>
      </c>
      <c r="L26" s="261"/>
      <c r="M26" s="261">
        <v>2.1</v>
      </c>
      <c r="N26" s="261"/>
      <c r="O26" s="261">
        <v>2.1040000000000001</v>
      </c>
      <c r="P26" s="261"/>
      <c r="Q26" s="261">
        <v>2.1059999999999999</v>
      </c>
      <c r="R26" s="261"/>
      <c r="S26" s="261">
        <v>2.1030000000000002</v>
      </c>
      <c r="T26" s="261"/>
      <c r="U26" s="261">
        <v>2.101</v>
      </c>
      <c r="V26" s="261"/>
      <c r="W26" s="261">
        <v>2.1059999999999999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2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2.081</v>
      </c>
      <c r="J30" s="261"/>
      <c r="K30" s="261">
        <v>2.0920000000000001</v>
      </c>
      <c r="L30" s="261"/>
      <c r="M30" s="261">
        <v>2.0870000000000002</v>
      </c>
      <c r="N30" s="261"/>
      <c r="O30" s="261">
        <v>2.0840000000000001</v>
      </c>
      <c r="P30" s="261"/>
      <c r="Q30" s="261">
        <v>2.101</v>
      </c>
      <c r="R30" s="261"/>
      <c r="S30" s="261">
        <v>2.101</v>
      </c>
      <c r="T30" s="261"/>
      <c r="U30" s="261">
        <v>2.0819999999999999</v>
      </c>
      <c r="V30" s="261"/>
      <c r="W30" s="261">
        <v>2.0960000000000001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11.01</v>
      </c>
      <c r="J32" s="214"/>
      <c r="K32" s="214">
        <v>11</v>
      </c>
      <c r="L32" s="214"/>
      <c r="M32" s="214">
        <v>11.01</v>
      </c>
      <c r="N32" s="214"/>
      <c r="O32" s="214">
        <v>11.03</v>
      </c>
      <c r="P32" s="214"/>
      <c r="Q32" s="214">
        <v>11.03</v>
      </c>
      <c r="R32" s="214"/>
      <c r="S32" s="214">
        <v>11.03</v>
      </c>
      <c r="T32" s="214"/>
      <c r="U32" s="214">
        <v>11.02</v>
      </c>
      <c r="V32" s="214"/>
      <c r="W32" s="214">
        <v>11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06" t="s">
        <v>87</v>
      </c>
      <c r="E34" s="107"/>
      <c r="F34" s="107"/>
      <c r="G34" s="107"/>
      <c r="H34" s="108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09" t="s">
        <v>88</v>
      </c>
      <c r="E35" s="110"/>
      <c r="F35" s="110"/>
      <c r="G35" s="110"/>
      <c r="H35" s="111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09" t="s">
        <v>67</v>
      </c>
      <c r="E37" s="110"/>
      <c r="F37" s="110"/>
      <c r="G37" s="110"/>
      <c r="H37" s="111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06" t="s">
        <v>69</v>
      </c>
      <c r="E38" s="107"/>
      <c r="F38" s="107"/>
      <c r="G38" s="107"/>
      <c r="H38" s="108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09" t="s">
        <v>70</v>
      </c>
      <c r="E39" s="110"/>
      <c r="F39" s="110"/>
      <c r="G39" s="110"/>
      <c r="H39" s="111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06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09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06" t="s">
        <v>73</v>
      </c>
      <c r="E42" s="113"/>
      <c r="F42" s="117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09" t="s">
        <v>74</v>
      </c>
      <c r="E43" s="118"/>
      <c r="F43" s="118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06" t="s">
        <v>75</v>
      </c>
      <c r="E44" s="113"/>
      <c r="F44" s="117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09" t="s">
        <v>76</v>
      </c>
      <c r="E45" s="118"/>
      <c r="F45" s="118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06" t="s">
        <v>77</v>
      </c>
      <c r="E46" s="107"/>
      <c r="F46" s="107"/>
      <c r="G46" s="107"/>
      <c r="H46" s="108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09" t="s">
        <v>78</v>
      </c>
      <c r="E47" s="110"/>
      <c r="F47" s="110"/>
      <c r="G47" s="110"/>
      <c r="H47" s="111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06" t="s">
        <v>79</v>
      </c>
      <c r="E48" s="107"/>
      <c r="F48" s="107"/>
      <c r="G48" s="107"/>
      <c r="H48" s="108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09" t="s">
        <v>80</v>
      </c>
      <c r="E49" s="110"/>
      <c r="F49" s="110"/>
      <c r="G49" s="110"/>
      <c r="H49" s="111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103" priority="7" operator="greaterThan">
      <formula>$AA$28</formula>
    </cfRule>
    <cfRule type="cellIs" dxfId="102" priority="8" operator="lessThan">
      <formula>$AA$29</formula>
    </cfRule>
  </conditionalFormatting>
  <conditionalFormatting sqref="I32:X33">
    <cfRule type="cellIs" dxfId="101" priority="5" operator="greaterThan">
      <formula>$AA$32</formula>
    </cfRule>
    <cfRule type="cellIs" dxfId="100" priority="6" operator="lessThan">
      <formula>$AA$33</formula>
    </cfRule>
  </conditionalFormatting>
  <conditionalFormatting sqref="I30:X31">
    <cfRule type="cellIs" dxfId="99" priority="3" operator="greaterThan">
      <formula>$AA$30</formula>
    </cfRule>
    <cfRule type="cellIs" dxfId="98" priority="4" operator="lessThan">
      <formula>$AA$31</formula>
    </cfRule>
  </conditionalFormatting>
  <conditionalFormatting sqref="I26:X27">
    <cfRule type="cellIs" dxfId="97" priority="1" operator="greaterThan">
      <formula>$AA$26</formula>
    </cfRule>
    <cfRule type="cellIs" dxfId="96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29" t="s">
        <v>2</v>
      </c>
      <c r="E2" s="42"/>
      <c r="F2" s="169" t="s">
        <v>91</v>
      </c>
      <c r="G2" s="169"/>
      <c r="H2" s="169"/>
      <c r="I2" s="169"/>
      <c r="J2" s="169"/>
      <c r="K2" s="170"/>
      <c r="L2" s="129" t="s">
        <v>4</v>
      </c>
      <c r="M2" s="169">
        <v>9</v>
      </c>
      <c r="N2" s="219"/>
      <c r="O2" s="129" t="s">
        <v>6</v>
      </c>
      <c r="P2" s="222" t="s">
        <v>81</v>
      </c>
      <c r="Q2" s="223"/>
      <c r="R2" s="223"/>
      <c r="S2" s="223"/>
      <c r="T2" s="223"/>
      <c r="U2" s="223"/>
      <c r="V2" s="224"/>
      <c r="W2" s="129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30" t="s">
        <v>3</v>
      </c>
      <c r="E3" s="43"/>
      <c r="F3" s="171"/>
      <c r="G3" s="171"/>
      <c r="H3" s="171"/>
      <c r="I3" s="171"/>
      <c r="J3" s="171"/>
      <c r="K3" s="172"/>
      <c r="L3" s="130" t="s">
        <v>5</v>
      </c>
      <c r="M3" s="220"/>
      <c r="N3" s="221"/>
      <c r="O3" s="130" t="s">
        <v>7</v>
      </c>
      <c r="P3" s="225"/>
      <c r="Q3" s="225"/>
      <c r="R3" s="225"/>
      <c r="S3" s="225"/>
      <c r="T3" s="225"/>
      <c r="U3" s="225"/>
      <c r="V3" s="22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227" t="s">
        <v>113</v>
      </c>
      <c r="R4" s="228"/>
      <c r="S4" s="228"/>
      <c r="T4" s="229"/>
      <c r="U4" s="129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30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131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 t="s">
        <v>53</v>
      </c>
      <c r="J26" s="261"/>
      <c r="K26" s="261">
        <v>2.0939999999999999</v>
      </c>
      <c r="L26" s="261"/>
      <c r="M26" s="261">
        <v>2.0979999999999999</v>
      </c>
      <c r="N26" s="261"/>
      <c r="O26" s="261">
        <v>2.0960000000000001</v>
      </c>
      <c r="P26" s="261"/>
      <c r="Q26" s="261" t="s">
        <v>114</v>
      </c>
      <c r="R26" s="261"/>
      <c r="S26" s="261">
        <v>2.0950000000000002</v>
      </c>
      <c r="T26" s="261"/>
      <c r="U26" s="261">
        <v>2.0939999999999999</v>
      </c>
      <c r="V26" s="261"/>
      <c r="W26" s="261" t="s">
        <v>53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 t="s">
        <v>53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 t="s">
        <v>114</v>
      </c>
      <c r="R28" s="261"/>
      <c r="S28" s="261">
        <v>1.99</v>
      </c>
      <c r="T28" s="261"/>
      <c r="U28" s="261">
        <v>1.99</v>
      </c>
      <c r="V28" s="261"/>
      <c r="W28" s="261" t="s">
        <v>53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 t="s">
        <v>53</v>
      </c>
      <c r="J30" s="261"/>
      <c r="K30" s="261">
        <v>2.085</v>
      </c>
      <c r="L30" s="261"/>
      <c r="M30" s="261">
        <v>2.0790000000000002</v>
      </c>
      <c r="N30" s="261"/>
      <c r="O30" s="261">
        <v>2.09</v>
      </c>
      <c r="P30" s="261"/>
      <c r="Q30" s="261" t="s">
        <v>114</v>
      </c>
      <c r="R30" s="261"/>
      <c r="S30" s="261">
        <v>2.0819999999999999</v>
      </c>
      <c r="T30" s="261"/>
      <c r="U30" s="261">
        <v>2.0910000000000002</v>
      </c>
      <c r="V30" s="261"/>
      <c r="W30" s="261" t="s">
        <v>53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 t="s">
        <v>53</v>
      </c>
      <c r="J32" s="214"/>
      <c r="K32" s="214">
        <v>11</v>
      </c>
      <c r="L32" s="214"/>
      <c r="M32" s="214">
        <v>11</v>
      </c>
      <c r="N32" s="214"/>
      <c r="O32" s="214">
        <v>11.01</v>
      </c>
      <c r="P32" s="214"/>
      <c r="Q32" s="214" t="s">
        <v>114</v>
      </c>
      <c r="R32" s="214"/>
      <c r="S32" s="214">
        <v>11.01</v>
      </c>
      <c r="T32" s="214"/>
      <c r="U32" s="214">
        <v>11</v>
      </c>
      <c r="V32" s="214"/>
      <c r="W32" s="214" t="s">
        <v>53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23" t="s">
        <v>87</v>
      </c>
      <c r="E34" s="124"/>
      <c r="F34" s="124"/>
      <c r="G34" s="124"/>
      <c r="H34" s="125"/>
      <c r="I34" s="176" t="s">
        <v>53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114</v>
      </c>
      <c r="R34" s="176"/>
      <c r="S34" s="176" t="s">
        <v>102</v>
      </c>
      <c r="T34" s="176"/>
      <c r="U34" s="176" t="s">
        <v>102</v>
      </c>
      <c r="V34" s="176"/>
      <c r="W34" s="176" t="s">
        <v>53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26" t="s">
        <v>88</v>
      </c>
      <c r="E35" s="127"/>
      <c r="F35" s="127"/>
      <c r="G35" s="127"/>
      <c r="H35" s="128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53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114</v>
      </c>
      <c r="R36" s="176"/>
      <c r="S36" s="176" t="s">
        <v>102</v>
      </c>
      <c r="T36" s="176"/>
      <c r="U36" s="176" t="s">
        <v>102</v>
      </c>
      <c r="V36" s="176"/>
      <c r="W36" s="176" t="s">
        <v>53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26" t="s">
        <v>67</v>
      </c>
      <c r="E37" s="127"/>
      <c r="F37" s="127"/>
      <c r="G37" s="127"/>
      <c r="H37" s="128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23" t="s">
        <v>69</v>
      </c>
      <c r="E38" s="124"/>
      <c r="F38" s="124"/>
      <c r="G38" s="124"/>
      <c r="H38" s="125"/>
      <c r="I38" s="176" t="s">
        <v>53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114</v>
      </c>
      <c r="R38" s="176"/>
      <c r="S38" s="176" t="s">
        <v>103</v>
      </c>
      <c r="T38" s="176"/>
      <c r="U38" s="176" t="s">
        <v>103</v>
      </c>
      <c r="V38" s="176"/>
      <c r="W38" s="176" t="s">
        <v>53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26" t="s">
        <v>70</v>
      </c>
      <c r="E39" s="127"/>
      <c r="F39" s="127"/>
      <c r="G39" s="127"/>
      <c r="H39" s="128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23" t="s">
        <v>71</v>
      </c>
      <c r="E40" s="54"/>
      <c r="F40" s="54"/>
      <c r="G40" s="54"/>
      <c r="H40" s="38"/>
      <c r="I40" s="176" t="s">
        <v>53</v>
      </c>
      <c r="J40" s="176"/>
      <c r="K40" s="176"/>
      <c r="L40" s="176"/>
      <c r="M40" s="176"/>
      <c r="N40" s="176"/>
      <c r="O40" s="176"/>
      <c r="P40" s="176"/>
      <c r="Q40" s="176" t="s">
        <v>114</v>
      </c>
      <c r="R40" s="176"/>
      <c r="S40" s="176"/>
      <c r="T40" s="176"/>
      <c r="U40" s="176"/>
      <c r="V40" s="176"/>
      <c r="W40" s="176" t="s">
        <v>53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26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23" t="s">
        <v>73</v>
      </c>
      <c r="E42" s="120"/>
      <c r="F42" s="121"/>
      <c r="G42" s="52"/>
      <c r="H42" s="44"/>
      <c r="I42" s="176" t="s">
        <v>53</v>
      </c>
      <c r="J42" s="176"/>
      <c r="K42" s="176"/>
      <c r="L42" s="176"/>
      <c r="M42" s="176"/>
      <c r="N42" s="176"/>
      <c r="O42" s="176"/>
      <c r="P42" s="176"/>
      <c r="Q42" s="176" t="s">
        <v>114</v>
      </c>
      <c r="R42" s="176"/>
      <c r="S42" s="176"/>
      <c r="T42" s="176"/>
      <c r="U42" s="176"/>
      <c r="V42" s="176"/>
      <c r="W42" s="176" t="s">
        <v>53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26" t="s">
        <v>74</v>
      </c>
      <c r="E43" s="122"/>
      <c r="F43" s="122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23" t="s">
        <v>75</v>
      </c>
      <c r="E44" s="120"/>
      <c r="F44" s="121"/>
      <c r="G44" s="52"/>
      <c r="H44" s="44"/>
      <c r="I44" s="176" t="s">
        <v>53</v>
      </c>
      <c r="J44" s="176"/>
      <c r="K44" s="176"/>
      <c r="L44" s="176"/>
      <c r="M44" s="176"/>
      <c r="N44" s="176"/>
      <c r="O44" s="176"/>
      <c r="P44" s="176"/>
      <c r="Q44" s="176" t="s">
        <v>114</v>
      </c>
      <c r="R44" s="176"/>
      <c r="S44" s="176"/>
      <c r="T44" s="176"/>
      <c r="U44" s="176"/>
      <c r="V44" s="176"/>
      <c r="W44" s="176" t="s">
        <v>53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26" t="s">
        <v>76</v>
      </c>
      <c r="E45" s="122"/>
      <c r="F45" s="122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23" t="s">
        <v>77</v>
      </c>
      <c r="E46" s="124"/>
      <c r="F46" s="124"/>
      <c r="G46" s="124"/>
      <c r="H46" s="125"/>
      <c r="I46" s="176" t="s">
        <v>53</v>
      </c>
      <c r="J46" s="176"/>
      <c r="K46" s="176"/>
      <c r="L46" s="176"/>
      <c r="M46" s="176"/>
      <c r="N46" s="176"/>
      <c r="O46" s="176"/>
      <c r="P46" s="176"/>
      <c r="Q46" s="176" t="s">
        <v>114</v>
      </c>
      <c r="R46" s="176"/>
      <c r="S46" s="176"/>
      <c r="T46" s="176"/>
      <c r="U46" s="176"/>
      <c r="V46" s="176"/>
      <c r="W46" s="176" t="s">
        <v>53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26" t="s">
        <v>78</v>
      </c>
      <c r="E47" s="127"/>
      <c r="F47" s="127"/>
      <c r="G47" s="127"/>
      <c r="H47" s="128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23" t="s">
        <v>79</v>
      </c>
      <c r="E48" s="124"/>
      <c r="F48" s="124"/>
      <c r="G48" s="124"/>
      <c r="H48" s="125"/>
      <c r="I48" s="176" t="s">
        <v>53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114</v>
      </c>
      <c r="R48" s="176"/>
      <c r="S48" s="176" t="s">
        <v>103</v>
      </c>
      <c r="T48" s="176"/>
      <c r="U48" s="176" t="s">
        <v>103</v>
      </c>
      <c r="V48" s="176"/>
      <c r="W48" s="176" t="s">
        <v>53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26" t="s">
        <v>80</v>
      </c>
      <c r="E49" s="127"/>
      <c r="F49" s="127"/>
      <c r="G49" s="127"/>
      <c r="H49" s="128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">
    <cfRule type="cellIs" dxfId="95" priority="23" operator="greaterThan">
      <formula>$AA$28</formula>
    </cfRule>
    <cfRule type="cellIs" dxfId="94" priority="24" operator="lessThan">
      <formula>$AA$29</formula>
    </cfRule>
  </conditionalFormatting>
  <conditionalFormatting sqref="I32:X33">
    <cfRule type="cellIs" dxfId="93" priority="21" operator="greaterThan">
      <formula>$AA$32</formula>
    </cfRule>
    <cfRule type="cellIs" dxfId="92" priority="22" operator="lessThan">
      <formula>$AA$33</formula>
    </cfRule>
  </conditionalFormatting>
  <conditionalFormatting sqref="I30:X31">
    <cfRule type="cellIs" dxfId="91" priority="19" operator="greaterThan">
      <formula>$AA$30</formula>
    </cfRule>
    <cfRule type="cellIs" dxfId="90" priority="20" operator="lessThan">
      <formula>$AA$31</formula>
    </cfRule>
  </conditionalFormatting>
  <conditionalFormatting sqref="I26:X27">
    <cfRule type="cellIs" dxfId="89" priority="17" operator="greaterThan">
      <formula>$AA$26</formula>
    </cfRule>
    <cfRule type="cellIs" dxfId="88" priority="18" operator="lessThan">
      <formula>$AA$27</formula>
    </cfRule>
  </conditionalFormatting>
  <conditionalFormatting sqref="I28:J29">
    <cfRule type="cellIs" dxfId="87" priority="15" operator="greaterThan">
      <formula>$AA$28</formula>
    </cfRule>
    <cfRule type="cellIs" dxfId="86" priority="16" operator="lessThan">
      <formula>$AA$29</formula>
    </cfRule>
  </conditionalFormatting>
  <conditionalFormatting sqref="I32:J33">
    <cfRule type="cellIs" dxfId="85" priority="13" operator="greaterThan">
      <formula>$AA$32</formula>
    </cfRule>
    <cfRule type="cellIs" dxfId="84" priority="14" operator="lessThan">
      <formula>$AA$33</formula>
    </cfRule>
  </conditionalFormatting>
  <conditionalFormatting sqref="I30:J31">
    <cfRule type="cellIs" dxfId="83" priority="11" operator="greaterThan">
      <formula>$AA$30</formula>
    </cfRule>
    <cfRule type="cellIs" dxfId="82" priority="12" operator="lessThan">
      <formula>$AA$31</formula>
    </cfRule>
  </conditionalFormatting>
  <conditionalFormatting sqref="I26:J27">
    <cfRule type="cellIs" dxfId="81" priority="9" operator="greaterThan">
      <formula>$AA$26</formula>
    </cfRule>
    <cfRule type="cellIs" dxfId="80" priority="10" operator="lessThan">
      <formula>$AA$27</formula>
    </cfRule>
  </conditionalFormatting>
  <conditionalFormatting sqref="W28:X31">
    <cfRule type="cellIs" dxfId="79" priority="7" operator="greaterThan">
      <formula>$AA$28</formula>
    </cfRule>
    <cfRule type="cellIs" dxfId="78" priority="8" operator="lessThan">
      <formula>$AA$29</formula>
    </cfRule>
  </conditionalFormatting>
  <conditionalFormatting sqref="W32:X33">
    <cfRule type="cellIs" dxfId="77" priority="5" operator="greaterThan">
      <formula>$AA$32</formula>
    </cfRule>
    <cfRule type="cellIs" dxfId="76" priority="6" operator="lessThan">
      <formula>$AA$33</formula>
    </cfRule>
  </conditionalFormatting>
  <conditionalFormatting sqref="W30:X31">
    <cfRule type="cellIs" dxfId="75" priority="3" operator="greaterThan">
      <formula>$AA$30</formula>
    </cfRule>
    <cfRule type="cellIs" dxfId="74" priority="4" operator="lessThan">
      <formula>$AA$31</formula>
    </cfRule>
  </conditionalFormatting>
  <conditionalFormatting sqref="W26:X27">
    <cfRule type="cellIs" dxfId="73" priority="1" operator="greaterThan">
      <formula>$AA$26</formula>
    </cfRule>
    <cfRule type="cellIs" dxfId="7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29" t="s">
        <v>2</v>
      </c>
      <c r="E2" s="42"/>
      <c r="F2" s="169" t="s">
        <v>91</v>
      </c>
      <c r="G2" s="169"/>
      <c r="H2" s="169"/>
      <c r="I2" s="169"/>
      <c r="J2" s="169"/>
      <c r="K2" s="170"/>
      <c r="L2" s="129" t="s">
        <v>4</v>
      </c>
      <c r="M2" s="169">
        <v>9</v>
      </c>
      <c r="N2" s="219"/>
      <c r="O2" s="129" t="s">
        <v>6</v>
      </c>
      <c r="P2" s="222" t="s">
        <v>81</v>
      </c>
      <c r="Q2" s="223"/>
      <c r="R2" s="223"/>
      <c r="S2" s="223"/>
      <c r="T2" s="223"/>
      <c r="U2" s="223"/>
      <c r="V2" s="224"/>
      <c r="W2" s="129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30" t="s">
        <v>3</v>
      </c>
      <c r="E3" s="43"/>
      <c r="F3" s="171"/>
      <c r="G3" s="171"/>
      <c r="H3" s="171"/>
      <c r="I3" s="171"/>
      <c r="J3" s="171"/>
      <c r="K3" s="172"/>
      <c r="L3" s="130" t="s">
        <v>5</v>
      </c>
      <c r="M3" s="220"/>
      <c r="N3" s="221"/>
      <c r="O3" s="130" t="s">
        <v>7</v>
      </c>
      <c r="P3" s="225"/>
      <c r="Q3" s="225"/>
      <c r="R3" s="225"/>
      <c r="S3" s="225"/>
      <c r="T3" s="225"/>
      <c r="U3" s="225"/>
      <c r="V3" s="226"/>
      <c r="W3" s="130" t="s">
        <v>8</v>
      </c>
      <c r="X3" s="119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29" t="s">
        <v>9</v>
      </c>
      <c r="P4" s="6"/>
      <c r="Q4" s="227" t="s">
        <v>112</v>
      </c>
      <c r="R4" s="228"/>
      <c r="S4" s="228"/>
      <c r="T4" s="229"/>
      <c r="U4" s="129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30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131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2.0939999999999999</v>
      </c>
      <c r="J26" s="261"/>
      <c r="K26" s="261">
        <v>2.0979999999999999</v>
      </c>
      <c r="L26" s="261"/>
      <c r="M26" s="261">
        <v>2.0950000000000002</v>
      </c>
      <c r="N26" s="261"/>
      <c r="O26" s="261">
        <v>2.1019999999999999</v>
      </c>
      <c r="P26" s="261"/>
      <c r="Q26" s="261">
        <v>2.1019999999999999</v>
      </c>
      <c r="R26" s="261"/>
      <c r="S26" s="261">
        <v>2.097</v>
      </c>
      <c r="T26" s="261"/>
      <c r="U26" s="261">
        <v>2.0950000000000002</v>
      </c>
      <c r="V26" s="261"/>
      <c r="W26" s="261">
        <v>2.0950000000000002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1.99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2.0840000000000001</v>
      </c>
      <c r="J30" s="261"/>
      <c r="K30" s="261">
        <v>2.0910000000000002</v>
      </c>
      <c r="L30" s="261"/>
      <c r="M30" s="261">
        <v>2.0859999999999999</v>
      </c>
      <c r="N30" s="261"/>
      <c r="O30" s="261">
        <v>2.0910000000000002</v>
      </c>
      <c r="P30" s="261"/>
      <c r="Q30" s="261">
        <v>2.0950000000000002</v>
      </c>
      <c r="R30" s="261"/>
      <c r="S30" s="261">
        <v>2.0939999999999999</v>
      </c>
      <c r="T30" s="261"/>
      <c r="U30" s="261">
        <v>2.0830000000000002</v>
      </c>
      <c r="V30" s="261"/>
      <c r="W30" s="261">
        <v>2.0920000000000001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11.02</v>
      </c>
      <c r="J32" s="214"/>
      <c r="K32" s="214">
        <v>11</v>
      </c>
      <c r="L32" s="214"/>
      <c r="M32" s="214">
        <v>11.01</v>
      </c>
      <c r="N32" s="214"/>
      <c r="O32" s="214">
        <v>11.01</v>
      </c>
      <c r="P32" s="214"/>
      <c r="Q32" s="214">
        <v>11</v>
      </c>
      <c r="R32" s="214"/>
      <c r="S32" s="214">
        <v>11.01</v>
      </c>
      <c r="T32" s="214"/>
      <c r="U32" s="214">
        <v>11.01</v>
      </c>
      <c r="V32" s="214"/>
      <c r="W32" s="214">
        <v>11.02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23" t="s">
        <v>87</v>
      </c>
      <c r="E34" s="124"/>
      <c r="F34" s="124"/>
      <c r="G34" s="124"/>
      <c r="H34" s="125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26" t="s">
        <v>88</v>
      </c>
      <c r="E35" s="127"/>
      <c r="F35" s="127"/>
      <c r="G35" s="127"/>
      <c r="H35" s="128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26" t="s">
        <v>67</v>
      </c>
      <c r="E37" s="127"/>
      <c r="F37" s="127"/>
      <c r="G37" s="127"/>
      <c r="H37" s="128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23" t="s">
        <v>69</v>
      </c>
      <c r="E38" s="124"/>
      <c r="F38" s="124"/>
      <c r="G38" s="124"/>
      <c r="H38" s="125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26" t="s">
        <v>70</v>
      </c>
      <c r="E39" s="127"/>
      <c r="F39" s="127"/>
      <c r="G39" s="127"/>
      <c r="H39" s="128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23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26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23" t="s">
        <v>73</v>
      </c>
      <c r="E42" s="120"/>
      <c r="F42" s="121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26" t="s">
        <v>74</v>
      </c>
      <c r="E43" s="122"/>
      <c r="F43" s="122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23" t="s">
        <v>75</v>
      </c>
      <c r="E44" s="120"/>
      <c r="F44" s="121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26" t="s">
        <v>76</v>
      </c>
      <c r="E45" s="122"/>
      <c r="F45" s="122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23" t="s">
        <v>77</v>
      </c>
      <c r="E46" s="124"/>
      <c r="F46" s="124"/>
      <c r="G46" s="124"/>
      <c r="H46" s="125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26" t="s">
        <v>78</v>
      </c>
      <c r="E47" s="127"/>
      <c r="F47" s="127"/>
      <c r="G47" s="127"/>
      <c r="H47" s="128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23" t="s">
        <v>79</v>
      </c>
      <c r="E48" s="124"/>
      <c r="F48" s="124"/>
      <c r="G48" s="124"/>
      <c r="H48" s="125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26" t="s">
        <v>80</v>
      </c>
      <c r="E49" s="127"/>
      <c r="F49" s="127"/>
      <c r="G49" s="127"/>
      <c r="H49" s="128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71" priority="7" operator="greaterThan">
      <formula>$AA$28</formula>
    </cfRule>
    <cfRule type="cellIs" dxfId="70" priority="8" operator="lessThan">
      <formula>$AA$29</formula>
    </cfRule>
  </conditionalFormatting>
  <conditionalFormatting sqref="I32:X33">
    <cfRule type="cellIs" dxfId="69" priority="5" operator="greaterThan">
      <formula>$AA$32</formula>
    </cfRule>
    <cfRule type="cellIs" dxfId="68" priority="6" operator="lessThan">
      <formula>$AA$33</formula>
    </cfRule>
  </conditionalFormatting>
  <conditionalFormatting sqref="I30:X31">
    <cfRule type="cellIs" dxfId="67" priority="3" operator="greaterThan">
      <formula>$AA$30</formula>
    </cfRule>
    <cfRule type="cellIs" dxfId="66" priority="4" operator="lessThan">
      <formula>$AA$31</formula>
    </cfRule>
  </conditionalFormatting>
  <conditionalFormatting sqref="I26:X27">
    <cfRule type="cellIs" dxfId="65" priority="1" operator="greaterThan">
      <formula>$AA$26</formula>
    </cfRule>
    <cfRule type="cellIs" dxfId="64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42" t="s">
        <v>2</v>
      </c>
      <c r="E2" s="42"/>
      <c r="F2" s="169" t="s">
        <v>91</v>
      </c>
      <c r="G2" s="169"/>
      <c r="H2" s="169"/>
      <c r="I2" s="169"/>
      <c r="J2" s="169"/>
      <c r="K2" s="170"/>
      <c r="L2" s="142" t="s">
        <v>4</v>
      </c>
      <c r="M2" s="169">
        <v>9</v>
      </c>
      <c r="N2" s="219"/>
      <c r="O2" s="142" t="s">
        <v>6</v>
      </c>
      <c r="P2" s="222" t="s">
        <v>81</v>
      </c>
      <c r="Q2" s="223"/>
      <c r="R2" s="223"/>
      <c r="S2" s="223"/>
      <c r="T2" s="223"/>
      <c r="U2" s="223"/>
      <c r="V2" s="224"/>
      <c r="W2" s="142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43" t="s">
        <v>3</v>
      </c>
      <c r="E3" s="43"/>
      <c r="F3" s="171"/>
      <c r="G3" s="171"/>
      <c r="H3" s="171"/>
      <c r="I3" s="171"/>
      <c r="J3" s="171"/>
      <c r="K3" s="172"/>
      <c r="L3" s="143" t="s">
        <v>5</v>
      </c>
      <c r="M3" s="220"/>
      <c r="N3" s="221"/>
      <c r="O3" s="143" t="s">
        <v>7</v>
      </c>
      <c r="P3" s="225"/>
      <c r="Q3" s="225"/>
      <c r="R3" s="225"/>
      <c r="S3" s="225"/>
      <c r="T3" s="225"/>
      <c r="U3" s="225"/>
      <c r="V3" s="22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227" t="s">
        <v>116</v>
      </c>
      <c r="R4" s="228"/>
      <c r="S4" s="228"/>
      <c r="T4" s="229"/>
      <c r="U4" s="142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43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144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 t="s">
        <v>53</v>
      </c>
      <c r="J26" s="261"/>
      <c r="K26" s="261">
        <v>2.0939999999999999</v>
      </c>
      <c r="L26" s="261"/>
      <c r="M26" s="261">
        <v>2.0979999999999999</v>
      </c>
      <c r="N26" s="261"/>
      <c r="O26" s="261">
        <v>2.0979999999999999</v>
      </c>
      <c r="P26" s="261"/>
      <c r="Q26" s="261" t="s">
        <v>114</v>
      </c>
      <c r="R26" s="261"/>
      <c r="S26" s="261">
        <v>2.0950000000000002</v>
      </c>
      <c r="T26" s="261"/>
      <c r="U26" s="261">
        <v>2.0939999999999999</v>
      </c>
      <c r="V26" s="261"/>
      <c r="W26" s="261" t="s">
        <v>53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 t="s">
        <v>53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 t="s">
        <v>114</v>
      </c>
      <c r="R28" s="261"/>
      <c r="S28" s="261">
        <v>1.99</v>
      </c>
      <c r="T28" s="261"/>
      <c r="U28" s="261">
        <v>1.99</v>
      </c>
      <c r="V28" s="261"/>
      <c r="W28" s="261" t="s">
        <v>53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 t="s">
        <v>53</v>
      </c>
      <c r="J30" s="261"/>
      <c r="K30" s="261">
        <v>2.085</v>
      </c>
      <c r="L30" s="261"/>
      <c r="M30" s="261">
        <v>2.0859999999999999</v>
      </c>
      <c r="N30" s="261"/>
      <c r="O30" s="261">
        <v>2.0880000000000001</v>
      </c>
      <c r="P30" s="261"/>
      <c r="Q30" s="261" t="s">
        <v>114</v>
      </c>
      <c r="R30" s="261"/>
      <c r="S30" s="261">
        <v>2.0859999999999999</v>
      </c>
      <c r="T30" s="261"/>
      <c r="U30" s="261">
        <v>2.085</v>
      </c>
      <c r="V30" s="261"/>
      <c r="W30" s="261" t="s">
        <v>53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 t="s">
        <v>53</v>
      </c>
      <c r="J32" s="214"/>
      <c r="K32" s="214">
        <v>11</v>
      </c>
      <c r="L32" s="214"/>
      <c r="M32" s="214">
        <v>11</v>
      </c>
      <c r="N32" s="214"/>
      <c r="O32" s="214">
        <v>11.02</v>
      </c>
      <c r="P32" s="214"/>
      <c r="Q32" s="214" t="s">
        <v>114</v>
      </c>
      <c r="R32" s="214"/>
      <c r="S32" s="214">
        <v>11.01</v>
      </c>
      <c r="T32" s="214"/>
      <c r="U32" s="214">
        <v>11</v>
      </c>
      <c r="V32" s="214"/>
      <c r="W32" s="214" t="s">
        <v>53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36" t="s">
        <v>87</v>
      </c>
      <c r="E34" s="137"/>
      <c r="F34" s="137"/>
      <c r="G34" s="137"/>
      <c r="H34" s="138"/>
      <c r="I34" s="176" t="s">
        <v>53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114</v>
      </c>
      <c r="R34" s="176"/>
      <c r="S34" s="176" t="s">
        <v>102</v>
      </c>
      <c r="T34" s="176"/>
      <c r="U34" s="176" t="s">
        <v>102</v>
      </c>
      <c r="V34" s="176"/>
      <c r="W34" s="176" t="s">
        <v>53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39" t="s">
        <v>88</v>
      </c>
      <c r="E35" s="140"/>
      <c r="F35" s="140"/>
      <c r="G35" s="140"/>
      <c r="H35" s="141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53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114</v>
      </c>
      <c r="R36" s="176"/>
      <c r="S36" s="176" t="s">
        <v>102</v>
      </c>
      <c r="T36" s="176"/>
      <c r="U36" s="176" t="s">
        <v>102</v>
      </c>
      <c r="V36" s="176"/>
      <c r="W36" s="176" t="s">
        <v>53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39" t="s">
        <v>67</v>
      </c>
      <c r="E37" s="140"/>
      <c r="F37" s="140"/>
      <c r="G37" s="140"/>
      <c r="H37" s="141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36" t="s">
        <v>69</v>
      </c>
      <c r="E38" s="137"/>
      <c r="F38" s="137"/>
      <c r="G38" s="137"/>
      <c r="H38" s="138"/>
      <c r="I38" s="176" t="s">
        <v>53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114</v>
      </c>
      <c r="R38" s="176"/>
      <c r="S38" s="176" t="s">
        <v>103</v>
      </c>
      <c r="T38" s="176"/>
      <c r="U38" s="176" t="s">
        <v>103</v>
      </c>
      <c r="V38" s="176"/>
      <c r="W38" s="176" t="s">
        <v>53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39" t="s">
        <v>70</v>
      </c>
      <c r="E39" s="140"/>
      <c r="F39" s="140"/>
      <c r="G39" s="140"/>
      <c r="H39" s="141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36" t="s">
        <v>71</v>
      </c>
      <c r="E40" s="54"/>
      <c r="F40" s="54"/>
      <c r="G40" s="54"/>
      <c r="H40" s="38"/>
      <c r="I40" s="176" t="s">
        <v>53</v>
      </c>
      <c r="J40" s="176"/>
      <c r="K40" s="176"/>
      <c r="L40" s="176"/>
      <c r="M40" s="176"/>
      <c r="N40" s="176"/>
      <c r="O40" s="176"/>
      <c r="P40" s="176"/>
      <c r="Q40" s="176" t="s">
        <v>114</v>
      </c>
      <c r="R40" s="176"/>
      <c r="S40" s="176"/>
      <c r="T40" s="176"/>
      <c r="U40" s="176"/>
      <c r="V40" s="176"/>
      <c r="W40" s="176" t="s">
        <v>53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39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36" t="s">
        <v>73</v>
      </c>
      <c r="E42" s="133"/>
      <c r="F42" s="134"/>
      <c r="G42" s="52"/>
      <c r="H42" s="44"/>
      <c r="I42" s="176" t="s">
        <v>53</v>
      </c>
      <c r="J42" s="176"/>
      <c r="K42" s="176"/>
      <c r="L42" s="176"/>
      <c r="M42" s="176"/>
      <c r="N42" s="176"/>
      <c r="O42" s="176"/>
      <c r="P42" s="176"/>
      <c r="Q42" s="176" t="s">
        <v>114</v>
      </c>
      <c r="R42" s="176"/>
      <c r="S42" s="176"/>
      <c r="T42" s="176"/>
      <c r="U42" s="176"/>
      <c r="V42" s="176"/>
      <c r="W42" s="176" t="s">
        <v>53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39" t="s">
        <v>74</v>
      </c>
      <c r="E43" s="135"/>
      <c r="F43" s="135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36" t="s">
        <v>75</v>
      </c>
      <c r="E44" s="133"/>
      <c r="F44" s="134"/>
      <c r="G44" s="52"/>
      <c r="H44" s="44"/>
      <c r="I44" s="176" t="s">
        <v>53</v>
      </c>
      <c r="J44" s="176"/>
      <c r="K44" s="176"/>
      <c r="L44" s="176"/>
      <c r="M44" s="176"/>
      <c r="N44" s="176"/>
      <c r="O44" s="176"/>
      <c r="P44" s="176"/>
      <c r="Q44" s="176" t="s">
        <v>114</v>
      </c>
      <c r="R44" s="176"/>
      <c r="S44" s="176"/>
      <c r="T44" s="176"/>
      <c r="U44" s="176"/>
      <c r="V44" s="176"/>
      <c r="W44" s="176" t="s">
        <v>53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39" t="s">
        <v>76</v>
      </c>
      <c r="E45" s="135"/>
      <c r="F45" s="135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36" t="s">
        <v>77</v>
      </c>
      <c r="E46" s="137"/>
      <c r="F46" s="137"/>
      <c r="G46" s="137"/>
      <c r="H46" s="138"/>
      <c r="I46" s="176" t="s">
        <v>53</v>
      </c>
      <c r="J46" s="176"/>
      <c r="K46" s="176"/>
      <c r="L46" s="176"/>
      <c r="M46" s="176"/>
      <c r="N46" s="176"/>
      <c r="O46" s="176"/>
      <c r="P46" s="176"/>
      <c r="Q46" s="176" t="s">
        <v>114</v>
      </c>
      <c r="R46" s="176"/>
      <c r="S46" s="176"/>
      <c r="T46" s="176"/>
      <c r="U46" s="176"/>
      <c r="V46" s="176"/>
      <c r="W46" s="176" t="s">
        <v>53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39" t="s">
        <v>78</v>
      </c>
      <c r="E47" s="140"/>
      <c r="F47" s="140"/>
      <c r="G47" s="140"/>
      <c r="H47" s="141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36" t="s">
        <v>79</v>
      </c>
      <c r="E48" s="137"/>
      <c r="F48" s="137"/>
      <c r="G48" s="137"/>
      <c r="H48" s="138"/>
      <c r="I48" s="176" t="s">
        <v>53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114</v>
      </c>
      <c r="R48" s="176"/>
      <c r="S48" s="176" t="s">
        <v>103</v>
      </c>
      <c r="T48" s="176"/>
      <c r="U48" s="176" t="s">
        <v>103</v>
      </c>
      <c r="V48" s="176"/>
      <c r="W48" s="176" t="s">
        <v>53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39" t="s">
        <v>80</v>
      </c>
      <c r="E49" s="140"/>
      <c r="F49" s="140"/>
      <c r="G49" s="140"/>
      <c r="H49" s="141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 W30:X31">
    <cfRule type="cellIs" dxfId="63" priority="23" operator="greaterThan">
      <formula>$AA$28</formula>
    </cfRule>
    <cfRule type="cellIs" dxfId="62" priority="24" operator="lessThan">
      <formula>$AA$29</formula>
    </cfRule>
  </conditionalFormatting>
  <conditionalFormatting sqref="I32:X33">
    <cfRule type="cellIs" dxfId="61" priority="21" operator="greaterThan">
      <formula>$AA$32</formula>
    </cfRule>
    <cfRule type="cellIs" dxfId="60" priority="22" operator="lessThan">
      <formula>$AA$33</formula>
    </cfRule>
  </conditionalFormatting>
  <conditionalFormatting sqref="I30:X31">
    <cfRule type="cellIs" dxfId="59" priority="19" operator="greaterThan">
      <formula>$AA$30</formula>
    </cfRule>
    <cfRule type="cellIs" dxfId="58" priority="20" operator="lessThan">
      <formula>$AA$31</formula>
    </cfRule>
  </conditionalFormatting>
  <conditionalFormatting sqref="I26:X27">
    <cfRule type="cellIs" dxfId="57" priority="17" operator="greaterThan">
      <formula>$AA$26</formula>
    </cfRule>
    <cfRule type="cellIs" dxfId="56" priority="18" operator="lessThan">
      <formula>$AA$27</formula>
    </cfRule>
  </conditionalFormatting>
  <conditionalFormatting sqref="I28:J29">
    <cfRule type="cellIs" dxfId="55" priority="15" operator="greaterThan">
      <formula>$AA$28</formula>
    </cfRule>
    <cfRule type="cellIs" dxfId="54" priority="16" operator="lessThan">
      <formula>$AA$29</formula>
    </cfRule>
  </conditionalFormatting>
  <conditionalFormatting sqref="I32:J33">
    <cfRule type="cellIs" dxfId="53" priority="13" operator="greaterThan">
      <formula>$AA$32</formula>
    </cfRule>
    <cfRule type="cellIs" dxfId="52" priority="14" operator="lessThan">
      <formula>$AA$33</formula>
    </cfRule>
  </conditionalFormatting>
  <conditionalFormatting sqref="I30:J31">
    <cfRule type="cellIs" dxfId="51" priority="11" operator="greaterThan">
      <formula>$AA$30</formula>
    </cfRule>
    <cfRule type="cellIs" dxfId="50" priority="12" operator="lessThan">
      <formula>$AA$31</formula>
    </cfRule>
  </conditionalFormatting>
  <conditionalFormatting sqref="I26:J27">
    <cfRule type="cellIs" dxfId="49" priority="9" operator="greaterThan">
      <formula>$AA$26</formula>
    </cfRule>
    <cfRule type="cellIs" dxfId="48" priority="10" operator="lessThan">
      <formula>$AA$27</formula>
    </cfRule>
  </conditionalFormatting>
  <conditionalFormatting sqref="W28:X31">
    <cfRule type="cellIs" dxfId="47" priority="7" operator="greaterThan">
      <formula>$AA$28</formula>
    </cfRule>
    <cfRule type="cellIs" dxfId="46" priority="8" operator="lessThan">
      <formula>$AA$29</formula>
    </cfRule>
  </conditionalFormatting>
  <conditionalFormatting sqref="W32:X33">
    <cfRule type="cellIs" dxfId="45" priority="5" operator="greaterThan">
      <formula>$AA$32</formula>
    </cfRule>
    <cfRule type="cellIs" dxfId="44" priority="6" operator="lessThan">
      <formula>$AA$33</formula>
    </cfRule>
  </conditionalFormatting>
  <conditionalFormatting sqref="W30:X31">
    <cfRule type="cellIs" dxfId="43" priority="3" operator="greaterThan">
      <formula>$AA$30</formula>
    </cfRule>
    <cfRule type="cellIs" dxfId="42" priority="4" operator="lessThan">
      <formula>$AA$31</formula>
    </cfRule>
  </conditionalFormatting>
  <conditionalFormatting sqref="W26:X27">
    <cfRule type="cellIs" dxfId="41" priority="1" operator="greaterThan">
      <formula>$AA$26</formula>
    </cfRule>
    <cfRule type="cellIs" dxfId="4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42" t="s">
        <v>2</v>
      </c>
      <c r="E2" s="42"/>
      <c r="F2" s="169" t="s">
        <v>91</v>
      </c>
      <c r="G2" s="169"/>
      <c r="H2" s="169"/>
      <c r="I2" s="169"/>
      <c r="J2" s="169"/>
      <c r="K2" s="170"/>
      <c r="L2" s="142" t="s">
        <v>4</v>
      </c>
      <c r="M2" s="169">
        <v>9</v>
      </c>
      <c r="N2" s="219"/>
      <c r="O2" s="142" t="s">
        <v>6</v>
      </c>
      <c r="P2" s="222" t="s">
        <v>81</v>
      </c>
      <c r="Q2" s="223"/>
      <c r="R2" s="223"/>
      <c r="S2" s="223"/>
      <c r="T2" s="223"/>
      <c r="U2" s="223"/>
      <c r="V2" s="224"/>
      <c r="W2" s="142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43" t="s">
        <v>3</v>
      </c>
      <c r="E3" s="43"/>
      <c r="F3" s="171"/>
      <c r="G3" s="171"/>
      <c r="H3" s="171"/>
      <c r="I3" s="171"/>
      <c r="J3" s="171"/>
      <c r="K3" s="172"/>
      <c r="L3" s="143" t="s">
        <v>5</v>
      </c>
      <c r="M3" s="220"/>
      <c r="N3" s="221"/>
      <c r="O3" s="143" t="s">
        <v>7</v>
      </c>
      <c r="P3" s="225"/>
      <c r="Q3" s="225"/>
      <c r="R3" s="225"/>
      <c r="S3" s="225"/>
      <c r="T3" s="225"/>
      <c r="U3" s="225"/>
      <c r="V3" s="226"/>
      <c r="W3" s="143" t="s">
        <v>8</v>
      </c>
      <c r="X3" s="132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42" t="s">
        <v>9</v>
      </c>
      <c r="P4" s="6"/>
      <c r="Q4" s="227" t="s">
        <v>115</v>
      </c>
      <c r="R4" s="228"/>
      <c r="S4" s="228"/>
      <c r="T4" s="229"/>
      <c r="U4" s="142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43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144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2.0950000000000002</v>
      </c>
      <c r="J26" s="261"/>
      <c r="K26" s="261">
        <v>2.0979999999999999</v>
      </c>
      <c r="L26" s="261"/>
      <c r="M26" s="261">
        <v>2.0950000000000002</v>
      </c>
      <c r="N26" s="261"/>
      <c r="O26" s="261">
        <v>2.1019999999999999</v>
      </c>
      <c r="P26" s="261"/>
      <c r="Q26" s="261">
        <v>2.101</v>
      </c>
      <c r="R26" s="261"/>
      <c r="S26" s="261">
        <v>2.1</v>
      </c>
      <c r="T26" s="261"/>
      <c r="U26" s="261">
        <v>2.0950000000000002</v>
      </c>
      <c r="V26" s="261"/>
      <c r="W26" s="261">
        <v>2.097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1.99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2.0870000000000002</v>
      </c>
      <c r="J30" s="261"/>
      <c r="K30" s="261">
        <v>2.0910000000000002</v>
      </c>
      <c r="L30" s="261"/>
      <c r="M30" s="261">
        <v>2.085</v>
      </c>
      <c r="N30" s="261"/>
      <c r="O30" s="261">
        <v>2.0870000000000002</v>
      </c>
      <c r="P30" s="261"/>
      <c r="Q30" s="261">
        <v>2.0960000000000001</v>
      </c>
      <c r="R30" s="261"/>
      <c r="S30" s="261">
        <v>2.0950000000000002</v>
      </c>
      <c r="T30" s="261"/>
      <c r="U30" s="261">
        <v>2.08</v>
      </c>
      <c r="V30" s="261"/>
      <c r="W30" s="261">
        <v>2.0979999999999999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11.01</v>
      </c>
      <c r="J32" s="214"/>
      <c r="K32" s="214">
        <v>11.01</v>
      </c>
      <c r="L32" s="214"/>
      <c r="M32" s="214">
        <v>11</v>
      </c>
      <c r="N32" s="214"/>
      <c r="O32" s="214">
        <v>11.03</v>
      </c>
      <c r="P32" s="214"/>
      <c r="Q32" s="214">
        <v>11.02</v>
      </c>
      <c r="R32" s="214"/>
      <c r="S32" s="214">
        <v>11.01</v>
      </c>
      <c r="T32" s="214"/>
      <c r="U32" s="214">
        <v>11</v>
      </c>
      <c r="V32" s="214"/>
      <c r="W32" s="214">
        <v>11.01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36" t="s">
        <v>87</v>
      </c>
      <c r="E34" s="137"/>
      <c r="F34" s="137"/>
      <c r="G34" s="137"/>
      <c r="H34" s="138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39" t="s">
        <v>88</v>
      </c>
      <c r="E35" s="140"/>
      <c r="F35" s="140"/>
      <c r="G35" s="140"/>
      <c r="H35" s="141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39" t="s">
        <v>67</v>
      </c>
      <c r="E37" s="140"/>
      <c r="F37" s="140"/>
      <c r="G37" s="140"/>
      <c r="H37" s="141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36" t="s">
        <v>69</v>
      </c>
      <c r="E38" s="137"/>
      <c r="F38" s="137"/>
      <c r="G38" s="137"/>
      <c r="H38" s="138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39" t="s">
        <v>70</v>
      </c>
      <c r="E39" s="140"/>
      <c r="F39" s="140"/>
      <c r="G39" s="140"/>
      <c r="H39" s="141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36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39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36" t="s">
        <v>73</v>
      </c>
      <c r="E42" s="133"/>
      <c r="F42" s="134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39" t="s">
        <v>74</v>
      </c>
      <c r="E43" s="135"/>
      <c r="F43" s="135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36" t="s">
        <v>75</v>
      </c>
      <c r="E44" s="133"/>
      <c r="F44" s="134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39" t="s">
        <v>76</v>
      </c>
      <c r="E45" s="135"/>
      <c r="F45" s="135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36" t="s">
        <v>77</v>
      </c>
      <c r="E46" s="137"/>
      <c r="F46" s="137"/>
      <c r="G46" s="137"/>
      <c r="H46" s="138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39" t="s">
        <v>78</v>
      </c>
      <c r="E47" s="140"/>
      <c r="F47" s="140"/>
      <c r="G47" s="140"/>
      <c r="H47" s="141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36" t="s">
        <v>79</v>
      </c>
      <c r="E48" s="137"/>
      <c r="F48" s="137"/>
      <c r="G48" s="137"/>
      <c r="H48" s="138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39" t="s">
        <v>80</v>
      </c>
      <c r="E49" s="140"/>
      <c r="F49" s="140"/>
      <c r="G49" s="140"/>
      <c r="H49" s="141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</mergeCells>
  <phoneticPr fontId="10" type="noConversion"/>
  <conditionalFormatting sqref="I28:X29">
    <cfRule type="cellIs" dxfId="39" priority="7" operator="greaterThan">
      <formula>$AA$28</formula>
    </cfRule>
    <cfRule type="cellIs" dxfId="38" priority="8" operator="lessThan">
      <formula>$AA$29</formula>
    </cfRule>
  </conditionalFormatting>
  <conditionalFormatting sqref="I32:X33">
    <cfRule type="cellIs" dxfId="37" priority="5" operator="greaterThan">
      <formula>$AA$32</formula>
    </cfRule>
    <cfRule type="cellIs" dxfId="36" priority="6" operator="lessThan">
      <formula>$AA$33</formula>
    </cfRule>
  </conditionalFormatting>
  <conditionalFormatting sqref="I30:X31">
    <cfRule type="cellIs" dxfId="35" priority="3" operator="greaterThan">
      <formula>$AA$30</formula>
    </cfRule>
    <cfRule type="cellIs" dxfId="34" priority="4" operator="lessThan">
      <formula>$AA$31</formula>
    </cfRule>
  </conditionalFormatting>
  <conditionalFormatting sqref="I26:X27">
    <cfRule type="cellIs" dxfId="33" priority="1" operator="greaterThan">
      <formula>$AA$26</formula>
    </cfRule>
    <cfRule type="cellIs" dxfId="32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80"/>
  <sheetViews>
    <sheetView showGridLines="0" topLeftCell="A4" zoomScale="145" zoomScaleNormal="145" workbookViewId="0">
      <selection activeCell="K24" sqref="K24:L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53" t="s">
        <v>2</v>
      </c>
      <c r="E2" s="42"/>
      <c r="F2" s="169" t="s">
        <v>91</v>
      </c>
      <c r="G2" s="169"/>
      <c r="H2" s="169"/>
      <c r="I2" s="169"/>
      <c r="J2" s="169"/>
      <c r="K2" s="170"/>
      <c r="L2" s="153" t="s">
        <v>4</v>
      </c>
      <c r="M2" s="169">
        <v>9</v>
      </c>
      <c r="N2" s="219"/>
      <c r="O2" s="153" t="s">
        <v>6</v>
      </c>
      <c r="P2" s="222" t="s">
        <v>81</v>
      </c>
      <c r="Q2" s="223"/>
      <c r="R2" s="223"/>
      <c r="S2" s="223"/>
      <c r="T2" s="223"/>
      <c r="U2" s="223"/>
      <c r="V2" s="224"/>
      <c r="W2" s="153" t="s">
        <v>34</v>
      </c>
      <c r="X2" s="32">
        <v>1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54" t="s">
        <v>3</v>
      </c>
      <c r="E3" s="43"/>
      <c r="F3" s="171"/>
      <c r="G3" s="171"/>
      <c r="H3" s="171"/>
      <c r="I3" s="171"/>
      <c r="J3" s="171"/>
      <c r="K3" s="172"/>
      <c r="L3" s="154" t="s">
        <v>5</v>
      </c>
      <c r="M3" s="220"/>
      <c r="N3" s="221"/>
      <c r="O3" s="154" t="s">
        <v>7</v>
      </c>
      <c r="P3" s="225"/>
      <c r="Q3" s="225"/>
      <c r="R3" s="225"/>
      <c r="S3" s="225"/>
      <c r="T3" s="225"/>
      <c r="U3" s="225"/>
      <c r="V3" s="2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227" t="s">
        <v>118</v>
      </c>
      <c r="R4" s="228"/>
      <c r="S4" s="228"/>
      <c r="T4" s="229"/>
      <c r="U4" s="153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54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1</v>
      </c>
      <c r="J24" s="208"/>
      <c r="K24" s="208">
        <v>2</v>
      </c>
      <c r="L24" s="208"/>
      <c r="M24" s="208">
        <v>3</v>
      </c>
      <c r="N24" s="208"/>
      <c r="O24" s="208">
        <v>4</v>
      </c>
      <c r="P24" s="208"/>
      <c r="Q24" s="208">
        <v>5</v>
      </c>
      <c r="R24" s="208"/>
      <c r="S24" s="208">
        <v>6</v>
      </c>
      <c r="T24" s="208"/>
      <c r="U24" s="208">
        <v>7</v>
      </c>
      <c r="V24" s="208"/>
      <c r="W24" s="208">
        <v>8</v>
      </c>
      <c r="X24" s="208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 t="s">
        <v>53</v>
      </c>
      <c r="J26" s="261"/>
      <c r="K26" s="261">
        <v>2.097</v>
      </c>
      <c r="L26" s="261"/>
      <c r="M26" s="261">
        <v>2.0990000000000002</v>
      </c>
      <c r="N26" s="261"/>
      <c r="O26" s="261">
        <v>2.0990000000000002</v>
      </c>
      <c r="P26" s="261"/>
      <c r="Q26" s="261" t="s">
        <v>114</v>
      </c>
      <c r="R26" s="261"/>
      <c r="S26" s="261">
        <v>2.097</v>
      </c>
      <c r="T26" s="261"/>
      <c r="U26" s="261">
        <v>2.0990000000000002</v>
      </c>
      <c r="V26" s="261"/>
      <c r="W26" s="261" t="s">
        <v>53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 t="s">
        <v>53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 t="s">
        <v>114</v>
      </c>
      <c r="R28" s="261"/>
      <c r="S28" s="261">
        <v>1.99</v>
      </c>
      <c r="T28" s="261"/>
      <c r="U28" s="261">
        <v>1.99</v>
      </c>
      <c r="V28" s="261"/>
      <c r="W28" s="261" t="s">
        <v>53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 t="s">
        <v>53</v>
      </c>
      <c r="J30" s="261"/>
      <c r="K30" s="261">
        <v>2.089</v>
      </c>
      <c r="L30" s="261"/>
      <c r="M30" s="261">
        <v>2.089</v>
      </c>
      <c r="N30" s="261"/>
      <c r="O30" s="261">
        <v>2.081</v>
      </c>
      <c r="P30" s="261"/>
      <c r="Q30" s="261" t="s">
        <v>114</v>
      </c>
      <c r="R30" s="261"/>
      <c r="S30" s="261">
        <v>2.0830000000000002</v>
      </c>
      <c r="T30" s="261"/>
      <c r="U30" s="261">
        <v>2.0920000000000001</v>
      </c>
      <c r="V30" s="261"/>
      <c r="W30" s="261" t="s">
        <v>53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 t="s">
        <v>53</v>
      </c>
      <c r="J32" s="214"/>
      <c r="K32" s="214">
        <v>11</v>
      </c>
      <c r="L32" s="214"/>
      <c r="M32" s="214">
        <v>11</v>
      </c>
      <c r="N32" s="214"/>
      <c r="O32" s="214">
        <v>11.02</v>
      </c>
      <c r="P32" s="214"/>
      <c r="Q32" s="214" t="s">
        <v>114</v>
      </c>
      <c r="R32" s="214"/>
      <c r="S32" s="214">
        <v>11.03</v>
      </c>
      <c r="T32" s="214"/>
      <c r="U32" s="214">
        <v>11</v>
      </c>
      <c r="V32" s="214"/>
      <c r="W32" s="214" t="s">
        <v>53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45" t="s">
        <v>87</v>
      </c>
      <c r="E34" s="146"/>
      <c r="F34" s="146"/>
      <c r="G34" s="146"/>
      <c r="H34" s="147"/>
      <c r="I34" s="176" t="s">
        <v>53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114</v>
      </c>
      <c r="R34" s="176"/>
      <c r="S34" s="176" t="s">
        <v>102</v>
      </c>
      <c r="T34" s="176"/>
      <c r="U34" s="176" t="s">
        <v>102</v>
      </c>
      <c r="V34" s="176"/>
      <c r="W34" s="176" t="s">
        <v>53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48" t="s">
        <v>88</v>
      </c>
      <c r="E35" s="149"/>
      <c r="F35" s="149"/>
      <c r="G35" s="149"/>
      <c r="H35" s="150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53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114</v>
      </c>
      <c r="R36" s="176"/>
      <c r="S36" s="176" t="s">
        <v>102</v>
      </c>
      <c r="T36" s="176"/>
      <c r="U36" s="176" t="s">
        <v>102</v>
      </c>
      <c r="V36" s="176"/>
      <c r="W36" s="176" t="s">
        <v>53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48" t="s">
        <v>67</v>
      </c>
      <c r="E37" s="149"/>
      <c r="F37" s="149"/>
      <c r="G37" s="149"/>
      <c r="H37" s="150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45" t="s">
        <v>69</v>
      </c>
      <c r="E38" s="146"/>
      <c r="F38" s="146"/>
      <c r="G38" s="146"/>
      <c r="H38" s="147"/>
      <c r="I38" s="176" t="s">
        <v>53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114</v>
      </c>
      <c r="R38" s="176"/>
      <c r="S38" s="176" t="s">
        <v>103</v>
      </c>
      <c r="T38" s="176"/>
      <c r="U38" s="176" t="s">
        <v>103</v>
      </c>
      <c r="V38" s="176"/>
      <c r="W38" s="176" t="s">
        <v>53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48" t="s">
        <v>70</v>
      </c>
      <c r="E39" s="149"/>
      <c r="F39" s="149"/>
      <c r="G39" s="149"/>
      <c r="H39" s="150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45" t="s">
        <v>71</v>
      </c>
      <c r="E40" s="54"/>
      <c r="F40" s="54"/>
      <c r="G40" s="54"/>
      <c r="H40" s="38"/>
      <c r="I40" s="176" t="s">
        <v>53</v>
      </c>
      <c r="J40" s="176"/>
      <c r="K40" s="176"/>
      <c r="L40" s="176"/>
      <c r="M40" s="176"/>
      <c r="N40" s="176"/>
      <c r="O40" s="176"/>
      <c r="P40" s="176"/>
      <c r="Q40" s="176" t="s">
        <v>114</v>
      </c>
      <c r="R40" s="176"/>
      <c r="S40" s="176"/>
      <c r="T40" s="176"/>
      <c r="U40" s="176"/>
      <c r="V40" s="176"/>
      <c r="W40" s="176" t="s">
        <v>53</v>
      </c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48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45" t="s">
        <v>73</v>
      </c>
      <c r="E42" s="152"/>
      <c r="F42" s="156"/>
      <c r="G42" s="52"/>
      <c r="H42" s="44"/>
      <c r="I42" s="176" t="s">
        <v>53</v>
      </c>
      <c r="J42" s="176"/>
      <c r="K42" s="176"/>
      <c r="L42" s="176"/>
      <c r="M42" s="176"/>
      <c r="N42" s="176"/>
      <c r="O42" s="176"/>
      <c r="P42" s="176"/>
      <c r="Q42" s="176" t="s">
        <v>114</v>
      </c>
      <c r="R42" s="176"/>
      <c r="S42" s="176"/>
      <c r="T42" s="176"/>
      <c r="U42" s="176"/>
      <c r="V42" s="176"/>
      <c r="W42" s="176" t="s">
        <v>53</v>
      </c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48" t="s">
        <v>74</v>
      </c>
      <c r="E43" s="157"/>
      <c r="F43" s="157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45" t="s">
        <v>75</v>
      </c>
      <c r="E44" s="152"/>
      <c r="F44" s="156"/>
      <c r="G44" s="52"/>
      <c r="H44" s="44"/>
      <c r="I44" s="176" t="s">
        <v>53</v>
      </c>
      <c r="J44" s="176"/>
      <c r="K44" s="176"/>
      <c r="L44" s="176"/>
      <c r="M44" s="176"/>
      <c r="N44" s="176"/>
      <c r="O44" s="176"/>
      <c r="P44" s="176"/>
      <c r="Q44" s="176" t="s">
        <v>114</v>
      </c>
      <c r="R44" s="176"/>
      <c r="S44" s="176"/>
      <c r="T44" s="176"/>
      <c r="U44" s="176"/>
      <c r="V44" s="176"/>
      <c r="W44" s="176" t="s">
        <v>53</v>
      </c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48" t="s">
        <v>76</v>
      </c>
      <c r="E45" s="157"/>
      <c r="F45" s="157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45" t="s">
        <v>77</v>
      </c>
      <c r="E46" s="146"/>
      <c r="F46" s="146"/>
      <c r="G46" s="146"/>
      <c r="H46" s="147"/>
      <c r="I46" s="176" t="s">
        <v>53</v>
      </c>
      <c r="J46" s="176"/>
      <c r="K46" s="176"/>
      <c r="L46" s="176"/>
      <c r="M46" s="176"/>
      <c r="N46" s="176"/>
      <c r="O46" s="176"/>
      <c r="P46" s="176"/>
      <c r="Q46" s="176" t="s">
        <v>114</v>
      </c>
      <c r="R46" s="176"/>
      <c r="S46" s="176"/>
      <c r="T46" s="176"/>
      <c r="U46" s="176"/>
      <c r="V46" s="176"/>
      <c r="W46" s="176" t="s">
        <v>53</v>
      </c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48" t="s">
        <v>78</v>
      </c>
      <c r="E47" s="149"/>
      <c r="F47" s="149"/>
      <c r="G47" s="149"/>
      <c r="H47" s="150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45" t="s">
        <v>79</v>
      </c>
      <c r="E48" s="146"/>
      <c r="F48" s="146"/>
      <c r="G48" s="146"/>
      <c r="H48" s="147"/>
      <c r="I48" s="176" t="s">
        <v>53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114</v>
      </c>
      <c r="R48" s="176"/>
      <c r="S48" s="176" t="s">
        <v>103</v>
      </c>
      <c r="T48" s="176"/>
      <c r="U48" s="176" t="s">
        <v>103</v>
      </c>
      <c r="V48" s="176"/>
      <c r="W48" s="176" t="s">
        <v>53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48" t="s">
        <v>80</v>
      </c>
      <c r="E49" s="149"/>
      <c r="F49" s="149"/>
      <c r="G49" s="149"/>
      <c r="H49" s="150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 W30:X31">
    <cfRule type="cellIs" dxfId="31" priority="23" operator="greaterThan">
      <formula>$AA$28</formula>
    </cfRule>
    <cfRule type="cellIs" dxfId="30" priority="24" operator="lessThan">
      <formula>$AA$29</formula>
    </cfRule>
  </conditionalFormatting>
  <conditionalFormatting sqref="I32:X33">
    <cfRule type="cellIs" dxfId="29" priority="21" operator="greaterThan">
      <formula>$AA$32</formula>
    </cfRule>
    <cfRule type="cellIs" dxfId="28" priority="22" operator="lessThan">
      <formula>$AA$33</formula>
    </cfRule>
  </conditionalFormatting>
  <conditionalFormatting sqref="I30:X31">
    <cfRule type="cellIs" dxfId="27" priority="19" operator="greaterThan">
      <formula>$AA$30</formula>
    </cfRule>
    <cfRule type="cellIs" dxfId="26" priority="20" operator="lessThan">
      <formula>$AA$31</formula>
    </cfRule>
  </conditionalFormatting>
  <conditionalFormatting sqref="I26:X27">
    <cfRule type="cellIs" dxfId="25" priority="17" operator="greaterThan">
      <formula>$AA$26</formula>
    </cfRule>
    <cfRule type="cellIs" dxfId="24" priority="18" operator="lessThan">
      <formula>$AA$27</formula>
    </cfRule>
  </conditionalFormatting>
  <conditionalFormatting sqref="I28:J29">
    <cfRule type="cellIs" dxfId="23" priority="15" operator="greaterThan">
      <formula>$AA$28</formula>
    </cfRule>
    <cfRule type="cellIs" dxfId="22" priority="16" operator="lessThan">
      <formula>$AA$29</formula>
    </cfRule>
  </conditionalFormatting>
  <conditionalFormatting sqref="I32:J33">
    <cfRule type="cellIs" dxfId="21" priority="13" operator="greaterThan">
      <formula>$AA$32</formula>
    </cfRule>
    <cfRule type="cellIs" dxfId="20" priority="14" operator="lessThan">
      <formula>$AA$33</formula>
    </cfRule>
  </conditionalFormatting>
  <conditionalFormatting sqref="I30:J31">
    <cfRule type="cellIs" dxfId="19" priority="11" operator="greaterThan">
      <formula>$AA$30</formula>
    </cfRule>
    <cfRule type="cellIs" dxfId="18" priority="12" operator="lessThan">
      <formula>$AA$31</formula>
    </cfRule>
  </conditionalFormatting>
  <conditionalFormatting sqref="I26:J27">
    <cfRule type="cellIs" dxfId="17" priority="9" operator="greaterThan">
      <formula>$AA$26</formula>
    </cfRule>
    <cfRule type="cellIs" dxfId="16" priority="10" operator="lessThan">
      <formula>$AA$27</formula>
    </cfRule>
  </conditionalFormatting>
  <conditionalFormatting sqref="W28:X31">
    <cfRule type="cellIs" dxfId="15" priority="7" operator="greaterThan">
      <formula>$AA$28</formula>
    </cfRule>
    <cfRule type="cellIs" dxfId="14" priority="8" operator="lessThan">
      <formula>$AA$29</formula>
    </cfRule>
  </conditionalFormatting>
  <conditionalFormatting sqref="W32:X33">
    <cfRule type="cellIs" dxfId="13" priority="5" operator="greaterThan">
      <formula>$AA$32</formula>
    </cfRule>
    <cfRule type="cellIs" dxfId="12" priority="6" operator="lessThan">
      <formula>$AA$33</formula>
    </cfRule>
  </conditionalFormatting>
  <conditionalFormatting sqref="W30:X31">
    <cfRule type="cellIs" dxfId="11" priority="3" operator="greaterThan">
      <formula>$AA$30</formula>
    </cfRule>
    <cfRule type="cellIs" dxfId="10" priority="4" operator="lessThan">
      <formula>$AA$31</formula>
    </cfRule>
  </conditionalFormatting>
  <conditionalFormatting sqref="W26:X27">
    <cfRule type="cellIs" dxfId="9" priority="1" operator="greaterThan">
      <formula>$AA$26</formula>
    </cfRule>
    <cfRule type="cellIs" dxfId="8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B80"/>
  <sheetViews>
    <sheetView showGridLines="0" tabSelected="1" topLeftCell="A4" zoomScale="145" zoomScaleNormal="145" workbookViewId="0">
      <selection activeCell="I24" sqref="I24:J25"/>
    </sheetView>
  </sheetViews>
  <sheetFormatPr defaultColWidth="9" defaultRowHeight="16.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2.875" style="1" customWidth="1"/>
    <col min="6" max="6" width="2.6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6" customWidth="1"/>
    <col min="29" max="16384" width="9" style="1"/>
  </cols>
  <sheetData>
    <row r="1" spans="1:26" ht="25.5" customHeight="1">
      <c r="A1" s="262" t="s">
        <v>0</v>
      </c>
      <c r="B1" s="263"/>
      <c r="C1" s="263"/>
      <c r="D1" s="263"/>
      <c r="E1" s="263"/>
      <c r="F1" s="263"/>
      <c r="G1" s="263"/>
      <c r="H1" s="263"/>
      <c r="I1" s="263"/>
      <c r="J1" s="263"/>
      <c r="K1" s="263"/>
      <c r="L1" s="263"/>
      <c r="M1" s="263"/>
      <c r="N1" s="263"/>
      <c r="O1" s="263"/>
      <c r="P1" s="263"/>
      <c r="Q1" s="263"/>
      <c r="R1" s="263"/>
      <c r="S1" s="263"/>
      <c r="T1" s="263"/>
      <c r="U1" s="263"/>
      <c r="V1" s="263"/>
      <c r="W1" s="263"/>
      <c r="X1" s="263"/>
    </row>
    <row r="2" spans="1:26" ht="13.5" customHeight="1">
      <c r="A2" s="215" t="s">
        <v>30</v>
      </c>
      <c r="B2" s="216"/>
      <c r="C2" s="260" t="s">
        <v>92</v>
      </c>
      <c r="D2" s="153" t="s">
        <v>2</v>
      </c>
      <c r="E2" s="42"/>
      <c r="F2" s="169" t="s">
        <v>91</v>
      </c>
      <c r="G2" s="169"/>
      <c r="H2" s="169"/>
      <c r="I2" s="169"/>
      <c r="J2" s="169"/>
      <c r="K2" s="170"/>
      <c r="L2" s="153" t="s">
        <v>4</v>
      </c>
      <c r="M2" s="169">
        <v>9</v>
      </c>
      <c r="N2" s="219"/>
      <c r="O2" s="153" t="s">
        <v>6</v>
      </c>
      <c r="P2" s="222" t="s">
        <v>81</v>
      </c>
      <c r="Q2" s="223"/>
      <c r="R2" s="223"/>
      <c r="S2" s="223"/>
      <c r="T2" s="223"/>
      <c r="U2" s="223"/>
      <c r="V2" s="224"/>
      <c r="W2" s="153" t="s">
        <v>34</v>
      </c>
      <c r="X2" s="32">
        <v>2</v>
      </c>
      <c r="Z2" s="34" t="s">
        <v>93</v>
      </c>
    </row>
    <row r="3" spans="1:26" ht="9.9499999999999993" customHeight="1">
      <c r="A3" s="217" t="s">
        <v>1</v>
      </c>
      <c r="B3" s="218"/>
      <c r="C3" s="264"/>
      <c r="D3" s="154" t="s">
        <v>3</v>
      </c>
      <c r="E3" s="43"/>
      <c r="F3" s="171"/>
      <c r="G3" s="171"/>
      <c r="H3" s="171"/>
      <c r="I3" s="171"/>
      <c r="J3" s="171"/>
      <c r="K3" s="172"/>
      <c r="L3" s="154" t="s">
        <v>5</v>
      </c>
      <c r="M3" s="220"/>
      <c r="N3" s="221"/>
      <c r="O3" s="154" t="s">
        <v>7</v>
      </c>
      <c r="P3" s="225"/>
      <c r="Q3" s="225"/>
      <c r="R3" s="225"/>
      <c r="S3" s="225"/>
      <c r="T3" s="225"/>
      <c r="U3" s="225"/>
      <c r="V3" s="226"/>
      <c r="W3" s="154" t="s">
        <v>8</v>
      </c>
      <c r="X3" s="155">
        <v>2</v>
      </c>
      <c r="Z3" s="35"/>
    </row>
    <row r="4" spans="1:26" ht="14.25" customHeight="1">
      <c r="A4" s="3" t="s">
        <v>31</v>
      </c>
      <c r="B4" s="4"/>
      <c r="C4" s="4"/>
      <c r="D4" s="49"/>
      <c r="E4" s="34" t="s">
        <v>93</v>
      </c>
      <c r="F4" s="5" t="s">
        <v>32</v>
      </c>
      <c r="H4" s="5"/>
      <c r="I4" s="4"/>
      <c r="J4" s="4"/>
      <c r="K4" s="34" t="s">
        <v>48</v>
      </c>
      <c r="L4" s="5" t="s">
        <v>33</v>
      </c>
      <c r="M4" s="4"/>
      <c r="N4" s="4"/>
      <c r="O4" s="153" t="s">
        <v>9</v>
      </c>
      <c r="P4" s="6"/>
      <c r="Q4" s="227" t="s">
        <v>117</v>
      </c>
      <c r="R4" s="228"/>
      <c r="S4" s="228"/>
      <c r="T4" s="229"/>
      <c r="U4" s="153" t="s">
        <v>11</v>
      </c>
      <c r="V4" s="7"/>
      <c r="W4" s="169">
        <v>6</v>
      </c>
      <c r="X4" s="219"/>
      <c r="Z4" s="34" t="s">
        <v>48</v>
      </c>
    </row>
    <row r="5" spans="1:26" ht="9.9499999999999993" customHeight="1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230"/>
      <c r="R5" s="230"/>
      <c r="S5" s="230"/>
      <c r="T5" s="231"/>
      <c r="U5" s="154" t="s">
        <v>12</v>
      </c>
      <c r="V5" s="11"/>
      <c r="W5" s="220"/>
      <c r="X5" s="221"/>
    </row>
    <row r="6" spans="1:26" ht="12" customHeight="1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243" t="s">
        <v>36</v>
      </c>
      <c r="T6" s="244"/>
      <c r="U6" s="244"/>
      <c r="V6" s="244"/>
      <c r="W6" s="244"/>
      <c r="X6" s="191"/>
    </row>
    <row r="7" spans="1:26" ht="12" customHeight="1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246" t="s">
        <v>13</v>
      </c>
      <c r="T7" s="247"/>
      <c r="U7" s="247"/>
      <c r="V7" s="247"/>
      <c r="W7" s="247"/>
      <c r="X7" s="248"/>
    </row>
    <row r="8" spans="1:26" ht="9.9499999999999993" customHeight="1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10" t="s">
        <v>91</v>
      </c>
      <c r="T8" s="211"/>
      <c r="U8" s="211"/>
      <c r="V8" s="212"/>
      <c r="W8" s="212"/>
      <c r="X8" s="213"/>
    </row>
    <row r="9" spans="1:26" ht="9.9499999999999993" customHeight="1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165"/>
      <c r="T9" s="166"/>
      <c r="U9" s="166"/>
      <c r="V9" s="167"/>
      <c r="W9" s="167"/>
      <c r="X9" s="168"/>
    </row>
    <row r="10" spans="1:26" ht="9.9499999999999993" customHeight="1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165"/>
      <c r="T10" s="166"/>
      <c r="U10" s="166"/>
      <c r="V10" s="167"/>
      <c r="W10" s="167"/>
      <c r="X10" s="168"/>
    </row>
    <row r="11" spans="1:26" ht="9.9499999999999993" customHeight="1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165"/>
      <c r="T11" s="166"/>
      <c r="U11" s="166"/>
      <c r="V11" s="167"/>
      <c r="W11" s="167"/>
      <c r="X11" s="168"/>
    </row>
    <row r="12" spans="1:26" ht="9.9499999999999993" customHeight="1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165"/>
      <c r="T12" s="166"/>
      <c r="U12" s="166"/>
      <c r="V12" s="167"/>
      <c r="W12" s="167"/>
      <c r="X12" s="168"/>
    </row>
    <row r="13" spans="1:26" ht="9.9499999999999993" customHeight="1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165"/>
      <c r="T13" s="166"/>
      <c r="U13" s="166"/>
      <c r="V13" s="167"/>
      <c r="W13" s="167"/>
      <c r="X13" s="168"/>
    </row>
    <row r="14" spans="1:26" ht="9.9499999999999993" customHeight="1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165"/>
      <c r="T14" s="207"/>
      <c r="U14" s="207"/>
      <c r="V14" s="287"/>
      <c r="W14" s="288"/>
      <c r="X14" s="289"/>
    </row>
    <row r="15" spans="1:26" ht="9.9499999999999993" customHeight="1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165"/>
      <c r="T15" s="207"/>
      <c r="U15" s="207"/>
      <c r="V15" s="287"/>
      <c r="W15" s="288"/>
      <c r="X15" s="289"/>
    </row>
    <row r="16" spans="1:26" ht="9.9499999999999993" customHeight="1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165"/>
      <c r="T16" s="207"/>
      <c r="U16" s="207"/>
      <c r="V16" s="287"/>
      <c r="W16" s="288"/>
      <c r="X16" s="289"/>
    </row>
    <row r="17" spans="1:28" ht="9.9499999999999993" customHeight="1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165"/>
      <c r="T17" s="207"/>
      <c r="U17" s="207"/>
      <c r="V17" s="287"/>
      <c r="W17" s="288"/>
      <c r="X17" s="289"/>
    </row>
    <row r="18" spans="1:28" ht="9.9499999999999993" customHeight="1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165"/>
      <c r="T18" s="207"/>
      <c r="U18" s="207"/>
      <c r="V18" s="287"/>
      <c r="W18" s="288"/>
      <c r="X18" s="289"/>
    </row>
    <row r="19" spans="1:28" ht="9.9499999999999993" customHeight="1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165"/>
      <c r="T19" s="207"/>
      <c r="U19" s="207"/>
      <c r="V19" s="287"/>
      <c r="W19" s="288"/>
      <c r="X19" s="289"/>
    </row>
    <row r="20" spans="1:28" ht="9.9499999999999993" customHeight="1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165"/>
      <c r="T20" s="207"/>
      <c r="U20" s="207"/>
      <c r="V20" s="287"/>
      <c r="W20" s="288"/>
      <c r="X20" s="289"/>
    </row>
    <row r="21" spans="1:28" ht="9.9499999999999993" customHeight="1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165"/>
      <c r="T21" s="207"/>
      <c r="U21" s="207"/>
      <c r="V21" s="290"/>
      <c r="W21" s="291"/>
      <c r="X21" s="264"/>
    </row>
    <row r="22" spans="1:28" ht="12.75" customHeight="1">
      <c r="A22" s="243" t="s">
        <v>35</v>
      </c>
      <c r="B22" s="265"/>
      <c r="C22" s="266"/>
      <c r="D22" s="271" t="s">
        <v>40</v>
      </c>
      <c r="E22" s="272"/>
      <c r="F22" s="272"/>
      <c r="G22" s="27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3"/>
      <c r="W22" s="269" t="s">
        <v>37</v>
      </c>
      <c r="X22" s="270"/>
      <c r="Z22" s="52" t="s">
        <v>52</v>
      </c>
    </row>
    <row r="23" spans="1:28" ht="11.25" customHeight="1">
      <c r="A23" s="246" t="s">
        <v>14</v>
      </c>
      <c r="B23" s="267"/>
      <c r="C23" s="268"/>
      <c r="D23" s="273"/>
      <c r="E23" s="274"/>
      <c r="F23" s="274"/>
      <c r="G23" s="274"/>
      <c r="H23" s="274"/>
      <c r="I23" s="274"/>
      <c r="J23" s="274"/>
      <c r="K23" s="274"/>
      <c r="L23" s="274"/>
      <c r="M23" s="274"/>
      <c r="N23" s="274"/>
      <c r="O23" s="274"/>
      <c r="P23" s="274"/>
      <c r="Q23" s="274"/>
      <c r="R23" s="274"/>
      <c r="S23" s="274"/>
      <c r="T23" s="274"/>
      <c r="U23" s="274"/>
      <c r="V23" s="275"/>
      <c r="W23" s="246" t="s">
        <v>49</v>
      </c>
      <c r="X23" s="268"/>
      <c r="Z23" s="51" t="s">
        <v>53</v>
      </c>
    </row>
    <row r="24" spans="1:28" ht="14.25" customHeight="1">
      <c r="A24" s="243" t="s">
        <v>29</v>
      </c>
      <c r="B24" s="276"/>
      <c r="C24" s="33" t="s">
        <v>16</v>
      </c>
      <c r="D24" s="279" t="s">
        <v>38</v>
      </c>
      <c r="E24" s="280"/>
      <c r="F24" s="280"/>
      <c r="G24" s="280"/>
      <c r="H24" s="281"/>
      <c r="I24" s="208">
        <v>9</v>
      </c>
      <c r="J24" s="208"/>
      <c r="K24" s="208">
        <v>10</v>
      </c>
      <c r="L24" s="208"/>
      <c r="M24" s="208">
        <v>11</v>
      </c>
      <c r="N24" s="208"/>
      <c r="O24" s="208">
        <v>12</v>
      </c>
      <c r="P24" s="208"/>
      <c r="Q24" s="208">
        <v>13</v>
      </c>
      <c r="R24" s="208"/>
      <c r="S24" s="208">
        <v>14</v>
      </c>
      <c r="T24" s="208"/>
      <c r="U24" s="208">
        <v>15</v>
      </c>
      <c r="V24" s="208"/>
      <c r="W24" s="208">
        <v>16</v>
      </c>
      <c r="X24" s="208"/>
      <c r="Z24" s="50"/>
    </row>
    <row r="25" spans="1:28">
      <c r="A25" s="277" t="s">
        <v>15</v>
      </c>
      <c r="B25" s="278"/>
      <c r="C25" s="151" t="s">
        <v>46</v>
      </c>
      <c r="D25" s="282" t="s">
        <v>41</v>
      </c>
      <c r="E25" s="283"/>
      <c r="F25" s="283"/>
      <c r="G25" s="283"/>
      <c r="H25" s="284"/>
      <c r="I25" s="209"/>
      <c r="J25" s="209"/>
      <c r="K25" s="209"/>
      <c r="L25" s="209"/>
      <c r="M25" s="209"/>
      <c r="N25" s="209"/>
      <c r="O25" s="209"/>
      <c r="P25" s="209"/>
      <c r="Q25" s="209"/>
      <c r="R25" s="209"/>
      <c r="S25" s="209"/>
      <c r="T25" s="209"/>
      <c r="U25" s="209"/>
      <c r="V25" s="209"/>
      <c r="W25" s="209"/>
      <c r="X25" s="209"/>
      <c r="Z25" s="158" t="s">
        <v>50</v>
      </c>
    </row>
    <row r="26" spans="1:28" s="19" customFormat="1" ht="9.9499999999999993" customHeight="1">
      <c r="A26" s="177" t="s">
        <v>54</v>
      </c>
      <c r="B26" s="177"/>
      <c r="C26" s="179" t="s">
        <v>82</v>
      </c>
      <c r="D26" s="158" t="s">
        <v>50</v>
      </c>
      <c r="E26" s="160">
        <v>2.08</v>
      </c>
      <c r="F26" s="161"/>
      <c r="G26" s="52" t="s">
        <v>52</v>
      </c>
      <c r="H26" s="44">
        <v>0.05</v>
      </c>
      <c r="I26" s="261">
        <v>2.0979999999999999</v>
      </c>
      <c r="J26" s="261"/>
      <c r="K26" s="261">
        <v>2.0990000000000002</v>
      </c>
      <c r="L26" s="261"/>
      <c r="M26" s="261">
        <v>2.097</v>
      </c>
      <c r="N26" s="261"/>
      <c r="O26" s="261">
        <v>2.101</v>
      </c>
      <c r="P26" s="261"/>
      <c r="Q26" s="261">
        <v>2.1019999999999999</v>
      </c>
      <c r="R26" s="261"/>
      <c r="S26" s="261">
        <v>2.1</v>
      </c>
      <c r="T26" s="261"/>
      <c r="U26" s="261">
        <v>2.097</v>
      </c>
      <c r="V26" s="261"/>
      <c r="W26" s="261">
        <v>2.101</v>
      </c>
      <c r="X26" s="261"/>
      <c r="Z26" s="159"/>
      <c r="AA26" s="46">
        <f>E26+H26</f>
        <v>2.13</v>
      </c>
      <c r="AB26" s="56">
        <v>26</v>
      </c>
    </row>
    <row r="27" spans="1:28" s="19" customFormat="1" ht="9.9499999999999993" customHeight="1">
      <c r="A27" s="178"/>
      <c r="B27" s="178"/>
      <c r="C27" s="197"/>
      <c r="D27" s="159"/>
      <c r="E27" s="162"/>
      <c r="F27" s="162"/>
      <c r="G27" s="51" t="s">
        <v>53</v>
      </c>
      <c r="H27" s="48">
        <v>0.05</v>
      </c>
      <c r="I27" s="261"/>
      <c r="J27" s="261"/>
      <c r="K27" s="261"/>
      <c r="L27" s="261"/>
      <c r="M27" s="261"/>
      <c r="N27" s="261"/>
      <c r="O27" s="261"/>
      <c r="P27" s="261"/>
      <c r="Q27" s="261"/>
      <c r="R27" s="261"/>
      <c r="S27" s="261"/>
      <c r="T27" s="261"/>
      <c r="U27" s="261"/>
      <c r="V27" s="261"/>
      <c r="W27" s="261"/>
      <c r="X27" s="261"/>
      <c r="AA27" s="46">
        <f>E26-H27</f>
        <v>2.0300000000000002</v>
      </c>
      <c r="AB27" s="56">
        <v>27</v>
      </c>
    </row>
    <row r="28" spans="1:28" s="19" customFormat="1" ht="9.9499999999999993" customHeight="1">
      <c r="A28" s="177" t="s">
        <v>55</v>
      </c>
      <c r="B28" s="177"/>
      <c r="C28" s="179" t="s">
        <v>83</v>
      </c>
      <c r="D28" s="158" t="s">
        <v>50</v>
      </c>
      <c r="E28" s="160">
        <v>1.97</v>
      </c>
      <c r="F28" s="161"/>
      <c r="G28" s="52" t="s">
        <v>52</v>
      </c>
      <c r="H28" s="44">
        <v>0.05</v>
      </c>
      <c r="I28" s="261">
        <v>1.99</v>
      </c>
      <c r="J28" s="261"/>
      <c r="K28" s="261">
        <v>1.99</v>
      </c>
      <c r="L28" s="261"/>
      <c r="M28" s="261">
        <v>1.99</v>
      </c>
      <c r="N28" s="261"/>
      <c r="O28" s="261">
        <v>1.99</v>
      </c>
      <c r="P28" s="261"/>
      <c r="Q28" s="261">
        <v>1.99</v>
      </c>
      <c r="R28" s="261"/>
      <c r="S28" s="261">
        <v>1.99</v>
      </c>
      <c r="T28" s="261"/>
      <c r="U28" s="261">
        <v>1.99</v>
      </c>
      <c r="V28" s="261"/>
      <c r="W28" s="261">
        <v>2.02</v>
      </c>
      <c r="X28" s="261"/>
      <c r="AA28" s="46">
        <f>E28+H28</f>
        <v>2.02</v>
      </c>
      <c r="AB28" s="56">
        <v>28</v>
      </c>
    </row>
    <row r="29" spans="1:28" s="19" customFormat="1" ht="9.9499999999999993" customHeight="1">
      <c r="A29" s="178"/>
      <c r="B29" s="178"/>
      <c r="C29" s="197"/>
      <c r="D29" s="159"/>
      <c r="E29" s="162"/>
      <c r="F29" s="162"/>
      <c r="G29" s="51" t="s">
        <v>53</v>
      </c>
      <c r="H29" s="48">
        <v>0.05</v>
      </c>
      <c r="I29" s="261"/>
      <c r="J29" s="261"/>
      <c r="K29" s="261"/>
      <c r="L29" s="261"/>
      <c r="M29" s="261"/>
      <c r="N29" s="261"/>
      <c r="O29" s="261"/>
      <c r="P29" s="261"/>
      <c r="Q29" s="261"/>
      <c r="R29" s="261"/>
      <c r="S29" s="261"/>
      <c r="T29" s="261"/>
      <c r="U29" s="261"/>
      <c r="V29" s="261"/>
      <c r="W29" s="261"/>
      <c r="X29" s="261"/>
      <c r="AA29" s="46">
        <f>E28-H29</f>
        <v>1.92</v>
      </c>
      <c r="AB29" s="56">
        <v>29</v>
      </c>
    </row>
    <row r="30" spans="1:28" s="19" customFormat="1" ht="9.9499999999999993" customHeight="1">
      <c r="A30" s="177" t="s">
        <v>56</v>
      </c>
      <c r="B30" s="177"/>
      <c r="C30" s="179" t="s">
        <v>82</v>
      </c>
      <c r="D30" s="158" t="s">
        <v>50</v>
      </c>
      <c r="E30" s="160">
        <v>2.08</v>
      </c>
      <c r="F30" s="161"/>
      <c r="G30" s="52" t="s">
        <v>52</v>
      </c>
      <c r="H30" s="44">
        <v>0.05</v>
      </c>
      <c r="I30" s="261">
        <v>2.0920000000000001</v>
      </c>
      <c r="J30" s="261"/>
      <c r="K30" s="261">
        <v>2.0859999999999999</v>
      </c>
      <c r="L30" s="261"/>
      <c r="M30" s="261">
        <v>2.0840000000000001</v>
      </c>
      <c r="N30" s="261"/>
      <c r="O30" s="261">
        <v>2.089</v>
      </c>
      <c r="P30" s="261"/>
      <c r="Q30" s="261">
        <v>2.1030000000000002</v>
      </c>
      <c r="R30" s="261"/>
      <c r="S30" s="261">
        <v>2.0990000000000002</v>
      </c>
      <c r="T30" s="261"/>
      <c r="U30" s="261">
        <v>2.0819999999999999</v>
      </c>
      <c r="V30" s="261"/>
      <c r="W30" s="261">
        <v>2.089</v>
      </c>
      <c r="X30" s="261"/>
      <c r="AA30" s="46">
        <f>E30+H30</f>
        <v>2.13</v>
      </c>
      <c r="AB30" s="56">
        <v>30</v>
      </c>
    </row>
    <row r="31" spans="1:28" s="19" customFormat="1" ht="9.9499999999999993" customHeight="1">
      <c r="A31" s="178"/>
      <c r="B31" s="178"/>
      <c r="C31" s="197"/>
      <c r="D31" s="159"/>
      <c r="E31" s="162"/>
      <c r="F31" s="162"/>
      <c r="G31" s="51" t="s">
        <v>53</v>
      </c>
      <c r="H31" s="48">
        <v>0.05</v>
      </c>
      <c r="I31" s="261"/>
      <c r="J31" s="261"/>
      <c r="K31" s="261"/>
      <c r="L31" s="261"/>
      <c r="M31" s="261"/>
      <c r="N31" s="261"/>
      <c r="O31" s="261"/>
      <c r="P31" s="261"/>
      <c r="Q31" s="261"/>
      <c r="R31" s="261"/>
      <c r="S31" s="261"/>
      <c r="T31" s="261"/>
      <c r="U31" s="261"/>
      <c r="V31" s="261"/>
      <c r="W31" s="261"/>
      <c r="X31" s="261"/>
      <c r="AA31" s="46">
        <f>E30-H31</f>
        <v>2.0300000000000002</v>
      </c>
      <c r="AB31" s="56">
        <v>31</v>
      </c>
    </row>
    <row r="32" spans="1:28" s="19" customFormat="1" ht="9.9499999999999993" customHeight="1">
      <c r="A32" s="177" t="s">
        <v>57</v>
      </c>
      <c r="B32" s="177"/>
      <c r="C32" s="179" t="s">
        <v>84</v>
      </c>
      <c r="D32" s="158" t="s">
        <v>50</v>
      </c>
      <c r="E32" s="160">
        <v>10.92</v>
      </c>
      <c r="F32" s="161"/>
      <c r="G32" s="52" t="s">
        <v>52</v>
      </c>
      <c r="H32" s="44">
        <v>0.13</v>
      </c>
      <c r="I32" s="214">
        <v>11</v>
      </c>
      <c r="J32" s="214"/>
      <c r="K32" s="214">
        <v>11</v>
      </c>
      <c r="L32" s="214"/>
      <c r="M32" s="214">
        <v>11</v>
      </c>
      <c r="N32" s="214"/>
      <c r="O32" s="214">
        <v>11.02</v>
      </c>
      <c r="P32" s="214"/>
      <c r="Q32" s="214">
        <v>11.03</v>
      </c>
      <c r="R32" s="214"/>
      <c r="S32" s="214">
        <v>11</v>
      </c>
      <c r="T32" s="214"/>
      <c r="U32" s="214">
        <v>11.02</v>
      </c>
      <c r="V32" s="214"/>
      <c r="W32" s="214">
        <v>11</v>
      </c>
      <c r="X32" s="214"/>
      <c r="AA32" s="46">
        <f>E32+H32</f>
        <v>11.05</v>
      </c>
      <c r="AB32" s="56">
        <v>32</v>
      </c>
    </row>
    <row r="33" spans="1:28" s="19" customFormat="1" ht="9.9499999999999993" customHeight="1">
      <c r="A33" s="178"/>
      <c r="B33" s="178"/>
      <c r="C33" s="197"/>
      <c r="D33" s="159"/>
      <c r="E33" s="162"/>
      <c r="F33" s="162"/>
      <c r="G33" s="51" t="s">
        <v>53</v>
      </c>
      <c r="H33" s="48">
        <v>0.13</v>
      </c>
      <c r="I33" s="214"/>
      <c r="J33" s="214"/>
      <c r="K33" s="214"/>
      <c r="L33" s="214"/>
      <c r="M33" s="214"/>
      <c r="N33" s="214"/>
      <c r="O33" s="214"/>
      <c r="P33" s="214"/>
      <c r="Q33" s="214"/>
      <c r="R33" s="214"/>
      <c r="S33" s="214"/>
      <c r="T33" s="214"/>
      <c r="U33" s="214"/>
      <c r="V33" s="214"/>
      <c r="W33" s="214"/>
      <c r="X33" s="214"/>
      <c r="AA33" s="46">
        <f>E32-H33</f>
        <v>10.79</v>
      </c>
      <c r="AB33" s="56">
        <v>33</v>
      </c>
    </row>
    <row r="34" spans="1:28" s="19" customFormat="1" ht="9.9499999999999993" customHeight="1">
      <c r="A34" s="177" t="s">
        <v>58</v>
      </c>
      <c r="B34" s="177"/>
      <c r="C34" s="163" t="s">
        <v>86</v>
      </c>
      <c r="D34" s="145" t="s">
        <v>87</v>
      </c>
      <c r="E34" s="146"/>
      <c r="F34" s="146"/>
      <c r="G34" s="146"/>
      <c r="H34" s="147"/>
      <c r="I34" s="176" t="s">
        <v>102</v>
      </c>
      <c r="J34" s="176"/>
      <c r="K34" s="176" t="s">
        <v>102</v>
      </c>
      <c r="L34" s="176"/>
      <c r="M34" s="176" t="s">
        <v>102</v>
      </c>
      <c r="N34" s="176"/>
      <c r="O34" s="176" t="s">
        <v>102</v>
      </c>
      <c r="P34" s="176"/>
      <c r="Q34" s="176" t="s">
        <v>102</v>
      </c>
      <c r="R34" s="176"/>
      <c r="S34" s="176" t="s">
        <v>102</v>
      </c>
      <c r="T34" s="176"/>
      <c r="U34" s="176" t="s">
        <v>102</v>
      </c>
      <c r="V34" s="176"/>
      <c r="W34" s="176" t="s">
        <v>102</v>
      </c>
      <c r="X34" s="176"/>
      <c r="AA34" s="47"/>
      <c r="AB34" s="56">
        <v>34</v>
      </c>
    </row>
    <row r="35" spans="1:28" s="19" customFormat="1" ht="9.9499999999999993" customHeight="1">
      <c r="A35" s="178"/>
      <c r="B35" s="178"/>
      <c r="C35" s="164"/>
      <c r="D35" s="148" t="s">
        <v>88</v>
      </c>
      <c r="E35" s="149"/>
      <c r="F35" s="149"/>
      <c r="G35" s="149"/>
      <c r="H35" s="150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  <c r="X35" s="176"/>
      <c r="AA35" s="47"/>
      <c r="AB35" s="56">
        <v>35</v>
      </c>
    </row>
    <row r="36" spans="1:28" s="20" customFormat="1" ht="9.9499999999999993" customHeight="1">
      <c r="A36" s="177" t="s">
        <v>59</v>
      </c>
      <c r="B36" s="177"/>
      <c r="C36" s="31" t="s">
        <v>94</v>
      </c>
      <c r="D36" s="57" t="s">
        <v>68</v>
      </c>
      <c r="E36" s="53"/>
      <c r="F36" s="53"/>
      <c r="G36" s="53"/>
      <c r="H36" s="37"/>
      <c r="I36" s="176" t="s">
        <v>102</v>
      </c>
      <c r="J36" s="176"/>
      <c r="K36" s="176" t="s">
        <v>102</v>
      </c>
      <c r="L36" s="176"/>
      <c r="M36" s="176" t="s">
        <v>102</v>
      </c>
      <c r="N36" s="176"/>
      <c r="O36" s="176" t="s">
        <v>102</v>
      </c>
      <c r="P36" s="176"/>
      <c r="Q36" s="176" t="s">
        <v>102</v>
      </c>
      <c r="R36" s="176"/>
      <c r="S36" s="176" t="s">
        <v>102</v>
      </c>
      <c r="T36" s="176"/>
      <c r="U36" s="176" t="s">
        <v>102</v>
      </c>
      <c r="V36" s="176"/>
      <c r="W36" s="176" t="s">
        <v>102</v>
      </c>
      <c r="X36" s="176"/>
      <c r="AA36" s="45"/>
      <c r="AB36" s="56">
        <v>36</v>
      </c>
    </row>
    <row r="37" spans="1:28" s="20" customFormat="1" ht="9.9499999999999993" customHeight="1">
      <c r="A37" s="178"/>
      <c r="B37" s="178"/>
      <c r="C37" s="30" t="s">
        <v>63</v>
      </c>
      <c r="D37" s="148" t="s">
        <v>67</v>
      </c>
      <c r="E37" s="149"/>
      <c r="F37" s="149"/>
      <c r="G37" s="149"/>
      <c r="H37" s="150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  <c r="X37" s="176"/>
      <c r="AA37" s="45"/>
      <c r="AB37" s="56">
        <v>37</v>
      </c>
    </row>
    <row r="38" spans="1:28" s="20" customFormat="1" ht="9.9499999999999993" customHeight="1">
      <c r="A38" s="177" t="s">
        <v>85</v>
      </c>
      <c r="B38" s="177"/>
      <c r="C38" s="31" t="s">
        <v>64</v>
      </c>
      <c r="D38" s="145" t="s">
        <v>69</v>
      </c>
      <c r="E38" s="146"/>
      <c r="F38" s="146"/>
      <c r="G38" s="146"/>
      <c r="H38" s="147"/>
      <c r="I38" s="176" t="s">
        <v>103</v>
      </c>
      <c r="J38" s="176"/>
      <c r="K38" s="176" t="s">
        <v>103</v>
      </c>
      <c r="L38" s="176"/>
      <c r="M38" s="176" t="s">
        <v>103</v>
      </c>
      <c r="N38" s="176"/>
      <c r="O38" s="176" t="s">
        <v>103</v>
      </c>
      <c r="P38" s="176"/>
      <c r="Q38" s="176" t="s">
        <v>103</v>
      </c>
      <c r="R38" s="176"/>
      <c r="S38" s="176" t="s">
        <v>103</v>
      </c>
      <c r="T38" s="176"/>
      <c r="U38" s="176" t="s">
        <v>103</v>
      </c>
      <c r="V38" s="176"/>
      <c r="W38" s="176" t="s">
        <v>103</v>
      </c>
      <c r="X38" s="176"/>
      <c r="AA38" s="45"/>
      <c r="AB38" s="56">
        <v>38</v>
      </c>
    </row>
    <row r="39" spans="1:28" s="20" customFormat="1" ht="9.9499999999999993" customHeight="1">
      <c r="A39" s="178"/>
      <c r="B39" s="178"/>
      <c r="C39" s="30" t="s">
        <v>63</v>
      </c>
      <c r="D39" s="148" t="s">
        <v>70</v>
      </c>
      <c r="E39" s="149"/>
      <c r="F39" s="149"/>
      <c r="G39" s="149"/>
      <c r="H39" s="150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  <c r="X39" s="176"/>
      <c r="AA39" s="45"/>
      <c r="AB39" s="56">
        <v>39</v>
      </c>
    </row>
    <row r="40" spans="1:28" s="20" customFormat="1" ht="9.9499999999999993" customHeight="1">
      <c r="A40" s="177" t="s">
        <v>60</v>
      </c>
      <c r="B40" s="177"/>
      <c r="C40" s="31" t="s">
        <v>64</v>
      </c>
      <c r="D40" s="145" t="s">
        <v>71</v>
      </c>
      <c r="E40" s="54"/>
      <c r="F40" s="54"/>
      <c r="G40" s="54"/>
      <c r="H40" s="38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  <c r="X40" s="176"/>
      <c r="AA40" s="45"/>
      <c r="AB40" s="56">
        <v>40</v>
      </c>
    </row>
    <row r="41" spans="1:28" s="20" customFormat="1" ht="9.9499999999999993" customHeight="1">
      <c r="A41" s="178"/>
      <c r="B41" s="178"/>
      <c r="C41" s="30" t="s">
        <v>63</v>
      </c>
      <c r="D41" s="148" t="s">
        <v>72</v>
      </c>
      <c r="E41" s="55"/>
      <c r="F41" s="55"/>
      <c r="G41" s="55"/>
      <c r="H41" s="39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  <c r="X41" s="176"/>
      <c r="AA41" s="45"/>
      <c r="AB41" s="56"/>
    </row>
    <row r="42" spans="1:28" s="20" customFormat="1" ht="9.9499999999999993" customHeight="1">
      <c r="A42" s="177" t="s">
        <v>61</v>
      </c>
      <c r="B42" s="177"/>
      <c r="C42" s="163" t="s">
        <v>65</v>
      </c>
      <c r="D42" s="145" t="s">
        <v>73</v>
      </c>
      <c r="E42" s="152"/>
      <c r="F42" s="156"/>
      <c r="G42" s="52"/>
      <c r="H42" s="44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  <c r="X42" s="176"/>
      <c r="AA42" s="45"/>
      <c r="AB42" s="56"/>
    </row>
    <row r="43" spans="1:28" s="20" customFormat="1" ht="9.9499999999999993" customHeight="1">
      <c r="A43" s="178"/>
      <c r="B43" s="178"/>
      <c r="C43" s="296"/>
      <c r="D43" s="148" t="s">
        <v>74</v>
      </c>
      <c r="E43" s="157"/>
      <c r="F43" s="157"/>
      <c r="G43" s="51"/>
      <c r="H43" s="48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  <c r="X43" s="176"/>
      <c r="AA43" s="45"/>
      <c r="AB43" s="56"/>
    </row>
    <row r="44" spans="1:28" s="20" customFormat="1" ht="9.9499999999999993" customHeight="1">
      <c r="A44" s="177" t="s">
        <v>62</v>
      </c>
      <c r="B44" s="177"/>
      <c r="C44" s="163" t="s">
        <v>65</v>
      </c>
      <c r="D44" s="145" t="s">
        <v>75</v>
      </c>
      <c r="E44" s="152"/>
      <c r="F44" s="156"/>
      <c r="G44" s="52"/>
      <c r="H44" s="44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  <c r="X44" s="176"/>
      <c r="AA44" s="45"/>
      <c r="AB44" s="56"/>
    </row>
    <row r="45" spans="1:28" s="20" customFormat="1" ht="9.9499999999999993" customHeight="1">
      <c r="A45" s="178"/>
      <c r="B45" s="178"/>
      <c r="C45" s="164"/>
      <c r="D45" s="148" t="s">
        <v>76</v>
      </c>
      <c r="E45" s="157"/>
      <c r="F45" s="157"/>
      <c r="G45" s="51"/>
      <c r="H45" s="48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  <c r="X45" s="176"/>
      <c r="AA45" s="45"/>
      <c r="AB45" s="56"/>
    </row>
    <row r="46" spans="1:28" s="20" customFormat="1" ht="9.9499999999999993" customHeight="1">
      <c r="A46" s="177" t="s">
        <v>90</v>
      </c>
      <c r="B46" s="177"/>
      <c r="C46" s="163" t="s">
        <v>65</v>
      </c>
      <c r="D46" s="145" t="s">
        <v>77</v>
      </c>
      <c r="E46" s="146"/>
      <c r="F46" s="146"/>
      <c r="G46" s="146"/>
      <c r="H46" s="147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  <c r="X46" s="176"/>
      <c r="AA46" s="45"/>
      <c r="AB46" s="56"/>
    </row>
    <row r="47" spans="1:28" s="20" customFormat="1" ht="9.9499999999999993" customHeight="1">
      <c r="A47" s="178"/>
      <c r="B47" s="178"/>
      <c r="C47" s="164"/>
      <c r="D47" s="148" t="s">
        <v>78</v>
      </c>
      <c r="E47" s="149"/>
      <c r="F47" s="149"/>
      <c r="G47" s="149"/>
      <c r="H47" s="150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  <c r="X47" s="176"/>
      <c r="AA47" s="45"/>
      <c r="AB47" s="56"/>
    </row>
    <row r="48" spans="1:28" s="20" customFormat="1" ht="9.9499999999999993" customHeight="1">
      <c r="A48" s="177" t="s">
        <v>89</v>
      </c>
      <c r="B48" s="177"/>
      <c r="C48" s="179" t="s">
        <v>66</v>
      </c>
      <c r="D48" s="145" t="s">
        <v>79</v>
      </c>
      <c r="E48" s="146"/>
      <c r="F48" s="146"/>
      <c r="G48" s="146"/>
      <c r="H48" s="147"/>
      <c r="I48" s="176" t="s">
        <v>103</v>
      </c>
      <c r="J48" s="176"/>
      <c r="K48" s="176" t="s">
        <v>103</v>
      </c>
      <c r="L48" s="176"/>
      <c r="M48" s="176" t="s">
        <v>103</v>
      </c>
      <c r="N48" s="176"/>
      <c r="O48" s="176" t="s">
        <v>103</v>
      </c>
      <c r="P48" s="176"/>
      <c r="Q48" s="176" t="s">
        <v>103</v>
      </c>
      <c r="R48" s="176"/>
      <c r="S48" s="176" t="s">
        <v>103</v>
      </c>
      <c r="T48" s="176"/>
      <c r="U48" s="176" t="s">
        <v>103</v>
      </c>
      <c r="V48" s="176"/>
      <c r="W48" s="176" t="s">
        <v>103</v>
      </c>
      <c r="X48" s="176"/>
      <c r="AA48" s="45"/>
      <c r="AB48" s="56"/>
    </row>
    <row r="49" spans="1:28" s="20" customFormat="1" ht="9.9499999999999993" customHeight="1">
      <c r="A49" s="178"/>
      <c r="B49" s="178"/>
      <c r="C49" s="180"/>
      <c r="D49" s="148" t="s">
        <v>80</v>
      </c>
      <c r="E49" s="149"/>
      <c r="F49" s="149"/>
      <c r="G49" s="149"/>
      <c r="H49" s="150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  <c r="X49" s="176"/>
      <c r="AA49" s="45"/>
      <c r="AB49" s="56"/>
    </row>
    <row r="50" spans="1:28" s="20" customFormat="1" ht="9.9499999999999993" customHeight="1">
      <c r="A50" s="177"/>
      <c r="B50" s="177"/>
      <c r="C50" s="40"/>
      <c r="D50" s="187"/>
      <c r="E50" s="188"/>
      <c r="F50" s="188"/>
      <c r="G50" s="188"/>
      <c r="H50" s="189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  <c r="X50" s="176"/>
      <c r="AA50" s="45"/>
      <c r="AB50" s="56"/>
    </row>
    <row r="51" spans="1:28" s="20" customFormat="1" ht="9.9499999999999993" customHeight="1">
      <c r="A51" s="178"/>
      <c r="B51" s="178"/>
      <c r="C51" s="41"/>
      <c r="D51" s="194"/>
      <c r="E51" s="195"/>
      <c r="F51" s="195"/>
      <c r="G51" s="195"/>
      <c r="H51" s="19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  <c r="X51" s="176"/>
      <c r="AA51" s="45"/>
      <c r="AB51" s="56"/>
    </row>
    <row r="52" spans="1:28" s="20" customFormat="1" ht="9.9499999999999993" customHeight="1">
      <c r="A52" s="177"/>
      <c r="B52" s="177"/>
      <c r="C52" s="179"/>
      <c r="D52" s="187"/>
      <c r="E52" s="188"/>
      <c r="F52" s="188"/>
      <c r="G52" s="188"/>
      <c r="H52" s="189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  <c r="X52" s="176"/>
      <c r="AA52" s="45"/>
      <c r="AB52" s="56"/>
    </row>
    <row r="53" spans="1:28" s="20" customFormat="1" ht="9.9499999999999993" customHeight="1">
      <c r="A53" s="178"/>
      <c r="B53" s="178"/>
      <c r="C53" s="197"/>
      <c r="D53" s="194"/>
      <c r="E53" s="195"/>
      <c r="F53" s="195"/>
      <c r="G53" s="195"/>
      <c r="H53" s="19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  <c r="X53" s="176"/>
      <c r="AA53" s="45"/>
      <c r="AB53" s="56"/>
    </row>
    <row r="54" spans="1:28" s="20" customFormat="1" ht="9.9499999999999993" customHeight="1">
      <c r="A54" s="177"/>
      <c r="B54" s="177"/>
      <c r="C54" s="179"/>
      <c r="D54" s="158"/>
      <c r="E54" s="173"/>
      <c r="F54" s="174"/>
      <c r="G54" s="52"/>
      <c r="H54" s="44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  <c r="X54" s="176"/>
      <c r="AA54" s="45"/>
      <c r="AB54" s="56"/>
    </row>
    <row r="55" spans="1:28" s="20" customFormat="1" ht="9.9499999999999993" customHeight="1">
      <c r="A55" s="178"/>
      <c r="B55" s="178"/>
      <c r="C55" s="197"/>
      <c r="D55" s="159"/>
      <c r="E55" s="175"/>
      <c r="F55" s="175"/>
      <c r="G55" s="51"/>
      <c r="H55" s="48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  <c r="X55" s="176"/>
      <c r="AA55" s="45"/>
      <c r="AB55" s="56"/>
    </row>
    <row r="56" spans="1:28" s="20" customFormat="1" ht="9.9499999999999993" customHeight="1">
      <c r="A56" s="177"/>
      <c r="B56" s="177"/>
      <c r="C56" s="179"/>
      <c r="D56" s="158"/>
      <c r="E56" s="173"/>
      <c r="F56" s="174"/>
      <c r="G56" s="52"/>
      <c r="H56" s="44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  <c r="X56" s="176"/>
      <c r="AA56" s="45"/>
      <c r="AB56" s="56"/>
    </row>
    <row r="57" spans="1:28" s="20" customFormat="1" ht="9.9499999999999993" customHeight="1">
      <c r="A57" s="178"/>
      <c r="B57" s="178"/>
      <c r="C57" s="197"/>
      <c r="D57" s="159"/>
      <c r="E57" s="175"/>
      <c r="F57" s="175"/>
      <c r="G57" s="51"/>
      <c r="H57" s="48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  <c r="X57" s="176"/>
      <c r="AA57" s="45"/>
      <c r="AB57" s="56"/>
    </row>
    <row r="58" spans="1:28" s="20" customFormat="1" ht="9.9499999999999993" customHeight="1">
      <c r="A58" s="177"/>
      <c r="B58" s="177"/>
      <c r="C58" s="40"/>
      <c r="D58" s="187"/>
      <c r="E58" s="188"/>
      <c r="F58" s="188"/>
      <c r="G58" s="188"/>
      <c r="H58" s="189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  <c r="X58" s="176"/>
      <c r="AA58" s="45"/>
      <c r="AB58" s="56"/>
    </row>
    <row r="59" spans="1:28" s="20" customFormat="1" ht="9.9499999999999993" customHeight="1">
      <c r="A59" s="178"/>
      <c r="B59" s="178"/>
      <c r="C59" s="41"/>
      <c r="D59" s="194"/>
      <c r="E59" s="195"/>
      <c r="F59" s="195"/>
      <c r="G59" s="195"/>
      <c r="H59" s="19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  <c r="X59" s="176"/>
      <c r="AA59" s="45"/>
      <c r="AB59" s="56"/>
    </row>
    <row r="60" spans="1:28" s="20" customFormat="1" ht="9.9499999999999993" customHeight="1">
      <c r="A60" s="177"/>
      <c r="B60" s="177"/>
      <c r="C60" s="179"/>
      <c r="D60" s="187"/>
      <c r="E60" s="188"/>
      <c r="F60" s="188"/>
      <c r="G60" s="188"/>
      <c r="H60" s="189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  <c r="X60" s="176"/>
      <c r="AA60" s="45"/>
      <c r="AB60" s="56"/>
    </row>
    <row r="61" spans="1:28" s="20" customFormat="1" ht="9.9499999999999993" customHeight="1">
      <c r="A61" s="178"/>
      <c r="B61" s="178"/>
      <c r="C61" s="197"/>
      <c r="D61" s="194"/>
      <c r="E61" s="195"/>
      <c r="F61" s="195"/>
      <c r="G61" s="195"/>
      <c r="H61" s="19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  <c r="X61" s="176"/>
      <c r="AA61" s="45"/>
      <c r="AB61" s="56"/>
    </row>
    <row r="62" spans="1:28" s="20" customFormat="1" ht="9.9499999999999993" customHeight="1">
      <c r="A62" s="177"/>
      <c r="B62" s="177"/>
      <c r="C62" s="179"/>
      <c r="D62" s="187"/>
      <c r="E62" s="188"/>
      <c r="F62" s="188"/>
      <c r="G62" s="188"/>
      <c r="H62" s="189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  <c r="X62" s="176"/>
      <c r="AA62" s="45"/>
      <c r="AB62" s="56"/>
    </row>
    <row r="63" spans="1:28" s="20" customFormat="1" ht="9.9499999999999993" customHeight="1">
      <c r="A63" s="178"/>
      <c r="B63" s="178"/>
      <c r="C63" s="197"/>
      <c r="D63" s="194"/>
      <c r="E63" s="195"/>
      <c r="F63" s="195"/>
      <c r="G63" s="195"/>
      <c r="H63" s="19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  <c r="X63" s="176"/>
      <c r="AA63" s="45"/>
      <c r="AB63" s="56"/>
    </row>
    <row r="64" spans="1:28" s="20" customFormat="1" ht="9.9499999999999993" customHeight="1">
      <c r="A64" s="253"/>
      <c r="B64" s="254"/>
      <c r="C64" s="257"/>
      <c r="D64" s="259"/>
      <c r="E64" s="173"/>
      <c r="F64" s="173"/>
      <c r="G64" s="173"/>
      <c r="H64" s="260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  <c r="X64" s="176"/>
      <c r="AA64" s="45"/>
      <c r="AB64" s="56"/>
    </row>
    <row r="65" spans="1:28" s="20" customFormat="1" ht="9.9499999999999993" customHeight="1" thickBot="1">
      <c r="A65" s="255"/>
      <c r="B65" s="256"/>
      <c r="C65" s="258"/>
      <c r="D65" s="249"/>
      <c r="E65" s="250"/>
      <c r="F65" s="250"/>
      <c r="G65" s="250"/>
      <c r="H65" s="251"/>
      <c r="I65" s="252"/>
      <c r="J65" s="252"/>
      <c r="K65" s="252"/>
      <c r="L65" s="252"/>
      <c r="M65" s="252"/>
      <c r="N65" s="252"/>
      <c r="O65" s="252"/>
      <c r="P65" s="252"/>
      <c r="Q65" s="252"/>
      <c r="R65" s="252"/>
      <c r="S65" s="252"/>
      <c r="T65" s="252"/>
      <c r="U65" s="252"/>
      <c r="V65" s="252"/>
      <c r="W65" s="252"/>
      <c r="X65" s="252"/>
      <c r="AA65" s="45"/>
      <c r="AB65" s="56"/>
    </row>
    <row r="66" spans="1:28" ht="12.75" customHeight="1" thickTop="1">
      <c r="A66" s="233" t="s">
        <v>42</v>
      </c>
      <c r="B66" s="234"/>
      <c r="C66" s="234"/>
      <c r="D66" s="234"/>
      <c r="E66" s="234"/>
      <c r="F66" s="234"/>
      <c r="G66" s="234"/>
      <c r="H66" s="234"/>
      <c r="I66" s="234"/>
      <c r="J66" s="234"/>
      <c r="K66" s="234"/>
      <c r="L66" s="234"/>
      <c r="M66" s="234"/>
      <c r="N66" s="234"/>
      <c r="O66" s="234"/>
      <c r="P66" s="235"/>
      <c r="Q66" s="203"/>
      <c r="R66" s="204"/>
      <c r="S66" s="203"/>
      <c r="T66" s="204"/>
      <c r="U66" s="203"/>
      <c r="V66" s="204"/>
      <c r="W66" s="203"/>
      <c r="X66" s="204"/>
    </row>
    <row r="67" spans="1:28" ht="9.75" customHeight="1">
      <c r="A67" s="236" t="s">
        <v>43</v>
      </c>
      <c r="B67" s="237"/>
      <c r="C67" s="237"/>
      <c r="D67" s="237"/>
      <c r="E67" s="237"/>
      <c r="F67" s="237"/>
      <c r="G67" s="237"/>
      <c r="H67" s="237"/>
      <c r="I67" s="237"/>
      <c r="J67" s="237"/>
      <c r="K67" s="237"/>
      <c r="L67" s="237"/>
      <c r="M67" s="237"/>
      <c r="N67" s="237"/>
      <c r="O67" s="237"/>
      <c r="P67" s="238"/>
      <c r="Q67" s="205"/>
      <c r="R67" s="206"/>
      <c r="S67" s="205"/>
      <c r="T67" s="206"/>
      <c r="U67" s="205"/>
      <c r="V67" s="206"/>
      <c r="W67" s="205"/>
      <c r="X67" s="206"/>
    </row>
    <row r="68" spans="1:28" ht="12.75" customHeight="1">
      <c r="A68" s="184" t="s">
        <v>39</v>
      </c>
      <c r="B68" s="185"/>
      <c r="C68" s="185"/>
      <c r="D68" s="185"/>
      <c r="E68" s="185"/>
      <c r="F68" s="185"/>
      <c r="G68" s="185"/>
      <c r="H68" s="185"/>
      <c r="I68" s="185"/>
      <c r="J68" s="185"/>
      <c r="K68" s="185"/>
      <c r="L68" s="185"/>
      <c r="M68" s="185"/>
      <c r="N68" s="185"/>
      <c r="O68" s="185"/>
      <c r="P68" s="186"/>
      <c r="Q68" s="190"/>
      <c r="R68" s="191"/>
      <c r="S68" s="190"/>
      <c r="T68" s="191"/>
      <c r="U68" s="190"/>
      <c r="V68" s="191"/>
      <c r="W68" s="190"/>
      <c r="X68" s="191"/>
    </row>
    <row r="69" spans="1:28" ht="9.75" customHeight="1">
      <c r="A69" s="181" t="s">
        <v>44</v>
      </c>
      <c r="B69" s="182"/>
      <c r="C69" s="182"/>
      <c r="D69" s="182"/>
      <c r="E69" s="182"/>
      <c r="F69" s="182"/>
      <c r="G69" s="182"/>
      <c r="H69" s="182"/>
      <c r="I69" s="182"/>
      <c r="J69" s="182"/>
      <c r="K69" s="182"/>
      <c r="L69" s="182"/>
      <c r="M69" s="182"/>
      <c r="N69" s="182"/>
      <c r="O69" s="182"/>
      <c r="P69" s="183"/>
      <c r="Q69" s="192"/>
      <c r="R69" s="193"/>
      <c r="S69" s="192"/>
      <c r="T69" s="193"/>
      <c r="U69" s="192"/>
      <c r="V69" s="193"/>
      <c r="W69" s="192"/>
      <c r="X69" s="193"/>
    </row>
    <row r="70" spans="1:28" ht="12.75" customHeight="1">
      <c r="A70" s="184"/>
      <c r="B70" s="185"/>
      <c r="C70" s="185"/>
      <c r="D70" s="185"/>
      <c r="E70" s="185"/>
      <c r="F70" s="185"/>
      <c r="G70" s="185"/>
      <c r="H70" s="185"/>
      <c r="I70" s="185"/>
      <c r="J70" s="185"/>
      <c r="K70" s="185"/>
      <c r="L70" s="185"/>
      <c r="M70" s="185"/>
      <c r="N70" s="185"/>
      <c r="O70" s="185"/>
      <c r="P70" s="186"/>
      <c r="Q70" s="190"/>
      <c r="R70" s="191"/>
      <c r="S70" s="190"/>
      <c r="T70" s="191"/>
      <c r="U70" s="190"/>
      <c r="V70" s="191"/>
      <c r="W70" s="190"/>
      <c r="X70" s="191"/>
    </row>
    <row r="71" spans="1:28" ht="9.75" customHeight="1">
      <c r="A71" s="181"/>
      <c r="B71" s="182"/>
      <c r="C71" s="182"/>
      <c r="D71" s="182"/>
      <c r="E71" s="182"/>
      <c r="F71" s="182"/>
      <c r="G71" s="182"/>
      <c r="H71" s="182"/>
      <c r="I71" s="182"/>
      <c r="J71" s="182"/>
      <c r="K71" s="182"/>
      <c r="L71" s="182"/>
      <c r="M71" s="182"/>
      <c r="N71" s="182"/>
      <c r="O71" s="182"/>
      <c r="P71" s="183"/>
      <c r="Q71" s="192"/>
      <c r="R71" s="193"/>
      <c r="S71" s="192"/>
      <c r="T71" s="193"/>
      <c r="U71" s="192"/>
      <c r="V71" s="193"/>
      <c r="W71" s="192"/>
      <c r="X71" s="193"/>
    </row>
    <row r="72" spans="1:28" ht="12.75" customHeight="1">
      <c r="A72" s="184"/>
      <c r="B72" s="185"/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  <c r="N72" s="185"/>
      <c r="O72" s="185"/>
      <c r="P72" s="186"/>
      <c r="Q72" s="190"/>
      <c r="R72" s="191"/>
      <c r="S72" s="190"/>
      <c r="T72" s="191"/>
      <c r="U72" s="190"/>
      <c r="V72" s="191"/>
      <c r="W72" s="190"/>
      <c r="X72" s="191"/>
    </row>
    <row r="73" spans="1:28" ht="9.75" customHeight="1">
      <c r="A73" s="181"/>
      <c r="B73" s="182"/>
      <c r="C73" s="182"/>
      <c r="D73" s="182"/>
      <c r="E73" s="182"/>
      <c r="F73" s="182"/>
      <c r="G73" s="182"/>
      <c r="H73" s="182"/>
      <c r="I73" s="182"/>
      <c r="J73" s="182"/>
      <c r="K73" s="182"/>
      <c r="L73" s="182"/>
      <c r="M73" s="182"/>
      <c r="N73" s="182"/>
      <c r="O73" s="182"/>
      <c r="P73" s="183"/>
      <c r="Q73" s="192"/>
      <c r="R73" s="193"/>
      <c r="S73" s="192"/>
      <c r="T73" s="193"/>
      <c r="U73" s="192"/>
      <c r="V73" s="193"/>
      <c r="W73" s="192"/>
      <c r="X73" s="193"/>
    </row>
    <row r="74" spans="1:28" ht="12.75" customHeight="1">
      <c r="A74" s="184" t="s">
        <v>104</v>
      </c>
      <c r="B74" s="185"/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  <c r="N74" s="185"/>
      <c r="O74" s="185"/>
      <c r="P74" s="186"/>
      <c r="Q74" s="190" t="s">
        <v>96</v>
      </c>
      <c r="R74" s="191"/>
      <c r="S74" s="198">
        <v>42983</v>
      </c>
      <c r="T74" s="199"/>
      <c r="U74" s="190"/>
      <c r="V74" s="191"/>
      <c r="W74" s="190"/>
      <c r="X74" s="191"/>
    </row>
    <row r="75" spans="1:28" ht="9.75" customHeight="1">
      <c r="A75" s="181"/>
      <c r="B75" s="182"/>
      <c r="C75" s="182"/>
      <c r="D75" s="182"/>
      <c r="E75" s="182"/>
      <c r="F75" s="182"/>
      <c r="G75" s="182"/>
      <c r="H75" s="182"/>
      <c r="I75" s="182"/>
      <c r="J75" s="182"/>
      <c r="K75" s="182"/>
      <c r="L75" s="182"/>
      <c r="M75" s="182"/>
      <c r="N75" s="182"/>
      <c r="O75" s="182"/>
      <c r="P75" s="183"/>
      <c r="Q75" s="192"/>
      <c r="R75" s="193"/>
      <c r="S75" s="200"/>
      <c r="T75" s="201"/>
      <c r="U75" s="192"/>
      <c r="V75" s="193"/>
      <c r="W75" s="192"/>
      <c r="X75" s="193"/>
    </row>
    <row r="76" spans="1:28" ht="12.75" customHeight="1">
      <c r="A76" s="184"/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6"/>
      <c r="Q76" s="190" t="s">
        <v>17</v>
      </c>
      <c r="R76" s="191"/>
      <c r="S76" s="202">
        <v>42285</v>
      </c>
      <c r="T76" s="191"/>
      <c r="U76" s="190"/>
      <c r="V76" s="191"/>
      <c r="W76" s="190"/>
      <c r="X76" s="191"/>
    </row>
    <row r="77" spans="1:28" ht="9.75" customHeight="1">
      <c r="A77" s="181"/>
      <c r="B77" s="182"/>
      <c r="C77" s="182"/>
      <c r="D77" s="182"/>
      <c r="E77" s="182"/>
      <c r="F77" s="182"/>
      <c r="G77" s="182"/>
      <c r="H77" s="182"/>
      <c r="I77" s="182"/>
      <c r="J77" s="182"/>
      <c r="K77" s="182"/>
      <c r="L77" s="182"/>
      <c r="M77" s="182"/>
      <c r="N77" s="182"/>
      <c r="O77" s="182"/>
      <c r="P77" s="183"/>
      <c r="Q77" s="192"/>
      <c r="R77" s="193"/>
      <c r="S77" s="192"/>
      <c r="T77" s="193"/>
      <c r="U77" s="192"/>
      <c r="V77" s="193"/>
      <c r="W77" s="192"/>
      <c r="X77" s="193"/>
    </row>
    <row r="78" spans="1:28" ht="13.35" customHeight="1">
      <c r="A78" s="21"/>
      <c r="B78" s="22"/>
      <c r="C78" s="22"/>
      <c r="D78" s="22"/>
      <c r="E78" s="22"/>
      <c r="F78" s="22"/>
      <c r="G78" s="22"/>
      <c r="H78" s="22"/>
      <c r="I78" s="22"/>
      <c r="J78" s="292" t="s">
        <v>47</v>
      </c>
      <c r="K78" s="293"/>
      <c r="L78" s="239"/>
      <c r="M78" s="239"/>
      <c r="N78" s="239"/>
      <c r="O78" s="239"/>
      <c r="P78" s="240"/>
      <c r="Q78" s="232" t="s">
        <v>18</v>
      </c>
      <c r="R78" s="232"/>
      <c r="S78" s="232" t="s">
        <v>19</v>
      </c>
      <c r="T78" s="232"/>
      <c r="U78" s="232" t="s">
        <v>20</v>
      </c>
      <c r="V78" s="232"/>
      <c r="W78" s="232" t="s">
        <v>22</v>
      </c>
      <c r="X78" s="232"/>
    </row>
    <row r="79" spans="1:28" ht="9" customHeight="1">
      <c r="A79" s="23"/>
      <c r="B79" s="24"/>
      <c r="C79" s="24"/>
      <c r="D79" s="24"/>
      <c r="E79" s="24"/>
      <c r="F79" s="24"/>
      <c r="G79" s="24"/>
      <c r="H79" s="24"/>
      <c r="I79" s="24"/>
      <c r="J79" s="294" t="s">
        <v>45</v>
      </c>
      <c r="K79" s="295"/>
      <c r="L79" s="241"/>
      <c r="M79" s="241"/>
      <c r="N79" s="241"/>
      <c r="O79" s="241"/>
      <c r="P79" s="242"/>
      <c r="Q79" s="245" t="s">
        <v>5</v>
      </c>
      <c r="R79" s="245"/>
      <c r="S79" s="245" t="s">
        <v>10</v>
      </c>
      <c r="T79" s="245"/>
      <c r="U79" s="245" t="s">
        <v>21</v>
      </c>
      <c r="V79" s="245"/>
      <c r="W79" s="245" t="s">
        <v>23</v>
      </c>
      <c r="X79" s="245"/>
    </row>
    <row r="80" spans="1:28" ht="13.5" customHeight="1">
      <c r="A80" s="285" t="s">
        <v>24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</row>
  </sheetData>
  <sheetProtection sheet="1" objects="1" scenarios="1" selectLockedCells="1"/>
  <mergeCells count="318">
    <mergeCell ref="W79:X79"/>
    <mergeCell ref="A80:X80"/>
    <mergeCell ref="J78:K78"/>
    <mergeCell ref="L78:P79"/>
    <mergeCell ref="Q78:R78"/>
    <mergeCell ref="S78:T78"/>
    <mergeCell ref="U78:V78"/>
    <mergeCell ref="W78:X78"/>
    <mergeCell ref="J79:K79"/>
    <mergeCell ref="Q79:R79"/>
    <mergeCell ref="S79:T79"/>
    <mergeCell ref="U79:V79"/>
    <mergeCell ref="A76:P76"/>
    <mergeCell ref="Q76:R77"/>
    <mergeCell ref="S76:T77"/>
    <mergeCell ref="U76:V77"/>
    <mergeCell ref="W76:X77"/>
    <mergeCell ref="A77:P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O64:P65"/>
    <mergeCell ref="Q64:R65"/>
    <mergeCell ref="S64:T65"/>
    <mergeCell ref="U64:V65"/>
    <mergeCell ref="W64:X65"/>
    <mergeCell ref="D65:H65"/>
    <mergeCell ref="A64:B65"/>
    <mergeCell ref="C64:C65"/>
    <mergeCell ref="D64:H64"/>
    <mergeCell ref="I64:J65"/>
    <mergeCell ref="K64:L65"/>
    <mergeCell ref="M64:N65"/>
    <mergeCell ref="W58:X59"/>
    <mergeCell ref="D59:H59"/>
    <mergeCell ref="O62:P63"/>
    <mergeCell ref="Q62:R63"/>
    <mergeCell ref="S62:T63"/>
    <mergeCell ref="U62:V63"/>
    <mergeCell ref="W62:X63"/>
    <mergeCell ref="D63:H63"/>
    <mergeCell ref="A62:B63"/>
    <mergeCell ref="C62:C63"/>
    <mergeCell ref="D62:H62"/>
    <mergeCell ref="I62:J63"/>
    <mergeCell ref="K62:L63"/>
    <mergeCell ref="M62:N63"/>
    <mergeCell ref="A60:B61"/>
    <mergeCell ref="C60:C61"/>
    <mergeCell ref="D60:H60"/>
    <mergeCell ref="I60:J61"/>
    <mergeCell ref="K60:L61"/>
    <mergeCell ref="M60:N61"/>
    <mergeCell ref="S56:T57"/>
    <mergeCell ref="U56:V57"/>
    <mergeCell ref="W56:X57"/>
    <mergeCell ref="A58:B59"/>
    <mergeCell ref="D58:H58"/>
    <mergeCell ref="I58:J59"/>
    <mergeCell ref="K58:L59"/>
    <mergeCell ref="M58:N59"/>
    <mergeCell ref="O58:P59"/>
    <mergeCell ref="Q58:R59"/>
    <mergeCell ref="O60:P61"/>
    <mergeCell ref="Q60:R61"/>
    <mergeCell ref="S60:T61"/>
    <mergeCell ref="U60:V61"/>
    <mergeCell ref="W60:X61"/>
    <mergeCell ref="D61:H61"/>
    <mergeCell ref="S58:T59"/>
    <mergeCell ref="U58:V59"/>
    <mergeCell ref="A56:B57"/>
    <mergeCell ref="C56:C57"/>
    <mergeCell ref="D56:D57"/>
    <mergeCell ref="E56:F57"/>
    <mergeCell ref="I56:J57"/>
    <mergeCell ref="K56:L57"/>
    <mergeCell ref="M56:N57"/>
    <mergeCell ref="O56:P57"/>
    <mergeCell ref="Q56:R57"/>
    <mergeCell ref="A54:B55"/>
    <mergeCell ref="C54:C55"/>
    <mergeCell ref="D54:D55"/>
    <mergeCell ref="E54:F55"/>
    <mergeCell ref="I54:J55"/>
    <mergeCell ref="M52:N53"/>
    <mergeCell ref="O52:P53"/>
    <mergeCell ref="Q52:R53"/>
    <mergeCell ref="W54:X55"/>
    <mergeCell ref="K54:L55"/>
    <mergeCell ref="M54:N55"/>
    <mergeCell ref="O54:P55"/>
    <mergeCell ref="Q54:R55"/>
    <mergeCell ref="S54:T55"/>
    <mergeCell ref="U54:V55"/>
    <mergeCell ref="A50:B51"/>
    <mergeCell ref="D50:H50"/>
    <mergeCell ref="I50:J51"/>
    <mergeCell ref="K50:L51"/>
    <mergeCell ref="M50:N51"/>
    <mergeCell ref="O50:P51"/>
    <mergeCell ref="S52:T53"/>
    <mergeCell ref="U52:V53"/>
    <mergeCell ref="W52:X53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D53:H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A42:B43"/>
    <mergeCell ref="C42:C43"/>
    <mergeCell ref="I42:J43"/>
    <mergeCell ref="K42:L43"/>
    <mergeCell ref="M42:N43"/>
    <mergeCell ref="O42:P43"/>
    <mergeCell ref="Q44:R45"/>
    <mergeCell ref="S44:T45"/>
    <mergeCell ref="U44:V45"/>
    <mergeCell ref="W44:X4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S36:T37"/>
    <mergeCell ref="U36:V37"/>
    <mergeCell ref="W36:X37"/>
    <mergeCell ref="A34:B35"/>
    <mergeCell ref="C34:C35"/>
    <mergeCell ref="I34:J35"/>
    <mergeCell ref="K34:L35"/>
    <mergeCell ref="M34:N35"/>
    <mergeCell ref="O34:P35"/>
    <mergeCell ref="Q34:R35"/>
    <mergeCell ref="S34:T35"/>
    <mergeCell ref="U34:V35"/>
    <mergeCell ref="A30:B31"/>
    <mergeCell ref="C30:C31"/>
    <mergeCell ref="D30:D31"/>
    <mergeCell ref="E30:F31"/>
    <mergeCell ref="I30:J31"/>
    <mergeCell ref="W30:X31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K30:L31"/>
    <mergeCell ref="M30:N31"/>
    <mergeCell ref="O30:P31"/>
    <mergeCell ref="Q30:R31"/>
    <mergeCell ref="S30:T31"/>
    <mergeCell ref="U30:V31"/>
    <mergeCell ref="S32:T33"/>
    <mergeCell ref="U32:V33"/>
    <mergeCell ref="W32:X33"/>
    <mergeCell ref="W26:X27"/>
    <mergeCell ref="A28:B29"/>
    <mergeCell ref="C28:C29"/>
    <mergeCell ref="D28:D29"/>
    <mergeCell ref="E28:F29"/>
    <mergeCell ref="I28:J29"/>
    <mergeCell ref="K28:L29"/>
    <mergeCell ref="M28:N29"/>
    <mergeCell ref="O28:P29"/>
    <mergeCell ref="Q28:R29"/>
    <mergeCell ref="S28:T29"/>
    <mergeCell ref="U28:V29"/>
    <mergeCell ref="W28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28:X29">
    <cfRule type="cellIs" dxfId="7" priority="7" operator="greaterThan">
      <formula>$AA$28</formula>
    </cfRule>
    <cfRule type="cellIs" dxfId="6" priority="8" operator="lessThan">
      <formula>$AA$29</formula>
    </cfRule>
  </conditionalFormatting>
  <conditionalFormatting sqref="I32:X33">
    <cfRule type="cellIs" dxfId="5" priority="5" operator="greaterThan">
      <formula>$AA$32</formula>
    </cfRule>
    <cfRule type="cellIs" dxfId="4" priority="6" operator="lessThan">
      <formula>$AA$33</formula>
    </cfRule>
  </conditionalFormatting>
  <conditionalFormatting sqref="I30:X31">
    <cfRule type="cellIs" dxfId="3" priority="3" operator="greaterThan">
      <formula>$AA$30</formula>
    </cfRule>
    <cfRule type="cellIs" dxfId="2" priority="4" operator="lessThan">
      <formula>$AA$31</formula>
    </cfRule>
  </conditionalFormatting>
  <conditionalFormatting sqref="I26:X27">
    <cfRule type="cellIs" dxfId="1" priority="1" operator="greaterThan">
      <formula>$AA$26</formula>
    </cfRule>
    <cfRule type="cellIs" dxfId="0" priority="2" operator="lessThan">
      <formula>$AA$27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已命名的範圍</vt:lpstr>
      </vt:variant>
      <vt:variant>
        <vt:i4>16</vt:i4>
      </vt:variant>
    </vt:vector>
  </HeadingPairs>
  <TitlesOfParts>
    <vt:vector size="32" baseType="lpstr">
      <vt:lpstr>SETUP</vt:lpstr>
      <vt:lpstr>SETUP (2)</vt:lpstr>
      <vt:lpstr>180510D-1</vt:lpstr>
      <vt:lpstr>180510D-2</vt:lpstr>
      <vt:lpstr>180510E-1</vt:lpstr>
      <vt:lpstr>180510E-2</vt:lpstr>
      <vt:lpstr>180511D-1</vt:lpstr>
      <vt:lpstr>180511D-2</vt:lpstr>
      <vt:lpstr>180513E-1</vt:lpstr>
      <vt:lpstr>180513E-2</vt:lpstr>
      <vt:lpstr>180514D-1</vt:lpstr>
      <vt:lpstr>180514D-2</vt:lpstr>
      <vt:lpstr>180514E-1</vt:lpstr>
      <vt:lpstr>180514E-2</vt:lpstr>
      <vt:lpstr>180515D-1</vt:lpstr>
      <vt:lpstr>180515D-2</vt:lpstr>
      <vt:lpstr>'180510D-1'!Print_Area</vt:lpstr>
      <vt:lpstr>'180510D-2'!Print_Area</vt:lpstr>
      <vt:lpstr>'180510E-1'!Print_Area</vt:lpstr>
      <vt:lpstr>'180510E-2'!Print_Area</vt:lpstr>
      <vt:lpstr>'180511D-1'!Print_Area</vt:lpstr>
      <vt:lpstr>'180511D-2'!Print_Area</vt:lpstr>
      <vt:lpstr>'180513E-1'!Print_Area</vt:lpstr>
      <vt:lpstr>'180513E-2'!Print_Area</vt:lpstr>
      <vt:lpstr>'180514D-1'!Print_Area</vt:lpstr>
      <vt:lpstr>'180514D-2'!Print_Area</vt:lpstr>
      <vt:lpstr>'180514E-1'!Print_Area</vt:lpstr>
      <vt:lpstr>'180514E-2'!Print_Area</vt:lpstr>
      <vt:lpstr>'180515D-1'!Print_Area</vt:lpstr>
      <vt:lpstr>'180515D-2'!Print_Area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ws22</cp:lastModifiedBy>
  <cp:lastPrinted>2017-09-06T03:50:10Z</cp:lastPrinted>
  <dcterms:created xsi:type="dcterms:W3CDTF">2014-12-29T06:32:15Z</dcterms:created>
  <dcterms:modified xsi:type="dcterms:W3CDTF">2018-05-15T08:22:38Z</dcterms:modified>
</cp:coreProperties>
</file>