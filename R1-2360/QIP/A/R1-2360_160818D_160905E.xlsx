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53.xml" ContentType="application/vnd.openxmlformats-officedocument.spreadsheetml.worksheet+xml"/>
  <Override PartName="/xl/worksheets/sheet13.xml" ContentType="application/vnd.openxmlformats-officedocument.spreadsheetml.worksheet+xml"/>
  <Override PartName="/xl/worksheets/sheet42.xml" ContentType="application/vnd.openxmlformats-officedocument.spreadsheetml.worksheet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39.xml" ContentType="application/vnd.openxmlformats-officedocument.drawing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7.xml" ContentType="application/vnd.openxmlformats-officedocument.drawing+xml"/>
  <Override PartName="/xl/drawings/drawing28.xml" ContentType="application/vnd.openxmlformats-officedocument.drawing+xml"/>
  <Override PartName="/xl/drawings/drawing46.xml" ContentType="application/vnd.openxmlformats-officedocument.drawing+xml"/>
  <Default Extension="xml" ContentType="application/xml"/>
  <Override PartName="/xl/drawings/drawing2.xml" ContentType="application/vnd.openxmlformats-officedocument.drawing+xml"/>
  <Override PartName="/xl/drawings/drawing35.xml" ContentType="application/vnd.openxmlformats-officedocument.drawing+xml"/>
  <Override PartName="/xl/drawings/drawing53.xml" ContentType="application/vnd.openxmlformats-officedocument.drawing+xml"/>
  <Override PartName="/xl/worksheets/sheet3.xml" ContentType="application/vnd.openxmlformats-officedocument.spreadsheetml.worksheet+xml"/>
  <Override PartName="/xl/drawings/drawing13.xml" ContentType="application/vnd.openxmlformats-officedocument.drawing+xml"/>
  <Override PartName="/xl/drawings/drawing22.xml" ContentType="application/vnd.openxmlformats-officedocument.drawing+xml"/>
  <Override PartName="/xl/drawings/drawing24.xml" ContentType="application/vnd.openxmlformats-officedocument.drawing+xml"/>
  <Override PartName="/xl/drawings/drawing33.xml" ContentType="application/vnd.openxmlformats-officedocument.drawing+xml"/>
  <Override PartName="/xl/drawings/drawing42.xml" ContentType="application/vnd.openxmlformats-officedocument.drawing+xml"/>
  <Override PartName="/xl/drawings/drawing51.xml" ContentType="application/vnd.openxmlformats-officedocument.drawing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drawings/drawing11.xml" ContentType="application/vnd.openxmlformats-officedocument.drawing+xml"/>
  <Override PartName="/xl/drawings/drawing20.xml" ContentType="application/vnd.openxmlformats-officedocument.drawing+xml"/>
  <Override PartName="/xl/drawings/drawing31.xml" ContentType="application/vnd.openxmlformats-officedocument.drawing+xml"/>
  <Override PartName="/xl/drawings/drawing40.xml" ContentType="application/vnd.openxmlformats-officedocument.drawing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47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45.xml" ContentType="application/vnd.openxmlformats-officedocument.spreadsheetml.worksheet+xml"/>
  <Override PartName="/xl/worksheets/sheet54.xml" ContentType="application/vnd.openxmlformats-officedocument.spreadsheetml.worksheet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2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drawings/drawing7.xml" ContentType="application/vnd.openxmlformats-officedocument.drawing+xml"/>
  <Override PartName="/xl/drawings/drawing29.xml" ContentType="application/vnd.openxmlformats-officedocument.drawing+xml"/>
  <Override PartName="/xl/drawings/drawing38.xml" ContentType="application/vnd.openxmlformats-officedocument.drawing+xml"/>
  <Override PartName="/xl/drawings/drawing49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Default Extension="jpeg" ContentType="image/jpeg"/>
  <Override PartName="/xl/drawings/drawing5.xml" ContentType="application/vnd.openxmlformats-officedocument.drawing+xml"/>
  <Override PartName="/xl/drawings/drawing18.xml" ContentType="application/vnd.openxmlformats-officedocument.drawing+xml"/>
  <Override PartName="/xl/drawings/drawing27.xml" ContentType="application/vnd.openxmlformats-officedocument.drawing+xml"/>
  <Override PartName="/xl/drawings/drawing36.xml" ContentType="application/vnd.openxmlformats-officedocument.drawing+xml"/>
  <Override PartName="/xl/drawings/drawing45.xml" ContentType="application/vnd.openxmlformats-officedocument.drawing+xml"/>
  <Override PartName="/xl/drawings/drawing47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drawing16.xml" ContentType="application/vnd.openxmlformats-officedocument.drawing+xml"/>
  <Override PartName="/xl/drawings/drawing25.xml" ContentType="application/vnd.openxmlformats-officedocument.drawing+xml"/>
  <Override PartName="/xl/drawings/drawing34.xml" ContentType="application/vnd.openxmlformats-officedocument.drawing+xml"/>
  <Override PartName="/xl/drawings/drawing43.xml" ContentType="application/vnd.openxmlformats-officedocument.drawing+xml"/>
  <Override PartName="/xl/drawings/drawing54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14.xml" ContentType="application/vnd.openxmlformats-officedocument.drawing+xml"/>
  <Override PartName="/xl/drawings/drawing23.xml" ContentType="application/vnd.openxmlformats-officedocument.drawing+xml"/>
  <Override PartName="/xl/drawings/drawing32.xml" ContentType="application/vnd.openxmlformats-officedocument.drawing+xml"/>
  <Override PartName="/xl/drawings/drawing41.xml" ContentType="application/vnd.openxmlformats-officedocument.drawing+xml"/>
  <Override PartName="/xl/drawings/drawing52.xml" ContentType="application/vnd.openxmlformats-officedocument.drawing+xml"/>
  <Override PartName="/xl/drawings/drawing12.xml" ContentType="application/vnd.openxmlformats-officedocument.drawing+xml"/>
  <Override PartName="/xl/drawings/drawing21.xml" ContentType="application/vnd.openxmlformats-officedocument.drawing+xml"/>
  <Override PartName="/xl/drawings/drawing30.xml" ContentType="application/vnd.openxmlformats-officedocument.drawing+xml"/>
  <Override PartName="/xl/drawings/drawing50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8.xml" ContentType="application/vnd.openxmlformats-officedocument.spreadsheetml.worksheet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drawings/drawing48.xml" ContentType="application/vnd.openxmlformats-officedocument.drawing+xml"/>
  <Override PartName="/xl/worksheets/sheet11.xml" ContentType="application/vnd.openxmlformats-officedocument.spreadsheetml.worksheet+xml"/>
  <Override PartName="/xl/worksheets/sheet40.xml" ContentType="application/vnd.openxmlformats-officedocument.spreadsheetml.worksheet+xml"/>
  <Override PartName="/xl/drawings/drawing4.xml" ContentType="application/vnd.openxmlformats-officedocument.drawing+xml"/>
  <Override PartName="/xl/drawings/drawing37.xml" ContentType="application/vnd.openxmlformats-officedocument.drawing+xml"/>
  <Default Extension="rels" ContentType="application/vnd.openxmlformats-package.relationships+xml"/>
  <Override PartName="/xl/worksheets/sheet5.xml" ContentType="application/vnd.openxmlformats-officedocument.spreadsheetml.worksheet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drawings/drawing4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20" windowWidth="19420" windowHeight="7940" firstSheet="46" activeTab="53"/>
  </bookViews>
  <sheets>
    <sheet name="SETUP" sheetId="2" r:id="rId1"/>
    <sheet name="SETUP (2)" sheetId="3" r:id="rId2"/>
    <sheet name="160818D-1" sheetId="4" r:id="rId3"/>
    <sheet name="160818D-2" sheetId="5" r:id="rId4"/>
    <sheet name="160818E-1" sheetId="6" r:id="rId5"/>
    <sheet name="160818E-2" sheetId="7" r:id="rId6"/>
    <sheet name="160819D-1" sheetId="8" r:id="rId7"/>
    <sheet name="160819D-2" sheetId="9" r:id="rId8"/>
    <sheet name="160821E-1" sheetId="10" r:id="rId9"/>
    <sheet name="160821E-2" sheetId="11" r:id="rId10"/>
    <sheet name="160822D-1" sheetId="12" r:id="rId11"/>
    <sheet name="160822D-2" sheetId="13" r:id="rId12"/>
    <sheet name="160822E-1" sheetId="14" r:id="rId13"/>
    <sheet name="160822E-2" sheetId="15" r:id="rId14"/>
    <sheet name="160823D-1" sheetId="16" r:id="rId15"/>
    <sheet name="160823D-2" sheetId="17" r:id="rId16"/>
    <sheet name="160823E-1" sheetId="18" r:id="rId17"/>
    <sheet name="160823E-2" sheetId="19" r:id="rId18"/>
    <sheet name="160824D-1" sheetId="20" r:id="rId19"/>
    <sheet name="160824D-2" sheetId="21" r:id="rId20"/>
    <sheet name="160824E-1" sheetId="22" r:id="rId21"/>
    <sheet name="160824E-2" sheetId="23" r:id="rId22"/>
    <sheet name="160825D-1" sheetId="24" r:id="rId23"/>
    <sheet name="160825D-2" sheetId="25" r:id="rId24"/>
    <sheet name="160825E-1" sheetId="26" r:id="rId25"/>
    <sheet name="160825E-2" sheetId="27" r:id="rId26"/>
    <sheet name="160826D-1" sheetId="28" r:id="rId27"/>
    <sheet name="160826D-2" sheetId="29" r:id="rId28"/>
    <sheet name="160828E-1" sheetId="30" r:id="rId29"/>
    <sheet name="160828E-2" sheetId="31" r:id="rId30"/>
    <sheet name="160829D-1" sheetId="32" r:id="rId31"/>
    <sheet name="160829D-2" sheetId="33" r:id="rId32"/>
    <sheet name="160829E-1" sheetId="34" r:id="rId33"/>
    <sheet name="160829E-2" sheetId="35" r:id="rId34"/>
    <sheet name="160830D-1" sheetId="36" r:id="rId35"/>
    <sheet name="160830D-2" sheetId="37" r:id="rId36"/>
    <sheet name="160830E-1" sheetId="38" r:id="rId37"/>
    <sheet name="160830E-2" sheetId="39" r:id="rId38"/>
    <sheet name="160831D-1" sheetId="40" r:id="rId39"/>
    <sheet name="160831D-2" sheetId="41" r:id="rId40"/>
    <sheet name="160831E-1" sheetId="42" r:id="rId41"/>
    <sheet name="160831E-2" sheetId="43" r:id="rId42"/>
    <sheet name="160901D-1" sheetId="44" r:id="rId43"/>
    <sheet name="160901D-2" sheetId="45" r:id="rId44"/>
    <sheet name="160901E-1" sheetId="46" r:id="rId45"/>
    <sheet name="160901E-2" sheetId="47" r:id="rId46"/>
    <sheet name="160902D-1" sheetId="48" r:id="rId47"/>
    <sheet name="160902D-2" sheetId="49" r:id="rId48"/>
    <sheet name="160904E-1" sheetId="50" r:id="rId49"/>
    <sheet name="160904E-2" sheetId="51" r:id="rId50"/>
    <sheet name="160905D-1" sheetId="52" r:id="rId51"/>
    <sheet name="160905D-2" sheetId="53" r:id="rId52"/>
    <sheet name="160905E-1" sheetId="54" r:id="rId53"/>
    <sheet name="160905E-2" sheetId="55" r:id="rId54"/>
  </sheets>
  <definedNames>
    <definedName name="_xlnm.Print_Area" localSheetId="2">'160818D-1'!$A$1:$X$80</definedName>
    <definedName name="_xlnm.Print_Area" localSheetId="3">'160818D-2'!$A$1:$X$80</definedName>
    <definedName name="_xlnm.Print_Area" localSheetId="4">'160818E-1'!$A$1:$X$80</definedName>
    <definedName name="_xlnm.Print_Area" localSheetId="5">'160818E-2'!$A$1:$X$80</definedName>
    <definedName name="_xlnm.Print_Area" localSheetId="6">'160819D-1'!$A$1:$X$80</definedName>
    <definedName name="_xlnm.Print_Area" localSheetId="7">'160819D-2'!$A$1:$X$80</definedName>
    <definedName name="_xlnm.Print_Area" localSheetId="8">'160821E-1'!$A$1:$X$80</definedName>
    <definedName name="_xlnm.Print_Area" localSheetId="9">'160821E-2'!$A$1:$X$80</definedName>
    <definedName name="_xlnm.Print_Area" localSheetId="10">'160822D-1'!$A$1:$X$80</definedName>
    <definedName name="_xlnm.Print_Area" localSheetId="11">'160822D-2'!$A$1:$X$80</definedName>
    <definedName name="_xlnm.Print_Area" localSheetId="12">'160822E-1'!$A$1:$X$80</definedName>
    <definedName name="_xlnm.Print_Area" localSheetId="13">'160822E-2'!$A$1:$X$80</definedName>
    <definedName name="_xlnm.Print_Area" localSheetId="14">'160823D-1'!$A$1:$X$80</definedName>
    <definedName name="_xlnm.Print_Area" localSheetId="15">'160823D-2'!$A$1:$X$80</definedName>
    <definedName name="_xlnm.Print_Area" localSheetId="16">'160823E-1'!$A$1:$X$80</definedName>
    <definedName name="_xlnm.Print_Area" localSheetId="17">'160823E-2'!$A$1:$X$80</definedName>
    <definedName name="_xlnm.Print_Area" localSheetId="18">'160824D-1'!$A$1:$X$80</definedName>
    <definedName name="_xlnm.Print_Area" localSheetId="19">'160824D-2'!$A$1:$X$80</definedName>
    <definedName name="_xlnm.Print_Area" localSheetId="20">'160824E-1'!$A$1:$X$80</definedName>
    <definedName name="_xlnm.Print_Area" localSheetId="21">'160824E-2'!$A$1:$X$80</definedName>
    <definedName name="_xlnm.Print_Area" localSheetId="22">'160825D-1'!$A$1:$X$80</definedName>
    <definedName name="_xlnm.Print_Area" localSheetId="23">'160825D-2'!$A$1:$X$80</definedName>
    <definedName name="_xlnm.Print_Area" localSheetId="24">'160825E-1'!$A$1:$X$80</definedName>
    <definedName name="_xlnm.Print_Area" localSheetId="25">'160825E-2'!$A$1:$X$80</definedName>
    <definedName name="_xlnm.Print_Area" localSheetId="26">'160826D-1'!$A$1:$X$80</definedName>
    <definedName name="_xlnm.Print_Area" localSheetId="27">'160826D-2'!$A$1:$X$80</definedName>
    <definedName name="_xlnm.Print_Area" localSheetId="28">'160828E-1'!$A$1:$X$80</definedName>
    <definedName name="_xlnm.Print_Area" localSheetId="29">'160828E-2'!$A$1:$X$80</definedName>
    <definedName name="_xlnm.Print_Area" localSheetId="30">'160829D-1'!$A$1:$X$80</definedName>
    <definedName name="_xlnm.Print_Area" localSheetId="31">'160829D-2'!$A$1:$X$80</definedName>
    <definedName name="_xlnm.Print_Area" localSheetId="32">'160829E-1'!$A$1:$X$80</definedName>
    <definedName name="_xlnm.Print_Area" localSheetId="33">'160829E-2'!$A$1:$X$80</definedName>
    <definedName name="_xlnm.Print_Area" localSheetId="34">'160830D-1'!$A$1:$X$80</definedName>
    <definedName name="_xlnm.Print_Area" localSheetId="35">'160830D-2'!$A$1:$X$80</definedName>
    <definedName name="_xlnm.Print_Area" localSheetId="36">'160830E-1'!$A$1:$X$80</definedName>
    <definedName name="_xlnm.Print_Area" localSheetId="37">'160830E-2'!$A$1:$X$80</definedName>
    <definedName name="_xlnm.Print_Area" localSheetId="38">'160831D-1'!$A$1:$X$80</definedName>
    <definedName name="_xlnm.Print_Area" localSheetId="39">'160831D-2'!$A$1:$X$80</definedName>
    <definedName name="_xlnm.Print_Area" localSheetId="40">'160831E-1'!$A$1:$X$80</definedName>
    <definedName name="_xlnm.Print_Area" localSheetId="41">'160831E-2'!$A$1:$X$80</definedName>
    <definedName name="_xlnm.Print_Area" localSheetId="42">'160901D-1'!$A$1:$X$80</definedName>
    <definedName name="_xlnm.Print_Area" localSheetId="43">'160901D-2'!$A$1:$X$80</definedName>
    <definedName name="_xlnm.Print_Area" localSheetId="44">'160901E-1'!$A$1:$X$80</definedName>
    <definedName name="_xlnm.Print_Area" localSheetId="45">'160901E-2'!$A$1:$X$80</definedName>
    <definedName name="_xlnm.Print_Area" localSheetId="46">'160902D-1'!$A$1:$X$80</definedName>
    <definedName name="_xlnm.Print_Area" localSheetId="47">'160902D-2'!$A$1:$X$80</definedName>
    <definedName name="_xlnm.Print_Area" localSheetId="48">'160904E-1'!$A$1:$X$80</definedName>
    <definedName name="_xlnm.Print_Area" localSheetId="49">'160904E-2'!$A$1:$X$80</definedName>
    <definedName name="_xlnm.Print_Area" localSheetId="50">'160905D-1'!$A$1:$X$80</definedName>
    <definedName name="_xlnm.Print_Area" localSheetId="51">'160905D-2'!$A$1:$X$80</definedName>
    <definedName name="_xlnm.Print_Area" localSheetId="52">'160905E-1'!$A$1:$X$80</definedName>
    <definedName name="_xlnm.Print_Area" localSheetId="53">'160905E-2'!$A$1:$X$80</definedName>
    <definedName name="_xlnm.Print_Area" localSheetId="0">SETUP!$A$1:$X$80</definedName>
    <definedName name="_xlnm.Print_Area" localSheetId="1">'SETUP (2)'!$A$1:$X$80</definedName>
  </definedNames>
  <calcPr calcId="124519"/>
</workbook>
</file>

<file path=xl/calcChain.xml><?xml version="1.0" encoding="utf-8"?>
<calcChain xmlns="http://schemas.openxmlformats.org/spreadsheetml/2006/main">
  <c r="AA33" i="55"/>
  <c r="AA32"/>
  <c r="AA31"/>
  <c r="AA30"/>
  <c r="AA29"/>
  <c r="AA28"/>
  <c r="AA27"/>
  <c r="AA26"/>
  <c r="AA33" i="54"/>
  <c r="AA32"/>
  <c r="AA31"/>
  <c r="AA30"/>
  <c r="AA29"/>
  <c r="AA28"/>
  <c r="AA27"/>
  <c r="AA26"/>
  <c r="AA33" i="53"/>
  <c r="AA32"/>
  <c r="AA31"/>
  <c r="AA30"/>
  <c r="AA29"/>
  <c r="AA28"/>
  <c r="AA27"/>
  <c r="AA26"/>
  <c r="AA33" i="52"/>
  <c r="AA32"/>
  <c r="AA31"/>
  <c r="AA30"/>
  <c r="AA29"/>
  <c r="AA28"/>
  <c r="AA27"/>
  <c r="AA26"/>
  <c r="AA33" i="51"/>
  <c r="AA32"/>
  <c r="AA31"/>
  <c r="AA30"/>
  <c r="AA29"/>
  <c r="AA28"/>
  <c r="AA27"/>
  <c r="AA26"/>
  <c r="AA33" i="50"/>
  <c r="AA32"/>
  <c r="AA31"/>
  <c r="AA30"/>
  <c r="AA29"/>
  <c r="AA28"/>
  <c r="AA27"/>
  <c r="AA26"/>
  <c r="AA33" i="49"/>
  <c r="AA32"/>
  <c r="AA31"/>
  <c r="AA30"/>
  <c r="AA29"/>
  <c r="AA28"/>
  <c r="AA27"/>
  <c r="AA26"/>
  <c r="AA33" i="48"/>
  <c r="AA32"/>
  <c r="AA31"/>
  <c r="AA30"/>
  <c r="AA29"/>
  <c r="AA28"/>
  <c r="AA27"/>
  <c r="AA26"/>
  <c r="AA33" i="47"/>
  <c r="AA32"/>
  <c r="AA31"/>
  <c r="AA30"/>
  <c r="AA29"/>
  <c r="AA28"/>
  <c r="AA27"/>
  <c r="AA26"/>
  <c r="AA33" i="46"/>
  <c r="AA32"/>
  <c r="AA31"/>
  <c r="AA30"/>
  <c r="AA29"/>
  <c r="AA28"/>
  <c r="AA27"/>
  <c r="AA26"/>
  <c r="AA33" i="45"/>
  <c r="AA32"/>
  <c r="AA31"/>
  <c r="AA30"/>
  <c r="AA29"/>
  <c r="AA28"/>
  <c r="AA27"/>
  <c r="AA26"/>
  <c r="AA33" i="44"/>
  <c r="AA32"/>
  <c r="AA31"/>
  <c r="AA30"/>
  <c r="AA29"/>
  <c r="AA28"/>
  <c r="AA27"/>
  <c r="AA26"/>
  <c r="AA33" i="43"/>
  <c r="AA32"/>
  <c r="AA31"/>
  <c r="AA30"/>
  <c r="AA29"/>
  <c r="AA28"/>
  <c r="AA27"/>
  <c r="AA26"/>
  <c r="AA33" i="42"/>
  <c r="AA32"/>
  <c r="AA31"/>
  <c r="AA30"/>
  <c r="AA29"/>
  <c r="AA28"/>
  <c r="AA27"/>
  <c r="AA26"/>
  <c r="AA33" i="41"/>
  <c r="AA32"/>
  <c r="AA31"/>
  <c r="AA30"/>
  <c r="AA29"/>
  <c r="AA28"/>
  <c r="AA27"/>
  <c r="AA26"/>
  <c r="AA33" i="40"/>
  <c r="AA32"/>
  <c r="AA31"/>
  <c r="AA30"/>
  <c r="AA29"/>
  <c r="AA28"/>
  <c r="AA27"/>
  <c r="AA26"/>
  <c r="AA33" i="39"/>
  <c r="AA32"/>
  <c r="AA31"/>
  <c r="AA30"/>
  <c r="AA29"/>
  <c r="AA28"/>
  <c r="AA27"/>
  <c r="AA26"/>
  <c r="AA33" i="38"/>
  <c r="AA32"/>
  <c r="AA31"/>
  <c r="AA30"/>
  <c r="AA29"/>
  <c r="AA28"/>
  <c r="AA27"/>
  <c r="AA26"/>
  <c r="AA33" i="37"/>
  <c r="AA32"/>
  <c r="AA31"/>
  <c r="AA30"/>
  <c r="AA29"/>
  <c r="AA28"/>
  <c r="AA27"/>
  <c r="AA26"/>
  <c r="AA33" i="36"/>
  <c r="AA32"/>
  <c r="AA31"/>
  <c r="AA30"/>
  <c r="AA29"/>
  <c r="AA28"/>
  <c r="AA27"/>
  <c r="AA26"/>
  <c r="AA33" i="35"/>
  <c r="AA32"/>
  <c r="AA31"/>
  <c r="AA30"/>
  <c r="AA29"/>
  <c r="AA28"/>
  <c r="AA27"/>
  <c r="AA26"/>
  <c r="AA33" i="34"/>
  <c r="AA32"/>
  <c r="AA31"/>
  <c r="AA30"/>
  <c r="AA29"/>
  <c r="AA28"/>
  <c r="AA27"/>
  <c r="AA26"/>
  <c r="AA33" i="33"/>
  <c r="AA32"/>
  <c r="AA31"/>
  <c r="AA30"/>
  <c r="AA29"/>
  <c r="AA28"/>
  <c r="AA27"/>
  <c r="AA26"/>
  <c r="AA33" i="32"/>
  <c r="AA32"/>
  <c r="AA31"/>
  <c r="AA30"/>
  <c r="AA29"/>
  <c r="AA28"/>
  <c r="AA27"/>
  <c r="AA26"/>
  <c r="AA33" i="31"/>
  <c r="AA32"/>
  <c r="AA31"/>
  <c r="AA30"/>
  <c r="AA29"/>
  <c r="AA28"/>
  <c r="AA27"/>
  <c r="AA26"/>
  <c r="AA33" i="30"/>
  <c r="AA32"/>
  <c r="AA31"/>
  <c r="AA30"/>
  <c r="AA29"/>
  <c r="AA28"/>
  <c r="AA27"/>
  <c r="AA26"/>
  <c r="AA33" i="29"/>
  <c r="AA32"/>
  <c r="AA31"/>
  <c r="AA30"/>
  <c r="AA29"/>
  <c r="AA28"/>
  <c r="AA27"/>
  <c r="AA26"/>
  <c r="AA33" i="28"/>
  <c r="AA32"/>
  <c r="AA31"/>
  <c r="AA30"/>
  <c r="AA29"/>
  <c r="AA28"/>
  <c r="AA27"/>
  <c r="AA26"/>
  <c r="AA33" i="27"/>
  <c r="AA32"/>
  <c r="AA31"/>
  <c r="AA30"/>
  <c r="AA29"/>
  <c r="AA28"/>
  <c r="AA27"/>
  <c r="AA26"/>
  <c r="AA33" i="26"/>
  <c r="AA32"/>
  <c r="AA31"/>
  <c r="AA30"/>
  <c r="AA29"/>
  <c r="AA28"/>
  <c r="AA27"/>
  <c r="AA26"/>
  <c r="AA33" i="25"/>
  <c r="AA32"/>
  <c r="AA31"/>
  <c r="AA30"/>
  <c r="AA29"/>
  <c r="AA28"/>
  <c r="AA27"/>
  <c r="AA26"/>
  <c r="AA33" i="24"/>
  <c r="AA32"/>
  <c r="AA31"/>
  <c r="AA30"/>
  <c r="AA29"/>
  <c r="AA28"/>
  <c r="AA27"/>
  <c r="AA26"/>
  <c r="AA33" i="23"/>
  <c r="AA32"/>
  <c r="AA31"/>
  <c r="AA30"/>
  <c r="AA29"/>
  <c r="AA28"/>
  <c r="AA27"/>
  <c r="AA26"/>
  <c r="AA33" i="22"/>
  <c r="AA32"/>
  <c r="AA31"/>
  <c r="AA30"/>
  <c r="AA29"/>
  <c r="AA28"/>
  <c r="AA27"/>
  <c r="AA26"/>
  <c r="AA33" i="21"/>
  <c r="AA32"/>
  <c r="AA31"/>
  <c r="AA30"/>
  <c r="AA29"/>
  <c r="AA28"/>
  <c r="AA27"/>
  <c r="AA26"/>
  <c r="AA33" i="20"/>
  <c r="AA32"/>
  <c r="AA31"/>
  <c r="AA30"/>
  <c r="AA29"/>
  <c r="AA28"/>
  <c r="AA27"/>
  <c r="AA26"/>
  <c r="AA33" i="19"/>
  <c r="AA32"/>
  <c r="AA31"/>
  <c r="AA30"/>
  <c r="AA29"/>
  <c r="AA28"/>
  <c r="AA27"/>
  <c r="AA26"/>
  <c r="AA33" i="18"/>
  <c r="AA32"/>
  <c r="AA31"/>
  <c r="AA30"/>
  <c r="AA29"/>
  <c r="AA28"/>
  <c r="AA27"/>
  <c r="AA26"/>
  <c r="AA33" i="17"/>
  <c r="AA32"/>
  <c r="AA31"/>
  <c r="AA30"/>
  <c r="AA29"/>
  <c r="AA28"/>
  <c r="AA27"/>
  <c r="AA26"/>
  <c r="AA33" i="16"/>
  <c r="AA32"/>
  <c r="AA31"/>
  <c r="AA30"/>
  <c r="AA29"/>
  <c r="AA28"/>
  <c r="AA27"/>
  <c r="AA26"/>
  <c r="AA33" i="15"/>
  <c r="AA32"/>
  <c r="AA31"/>
  <c r="AA30"/>
  <c r="AA29"/>
  <c r="AA28"/>
  <c r="AA27"/>
  <c r="AA26"/>
  <c r="AA33" i="14"/>
  <c r="AA32"/>
  <c r="AA31"/>
  <c r="AA30"/>
  <c r="AA29"/>
  <c r="AA28"/>
  <c r="AA27"/>
  <c r="AA26"/>
  <c r="AA33" i="13"/>
  <c r="AA32"/>
  <c r="AA31"/>
  <c r="AA30"/>
  <c r="AA29"/>
  <c r="AA28"/>
  <c r="AA27"/>
  <c r="AA26"/>
  <c r="AA33" i="12"/>
  <c r="AA32"/>
  <c r="AA31"/>
  <c r="AA30"/>
  <c r="AA29"/>
  <c r="AA28"/>
  <c r="AA27"/>
  <c r="AA26"/>
  <c r="AA33" i="11"/>
  <c r="AA32"/>
  <c r="AA31"/>
  <c r="AA30"/>
  <c r="AA29"/>
  <c r="AA28"/>
  <c r="AA27"/>
  <c r="AA26"/>
  <c r="AA33" i="10"/>
  <c r="AA32"/>
  <c r="AA31"/>
  <c r="AA30"/>
  <c r="AA29"/>
  <c r="AA28"/>
  <c r="AA27"/>
  <c r="AA26"/>
  <c r="AA33" i="9"/>
  <c r="AA32"/>
  <c r="AA31"/>
  <c r="AA30"/>
  <c r="AA29"/>
  <c r="AA28"/>
  <c r="AA27"/>
  <c r="AA26"/>
  <c r="AA33" i="8"/>
  <c r="AA32"/>
  <c r="AA31"/>
  <c r="AA30"/>
  <c r="AA29"/>
  <c r="AA28"/>
  <c r="AA27"/>
  <c r="AA26"/>
  <c r="AA33" i="7"/>
  <c r="AA32"/>
  <c r="AA31"/>
  <c r="AA30"/>
  <c r="AA29"/>
  <c r="AA28"/>
  <c r="AA27"/>
  <c r="AA26"/>
  <c r="AA33" i="6"/>
  <c r="AA32"/>
  <c r="AA31"/>
  <c r="AA30"/>
  <c r="AA29"/>
  <c r="AA28"/>
  <c r="AA27"/>
  <c r="AA26"/>
  <c r="AA33" i="5"/>
  <c r="AA32"/>
  <c r="AA31"/>
  <c r="AA30"/>
  <c r="AA29"/>
  <c r="AA28"/>
  <c r="AA27"/>
  <c r="AA26"/>
  <c r="AA33" i="4"/>
  <c r="AA32"/>
  <c r="AA31"/>
  <c r="AA30"/>
  <c r="AA29"/>
  <c r="AA28"/>
  <c r="AA27"/>
  <c r="AA26"/>
  <c r="AA33" i="3"/>
  <c r="AA32"/>
  <c r="AA31"/>
  <c r="AA30"/>
  <c r="AA29"/>
  <c r="AA28"/>
  <c r="AA27"/>
  <c r="AA26"/>
  <c r="AA33" i="2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<sst xmlns="http://schemas.openxmlformats.org/spreadsheetml/2006/main" count="8110" uniqueCount="134">
  <si>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</si>
  <si>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</si>
  <si>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</si>
  <si>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</si>
  <si>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</si>
  <si>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</si>
  <si>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</si>
  <si>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</si>
  <si>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</si>
  <si>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</si>
  <si>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</si>
  <si>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</si>
  <si>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</si>
  <si>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</si>
  <si>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</si>
  <si>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</si>
  <si>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</si>
  <si>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</si>
  <si>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</si>
  <si>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</si>
  <si>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</si>
  <si>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</si>
  <si>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</si>
  <si>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</si>
  <si>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</si>
  <si>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</si>
  <si>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</si>
  <si>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</si>
  <si>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</si>
  <si>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</si>
  <si>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</si>
  <si>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</si>
  <si>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</si>
  <si>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</si>
  <si>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</si>
  <si>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</si>
  <si>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</si>
  <si>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</si>
  <si>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</si>
  <si>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</si>
  <si>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</si>
  <si>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</si>
  <si>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</si>
  <si>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</si>
  <si>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</si>
  <si>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</si>
  <si>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</si>
  <si>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</si>
  <si>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</si>
  <si>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</si>
  <si>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</si>
  <si>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</si>
  <si>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</si>
  <si>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</si>
  <si>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</si>
  <si>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</si>
  <si>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</si>
  <si>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</si>
  <si>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</si>
  <si>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</si>
  <si>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</si>
  <si>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</si>
  <si>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</si>
  <si>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</si>
  <si>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t>T800709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</si>
  <si>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</si>
  <si>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</si>
  <si>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</si>
  <si>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</si>
  <si>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</si>
  <si>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</si>
  <si>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</si>
  <si>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</si>
  <si>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</si>
  <si>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</si>
  <si>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</si>
  <si>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</si>
  <si>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</si>
  <si>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</si>
  <si>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</si>
  <si>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</si>
  <si>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</si>
  <si>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</si>
  <si>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</si>
  <si>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</si>
  <si>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</si>
  <si>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</si>
  <si>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</si>
  <si>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</si>
  <si>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</si>
  <si>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</si>
  <si>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</si>
  <si>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</si>
  <si>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</si>
  <si>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</si>
  <si>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R1-2360</t>
    <phoneticPr fontId="10" type="noConversion"/>
  </si>
  <si>
    <t>GO</t>
    <phoneticPr fontId="10" type="noConversion"/>
  </si>
  <si>
    <t>GO</t>
    <phoneticPr fontId="10" type="noConversion"/>
  </si>
  <si>
    <t>OK</t>
    <phoneticPr fontId="10" type="noConversion"/>
  </si>
  <si>
    <t>160818D</t>
    <phoneticPr fontId="10" type="noConversion"/>
  </si>
  <si>
    <t>160819D</t>
    <phoneticPr fontId="10" type="noConversion"/>
  </si>
  <si>
    <t>160818E</t>
    <phoneticPr fontId="10" type="noConversion"/>
  </si>
  <si>
    <t>160818E</t>
    <phoneticPr fontId="10" type="noConversion"/>
  </si>
  <si>
    <t>160822E</t>
    <phoneticPr fontId="10" type="noConversion"/>
  </si>
  <si>
    <t>160822D</t>
    <phoneticPr fontId="10" type="noConversion"/>
  </si>
  <si>
    <t>160821E</t>
    <phoneticPr fontId="10" type="noConversion"/>
  </si>
  <si>
    <t>160823D</t>
    <phoneticPr fontId="10" type="noConversion"/>
  </si>
  <si>
    <t>160823D</t>
    <phoneticPr fontId="10" type="noConversion"/>
  </si>
  <si>
    <t>160823E</t>
    <phoneticPr fontId="10" type="noConversion"/>
  </si>
  <si>
    <t>160823E</t>
    <phoneticPr fontId="10" type="noConversion"/>
  </si>
  <si>
    <t>160824D</t>
    <phoneticPr fontId="10" type="noConversion"/>
  </si>
  <si>
    <t>160824E</t>
    <phoneticPr fontId="10" type="noConversion"/>
  </si>
  <si>
    <t>160825D</t>
    <phoneticPr fontId="10" type="noConversion"/>
  </si>
  <si>
    <t>160825E</t>
    <phoneticPr fontId="10" type="noConversion"/>
  </si>
  <si>
    <t>160826D</t>
    <phoneticPr fontId="10" type="noConversion"/>
  </si>
  <si>
    <t>160828E</t>
    <phoneticPr fontId="10" type="noConversion"/>
  </si>
  <si>
    <t>160829E</t>
    <phoneticPr fontId="10" type="noConversion"/>
  </si>
  <si>
    <t>160829E</t>
    <phoneticPr fontId="10" type="noConversion"/>
  </si>
  <si>
    <t>160829D</t>
    <phoneticPr fontId="10" type="noConversion"/>
  </si>
  <si>
    <t>160829D</t>
    <phoneticPr fontId="10" type="noConversion"/>
  </si>
  <si>
    <t>160831E</t>
    <phoneticPr fontId="10" type="noConversion"/>
  </si>
  <si>
    <t>160831E</t>
    <phoneticPr fontId="10" type="noConversion"/>
  </si>
  <si>
    <t>160831D</t>
    <phoneticPr fontId="10" type="noConversion"/>
  </si>
  <si>
    <t>160831D</t>
    <phoneticPr fontId="10" type="noConversion"/>
  </si>
  <si>
    <t>160830E</t>
    <phoneticPr fontId="10" type="noConversion"/>
  </si>
  <si>
    <t>160830D</t>
    <phoneticPr fontId="10" type="noConversion"/>
  </si>
  <si>
    <t>160830D</t>
    <phoneticPr fontId="10" type="noConversion"/>
  </si>
  <si>
    <t>160901E</t>
    <phoneticPr fontId="10" type="noConversion"/>
  </si>
  <si>
    <t>160901E</t>
    <phoneticPr fontId="10" type="noConversion"/>
  </si>
  <si>
    <t>160901D</t>
    <phoneticPr fontId="10" type="noConversion"/>
  </si>
  <si>
    <t>160905E</t>
    <phoneticPr fontId="10" type="noConversion"/>
  </si>
  <si>
    <t>160905D</t>
    <phoneticPr fontId="10" type="noConversion"/>
  </si>
  <si>
    <t>160904E</t>
    <phoneticPr fontId="10" type="noConversion"/>
  </si>
  <si>
    <t>160902D</t>
    <phoneticPr fontId="10" type="noConversion"/>
  </si>
</sst>
</file>

<file path=xl/styles.xml><?xml version="1.0" encoding="utf-8"?>
<styleSheet xmlns="http://schemas.openxmlformats.org/spreadsheetml/2006/main">
  <numFmts count="2">
    <numFmt numFmtId="176" formatCode="0.00_ "/>
    <numFmt numFmtId="177" formatCode="0.000_ 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45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432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10</xdr:col>
      <xdr:colOff>218965</xdr:colOff>
      <xdr:row>75</xdr:row>
      <xdr:rowOff>109483</xdr:rowOff>
    </xdr:from>
    <xdr:to>
      <xdr:col>13</xdr:col>
      <xdr:colOff>44562</xdr:colOff>
      <xdr:row>78</xdr:row>
      <xdr:rowOff>40618</xdr:rowOff>
    </xdr:to>
    <xdr:pic>
      <xdr:nvPicPr>
        <xdr:cNvPr id="9" name="圖片 8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85965" y="10295759"/>
          <a:ext cx="749631" cy="377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75</xdr:row>
      <xdr:rowOff>100724</xdr:rowOff>
    </xdr:from>
    <xdr:to>
      <xdr:col>13</xdr:col>
      <xdr:colOff>114631</xdr:colOff>
      <xdr:row>78</xdr:row>
      <xdr:rowOff>31859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6034" y="10287000"/>
          <a:ext cx="749631" cy="3778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56931</xdr:colOff>
      <xdr:row>76</xdr:row>
      <xdr:rowOff>70069</xdr:rowOff>
    </xdr:from>
    <xdr:to>
      <xdr:col>12</xdr:col>
      <xdr:colOff>141375</xdr:colOff>
      <xdr:row>78</xdr:row>
      <xdr:rowOff>23949</xdr:rowOff>
    </xdr:to>
    <xdr:pic>
      <xdr:nvPicPr>
        <xdr:cNvPr id="9" name="圖片 8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8586" y="10414000"/>
          <a:ext cx="439168" cy="2429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48173</xdr:colOff>
      <xdr:row>76</xdr:row>
      <xdr:rowOff>87586</xdr:rowOff>
    </xdr:from>
    <xdr:to>
      <xdr:col>12</xdr:col>
      <xdr:colOff>132617</xdr:colOff>
      <xdr:row>78</xdr:row>
      <xdr:rowOff>41466</xdr:rowOff>
    </xdr:to>
    <xdr:pic>
      <xdr:nvPicPr>
        <xdr:cNvPr id="9" name="圖片 8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99828" y="10431517"/>
          <a:ext cx="439168" cy="2429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56931</xdr:colOff>
      <xdr:row>76</xdr:row>
      <xdr:rowOff>70069</xdr:rowOff>
    </xdr:from>
    <xdr:to>
      <xdr:col>12</xdr:col>
      <xdr:colOff>141375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16031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48173</xdr:colOff>
      <xdr:row>76</xdr:row>
      <xdr:rowOff>87586</xdr:rowOff>
    </xdr:from>
    <xdr:to>
      <xdr:col>12</xdr:col>
      <xdr:colOff>132617</xdr:colOff>
      <xdr:row>78</xdr:row>
      <xdr:rowOff>41466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7273" y="10425386"/>
          <a:ext cx="440044" cy="23963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56931</xdr:colOff>
      <xdr:row>76</xdr:row>
      <xdr:rowOff>70069</xdr:rowOff>
    </xdr:from>
    <xdr:to>
      <xdr:col>12</xdr:col>
      <xdr:colOff>141375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16031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48173</xdr:colOff>
      <xdr:row>76</xdr:row>
      <xdr:rowOff>87586</xdr:rowOff>
    </xdr:from>
    <xdr:to>
      <xdr:col>12</xdr:col>
      <xdr:colOff>132617</xdr:colOff>
      <xdr:row>78</xdr:row>
      <xdr:rowOff>41466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7273" y="10425386"/>
          <a:ext cx="440044" cy="23963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56931</xdr:colOff>
      <xdr:row>76</xdr:row>
      <xdr:rowOff>70069</xdr:rowOff>
    </xdr:from>
    <xdr:to>
      <xdr:col>12</xdr:col>
      <xdr:colOff>141375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16031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48173</xdr:colOff>
      <xdr:row>76</xdr:row>
      <xdr:rowOff>87586</xdr:rowOff>
    </xdr:from>
    <xdr:to>
      <xdr:col>12</xdr:col>
      <xdr:colOff>132617</xdr:colOff>
      <xdr:row>78</xdr:row>
      <xdr:rowOff>41466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7273" y="10425386"/>
          <a:ext cx="440044" cy="23963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56931</xdr:colOff>
      <xdr:row>76</xdr:row>
      <xdr:rowOff>70069</xdr:rowOff>
    </xdr:from>
    <xdr:to>
      <xdr:col>12</xdr:col>
      <xdr:colOff>141375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16031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48173</xdr:colOff>
      <xdr:row>76</xdr:row>
      <xdr:rowOff>87586</xdr:rowOff>
    </xdr:from>
    <xdr:to>
      <xdr:col>12</xdr:col>
      <xdr:colOff>132617</xdr:colOff>
      <xdr:row>78</xdr:row>
      <xdr:rowOff>41466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7273" y="10425386"/>
          <a:ext cx="440044" cy="23963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56931</xdr:colOff>
      <xdr:row>76</xdr:row>
      <xdr:rowOff>70069</xdr:rowOff>
    </xdr:from>
    <xdr:to>
      <xdr:col>12</xdr:col>
      <xdr:colOff>141375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16031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48173</xdr:colOff>
      <xdr:row>76</xdr:row>
      <xdr:rowOff>87586</xdr:rowOff>
    </xdr:from>
    <xdr:to>
      <xdr:col>12</xdr:col>
      <xdr:colOff>132617</xdr:colOff>
      <xdr:row>78</xdr:row>
      <xdr:rowOff>41466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7273" y="10425386"/>
          <a:ext cx="440044" cy="23963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56931</xdr:colOff>
      <xdr:row>76</xdr:row>
      <xdr:rowOff>70069</xdr:rowOff>
    </xdr:from>
    <xdr:to>
      <xdr:col>12</xdr:col>
      <xdr:colOff>141375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16031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48173</xdr:colOff>
      <xdr:row>76</xdr:row>
      <xdr:rowOff>87586</xdr:rowOff>
    </xdr:from>
    <xdr:to>
      <xdr:col>12</xdr:col>
      <xdr:colOff>132617</xdr:colOff>
      <xdr:row>78</xdr:row>
      <xdr:rowOff>41466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7273" y="10425386"/>
          <a:ext cx="440044" cy="23963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56931</xdr:colOff>
      <xdr:row>76</xdr:row>
      <xdr:rowOff>70069</xdr:rowOff>
    </xdr:from>
    <xdr:to>
      <xdr:col>12</xdr:col>
      <xdr:colOff>141375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16031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48173</xdr:colOff>
      <xdr:row>76</xdr:row>
      <xdr:rowOff>87586</xdr:rowOff>
    </xdr:from>
    <xdr:to>
      <xdr:col>12</xdr:col>
      <xdr:colOff>132617</xdr:colOff>
      <xdr:row>78</xdr:row>
      <xdr:rowOff>41466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7273" y="10425386"/>
          <a:ext cx="440044" cy="23963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56931</xdr:colOff>
      <xdr:row>76</xdr:row>
      <xdr:rowOff>70069</xdr:rowOff>
    </xdr:from>
    <xdr:to>
      <xdr:col>12</xdr:col>
      <xdr:colOff>141375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16031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48173</xdr:colOff>
      <xdr:row>76</xdr:row>
      <xdr:rowOff>87586</xdr:rowOff>
    </xdr:from>
    <xdr:to>
      <xdr:col>12</xdr:col>
      <xdr:colOff>132617</xdr:colOff>
      <xdr:row>78</xdr:row>
      <xdr:rowOff>41466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7273" y="10425386"/>
          <a:ext cx="440044" cy="23963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56931</xdr:colOff>
      <xdr:row>76</xdr:row>
      <xdr:rowOff>70069</xdr:rowOff>
    </xdr:from>
    <xdr:to>
      <xdr:col>12</xdr:col>
      <xdr:colOff>141375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16031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48173</xdr:colOff>
      <xdr:row>76</xdr:row>
      <xdr:rowOff>87586</xdr:rowOff>
    </xdr:from>
    <xdr:to>
      <xdr:col>12</xdr:col>
      <xdr:colOff>132617</xdr:colOff>
      <xdr:row>78</xdr:row>
      <xdr:rowOff>41466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7273" y="10425386"/>
          <a:ext cx="440044" cy="23963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56931</xdr:colOff>
      <xdr:row>76</xdr:row>
      <xdr:rowOff>70069</xdr:rowOff>
    </xdr:from>
    <xdr:to>
      <xdr:col>12</xdr:col>
      <xdr:colOff>141375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16031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48173</xdr:colOff>
      <xdr:row>76</xdr:row>
      <xdr:rowOff>87586</xdr:rowOff>
    </xdr:from>
    <xdr:to>
      <xdr:col>12</xdr:col>
      <xdr:colOff>132617</xdr:colOff>
      <xdr:row>78</xdr:row>
      <xdr:rowOff>41466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7273" y="10425386"/>
          <a:ext cx="440044" cy="23963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48173</xdr:colOff>
      <xdr:row>78</xdr:row>
      <xdr:rowOff>29088</xdr:rowOff>
    </xdr:to>
    <xdr:pic>
      <xdr:nvPicPr>
        <xdr:cNvPr id="9" name="圖片 8" descr="曾逸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402897" cy="195502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48173</xdr:colOff>
      <xdr:row>78</xdr:row>
      <xdr:rowOff>29088</xdr:rowOff>
    </xdr:to>
    <xdr:pic>
      <xdr:nvPicPr>
        <xdr:cNvPr id="9" name="圖片 8" descr="曾逸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402897" cy="195502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48173</xdr:colOff>
      <xdr:row>78</xdr:row>
      <xdr:rowOff>29088</xdr:rowOff>
    </xdr:to>
    <xdr:pic>
      <xdr:nvPicPr>
        <xdr:cNvPr id="9" name="圖片 8" descr="曾逸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402897" cy="195502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48173</xdr:colOff>
      <xdr:row>78</xdr:row>
      <xdr:rowOff>29088</xdr:rowOff>
    </xdr:to>
    <xdr:pic>
      <xdr:nvPicPr>
        <xdr:cNvPr id="9" name="圖片 8" descr="曾逸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402897" cy="195502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56931</xdr:colOff>
      <xdr:row>76</xdr:row>
      <xdr:rowOff>70069</xdr:rowOff>
    </xdr:from>
    <xdr:to>
      <xdr:col>12</xdr:col>
      <xdr:colOff>141375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16031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48173</xdr:colOff>
      <xdr:row>76</xdr:row>
      <xdr:rowOff>87586</xdr:rowOff>
    </xdr:from>
    <xdr:to>
      <xdr:col>12</xdr:col>
      <xdr:colOff>132617</xdr:colOff>
      <xdr:row>78</xdr:row>
      <xdr:rowOff>41466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7273" y="10425386"/>
          <a:ext cx="440044" cy="23963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56931</xdr:colOff>
      <xdr:row>76</xdr:row>
      <xdr:rowOff>70069</xdr:rowOff>
    </xdr:from>
    <xdr:to>
      <xdr:col>12</xdr:col>
      <xdr:colOff>141375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16031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48173</xdr:colOff>
      <xdr:row>76</xdr:row>
      <xdr:rowOff>87586</xdr:rowOff>
    </xdr:from>
    <xdr:to>
      <xdr:col>12</xdr:col>
      <xdr:colOff>132617</xdr:colOff>
      <xdr:row>78</xdr:row>
      <xdr:rowOff>41466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7273" y="10425386"/>
          <a:ext cx="440044" cy="23963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56931</xdr:colOff>
      <xdr:row>76</xdr:row>
      <xdr:rowOff>70069</xdr:rowOff>
    </xdr:from>
    <xdr:to>
      <xdr:col>12</xdr:col>
      <xdr:colOff>141375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16031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48173</xdr:colOff>
      <xdr:row>76</xdr:row>
      <xdr:rowOff>87586</xdr:rowOff>
    </xdr:from>
    <xdr:to>
      <xdr:col>12</xdr:col>
      <xdr:colOff>132617</xdr:colOff>
      <xdr:row>78</xdr:row>
      <xdr:rowOff>41466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7273" y="10425386"/>
          <a:ext cx="440044" cy="23963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56931</xdr:colOff>
      <xdr:row>76</xdr:row>
      <xdr:rowOff>70069</xdr:rowOff>
    </xdr:from>
    <xdr:to>
      <xdr:col>12</xdr:col>
      <xdr:colOff>141375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16031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48173</xdr:colOff>
      <xdr:row>76</xdr:row>
      <xdr:rowOff>87586</xdr:rowOff>
    </xdr:from>
    <xdr:to>
      <xdr:col>12</xdr:col>
      <xdr:colOff>132617</xdr:colOff>
      <xdr:row>78</xdr:row>
      <xdr:rowOff>41466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7273" y="10425386"/>
          <a:ext cx="440044" cy="23963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56931</xdr:colOff>
      <xdr:row>76</xdr:row>
      <xdr:rowOff>70069</xdr:rowOff>
    </xdr:from>
    <xdr:to>
      <xdr:col>12</xdr:col>
      <xdr:colOff>141375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16031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48173</xdr:colOff>
      <xdr:row>76</xdr:row>
      <xdr:rowOff>87586</xdr:rowOff>
    </xdr:from>
    <xdr:to>
      <xdr:col>12</xdr:col>
      <xdr:colOff>132617</xdr:colOff>
      <xdr:row>78</xdr:row>
      <xdr:rowOff>41466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7273" y="10425386"/>
          <a:ext cx="440044" cy="23963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56931</xdr:colOff>
      <xdr:row>76</xdr:row>
      <xdr:rowOff>70069</xdr:rowOff>
    </xdr:from>
    <xdr:to>
      <xdr:col>12</xdr:col>
      <xdr:colOff>141375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16031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48173</xdr:colOff>
      <xdr:row>76</xdr:row>
      <xdr:rowOff>87586</xdr:rowOff>
    </xdr:from>
    <xdr:to>
      <xdr:col>12</xdr:col>
      <xdr:colOff>132617</xdr:colOff>
      <xdr:row>78</xdr:row>
      <xdr:rowOff>41466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7273" y="10425386"/>
          <a:ext cx="440044" cy="23963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56931</xdr:colOff>
      <xdr:row>76</xdr:row>
      <xdr:rowOff>70069</xdr:rowOff>
    </xdr:from>
    <xdr:to>
      <xdr:col>12</xdr:col>
      <xdr:colOff>141375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16031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48173</xdr:colOff>
      <xdr:row>76</xdr:row>
      <xdr:rowOff>87586</xdr:rowOff>
    </xdr:from>
    <xdr:to>
      <xdr:col>12</xdr:col>
      <xdr:colOff>132617</xdr:colOff>
      <xdr:row>78</xdr:row>
      <xdr:rowOff>41466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7273" y="10425386"/>
          <a:ext cx="440044" cy="23963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56931</xdr:colOff>
      <xdr:row>76</xdr:row>
      <xdr:rowOff>70069</xdr:rowOff>
    </xdr:from>
    <xdr:to>
      <xdr:col>12</xdr:col>
      <xdr:colOff>141375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16031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48173</xdr:colOff>
      <xdr:row>76</xdr:row>
      <xdr:rowOff>87586</xdr:rowOff>
    </xdr:from>
    <xdr:to>
      <xdr:col>12</xdr:col>
      <xdr:colOff>132617</xdr:colOff>
      <xdr:row>78</xdr:row>
      <xdr:rowOff>41466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7273" y="10425386"/>
          <a:ext cx="440044" cy="23963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56931</xdr:colOff>
      <xdr:row>76</xdr:row>
      <xdr:rowOff>70069</xdr:rowOff>
    </xdr:from>
    <xdr:to>
      <xdr:col>12</xdr:col>
      <xdr:colOff>141375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16031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48173</xdr:colOff>
      <xdr:row>76</xdr:row>
      <xdr:rowOff>87586</xdr:rowOff>
    </xdr:from>
    <xdr:to>
      <xdr:col>12</xdr:col>
      <xdr:colOff>132617</xdr:colOff>
      <xdr:row>78</xdr:row>
      <xdr:rowOff>41466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7273" y="10425386"/>
          <a:ext cx="440044" cy="23963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56931</xdr:colOff>
      <xdr:row>76</xdr:row>
      <xdr:rowOff>70069</xdr:rowOff>
    </xdr:from>
    <xdr:to>
      <xdr:col>12</xdr:col>
      <xdr:colOff>141375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16031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48173</xdr:colOff>
      <xdr:row>76</xdr:row>
      <xdr:rowOff>87586</xdr:rowOff>
    </xdr:from>
    <xdr:to>
      <xdr:col>12</xdr:col>
      <xdr:colOff>132617</xdr:colOff>
      <xdr:row>78</xdr:row>
      <xdr:rowOff>41466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7273" y="10425386"/>
          <a:ext cx="440044" cy="23963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56931</xdr:colOff>
      <xdr:row>76</xdr:row>
      <xdr:rowOff>70069</xdr:rowOff>
    </xdr:from>
    <xdr:to>
      <xdr:col>12</xdr:col>
      <xdr:colOff>141375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16031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48173</xdr:colOff>
      <xdr:row>76</xdr:row>
      <xdr:rowOff>87586</xdr:rowOff>
    </xdr:from>
    <xdr:to>
      <xdr:col>12</xdr:col>
      <xdr:colOff>132617</xdr:colOff>
      <xdr:row>78</xdr:row>
      <xdr:rowOff>41466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7273" y="10425386"/>
          <a:ext cx="440044" cy="23963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56931</xdr:colOff>
      <xdr:row>76</xdr:row>
      <xdr:rowOff>70069</xdr:rowOff>
    </xdr:from>
    <xdr:to>
      <xdr:col>12</xdr:col>
      <xdr:colOff>141375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16031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48173</xdr:colOff>
      <xdr:row>76</xdr:row>
      <xdr:rowOff>87586</xdr:rowOff>
    </xdr:from>
    <xdr:to>
      <xdr:col>12</xdr:col>
      <xdr:colOff>132617</xdr:colOff>
      <xdr:row>78</xdr:row>
      <xdr:rowOff>41466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7273" y="10425386"/>
          <a:ext cx="440044" cy="23963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56931</xdr:colOff>
      <xdr:row>76</xdr:row>
      <xdr:rowOff>70069</xdr:rowOff>
    </xdr:from>
    <xdr:to>
      <xdr:col>12</xdr:col>
      <xdr:colOff>141375</xdr:colOff>
      <xdr:row>78</xdr:row>
      <xdr:rowOff>23949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16031" y="10407869"/>
          <a:ext cx="440044" cy="239630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48173</xdr:colOff>
      <xdr:row>76</xdr:row>
      <xdr:rowOff>87586</xdr:rowOff>
    </xdr:from>
    <xdr:to>
      <xdr:col>12</xdr:col>
      <xdr:colOff>132617</xdr:colOff>
      <xdr:row>78</xdr:row>
      <xdr:rowOff>41466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7273" y="10425386"/>
          <a:ext cx="440044" cy="2396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2" t="s">
        <v>2</v>
      </c>
      <c r="E2" s="42"/>
      <c r="F2" s="286" t="s">
        <v>95</v>
      </c>
      <c r="G2" s="286"/>
      <c r="H2" s="286"/>
      <c r="I2" s="286"/>
      <c r="J2" s="286"/>
      <c r="K2" s="340"/>
      <c r="L2" s="2" t="s">
        <v>4</v>
      </c>
      <c r="M2" s="286">
        <v>9</v>
      </c>
      <c r="N2" s="287"/>
      <c r="O2" s="2" t="s">
        <v>6</v>
      </c>
      <c r="P2" s="290" t="s">
        <v>83</v>
      </c>
      <c r="Q2" s="291"/>
      <c r="R2" s="291"/>
      <c r="S2" s="291"/>
      <c r="T2" s="291"/>
      <c r="U2" s="291"/>
      <c r="V2" s="292"/>
      <c r="W2" s="2" t="s">
        <v>34</v>
      </c>
      <c r="X2" s="32">
        <v>1</v>
      </c>
      <c r="Z2" s="34" t="s">
        <v>48</v>
      </c>
    </row>
    <row r="3" spans="1:26" ht="10" customHeight="1">
      <c r="A3" s="284" t="s">
        <v>1</v>
      </c>
      <c r="B3" s="285"/>
      <c r="C3" s="219"/>
      <c r="D3" s="25" t="s">
        <v>3</v>
      </c>
      <c r="E3" s="43"/>
      <c r="F3" s="341"/>
      <c r="G3" s="341"/>
      <c r="H3" s="341"/>
      <c r="I3" s="341"/>
      <c r="J3" s="341"/>
      <c r="K3" s="342"/>
      <c r="L3" s="25" t="s">
        <v>5</v>
      </c>
      <c r="M3" s="288"/>
      <c r="N3" s="289"/>
      <c r="O3" s="25" t="s">
        <v>7</v>
      </c>
      <c r="P3" s="293"/>
      <c r="Q3" s="293"/>
      <c r="R3" s="293"/>
      <c r="S3" s="293"/>
      <c r="T3" s="293"/>
      <c r="U3" s="293"/>
      <c r="V3" s="294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295" t="s">
        <v>99</v>
      </c>
      <c r="R4" s="296"/>
      <c r="S4" s="296"/>
      <c r="T4" s="297"/>
      <c r="U4" s="2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25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1</v>
      </c>
      <c r="J24" s="248"/>
      <c r="K24" s="248">
        <v>2</v>
      </c>
      <c r="L24" s="248"/>
      <c r="M24" s="248">
        <v>3</v>
      </c>
      <c r="N24" s="248"/>
      <c r="O24" s="248">
        <v>4</v>
      </c>
      <c r="P24" s="248"/>
      <c r="Q24" s="248">
        <v>5</v>
      </c>
      <c r="R24" s="248"/>
      <c r="S24" s="248">
        <v>6</v>
      </c>
      <c r="T24" s="248"/>
      <c r="U24" s="248">
        <v>7</v>
      </c>
      <c r="V24" s="248"/>
      <c r="W24" s="248">
        <v>8</v>
      </c>
      <c r="X24" s="248"/>
      <c r="Z24" s="50"/>
    </row>
    <row r="25" spans="1:28">
      <c r="A25" s="251" t="s">
        <v>15</v>
      </c>
      <c r="B25" s="252"/>
      <c r="C25" s="29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52</v>
      </c>
      <c r="E26" s="337">
        <v>2.08</v>
      </c>
      <c r="F26" s="338"/>
      <c r="G26" s="52" t="s">
        <v>53</v>
      </c>
      <c r="H26" s="44">
        <v>0.05</v>
      </c>
      <c r="I26" s="229">
        <v>2.1</v>
      </c>
      <c r="J26" s="229"/>
      <c r="K26" s="229">
        <v>2.0990000000000002</v>
      </c>
      <c r="L26" s="229"/>
      <c r="M26" s="229">
        <v>2.101</v>
      </c>
      <c r="N26" s="229"/>
      <c r="O26" s="229">
        <v>2.1150000000000002</v>
      </c>
      <c r="P26" s="229"/>
      <c r="Q26" s="229">
        <v>2.1110000000000002</v>
      </c>
      <c r="R26" s="229"/>
      <c r="S26" s="229">
        <v>2.0979999999999999</v>
      </c>
      <c r="T26" s="229"/>
      <c r="U26" s="229">
        <v>2.0990000000000002</v>
      </c>
      <c r="V26" s="229"/>
      <c r="W26" s="229">
        <v>2.0990000000000002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52</v>
      </c>
      <c r="E28" s="337">
        <v>1.97</v>
      </c>
      <c r="F28" s="338"/>
      <c r="G28" s="52" t="s">
        <v>53</v>
      </c>
      <c r="H28" s="44">
        <v>0.05</v>
      </c>
      <c r="I28" s="229">
        <v>1.99</v>
      </c>
      <c r="J28" s="229"/>
      <c r="K28" s="229">
        <v>1.98</v>
      </c>
      <c r="L28" s="229"/>
      <c r="M28" s="229">
        <v>1.99</v>
      </c>
      <c r="N28" s="229"/>
      <c r="O28" s="229">
        <v>1.99</v>
      </c>
      <c r="P28" s="229"/>
      <c r="Q28" s="229">
        <v>1.99</v>
      </c>
      <c r="R28" s="229"/>
      <c r="S28" s="229">
        <v>1.99</v>
      </c>
      <c r="T28" s="229"/>
      <c r="U28" s="229">
        <v>1.99</v>
      </c>
      <c r="V28" s="229"/>
      <c r="W28" s="229">
        <v>2.0099999999999998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52</v>
      </c>
      <c r="E30" s="337">
        <v>2.08</v>
      </c>
      <c r="F30" s="338"/>
      <c r="G30" s="52" t="s">
        <v>53</v>
      </c>
      <c r="H30" s="44">
        <v>0.05</v>
      </c>
      <c r="I30" s="229">
        <v>2.0910000000000002</v>
      </c>
      <c r="J30" s="229"/>
      <c r="K30" s="229">
        <v>2.1059999999999999</v>
      </c>
      <c r="L30" s="229"/>
      <c r="M30" s="229">
        <v>2.0939999999999999</v>
      </c>
      <c r="N30" s="229"/>
      <c r="O30" s="229">
        <v>2.097</v>
      </c>
      <c r="P30" s="229"/>
      <c r="Q30" s="229">
        <v>2.0990000000000002</v>
      </c>
      <c r="R30" s="229"/>
      <c r="S30" s="229">
        <v>2.101</v>
      </c>
      <c r="T30" s="229"/>
      <c r="U30" s="229">
        <v>2.09</v>
      </c>
      <c r="V30" s="229"/>
      <c r="W30" s="229">
        <v>2.085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52</v>
      </c>
      <c r="E32" s="337">
        <v>10.92</v>
      </c>
      <c r="F32" s="338"/>
      <c r="G32" s="52" t="s">
        <v>53</v>
      </c>
      <c r="H32" s="44">
        <v>0.13</v>
      </c>
      <c r="I32" s="269">
        <v>11.01</v>
      </c>
      <c r="J32" s="269"/>
      <c r="K32" s="269">
        <v>11.01</v>
      </c>
      <c r="L32" s="269"/>
      <c r="M32" s="269">
        <v>11.05</v>
      </c>
      <c r="N32" s="269"/>
      <c r="O32" s="269">
        <v>11.04</v>
      </c>
      <c r="P32" s="269"/>
      <c r="Q32" s="269">
        <v>11.03</v>
      </c>
      <c r="R32" s="269"/>
      <c r="S32" s="269">
        <v>11.01</v>
      </c>
      <c r="T32" s="269"/>
      <c r="U32" s="269">
        <v>11.02</v>
      </c>
      <c r="V32" s="269"/>
      <c r="W32" s="269">
        <v>11.03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62" t="s">
        <v>89</v>
      </c>
      <c r="E34" s="63"/>
      <c r="F34" s="63"/>
      <c r="G34" s="63"/>
      <c r="H34" s="64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58" t="s">
        <v>90</v>
      </c>
      <c r="E35" s="65"/>
      <c r="F35" s="65"/>
      <c r="G35" s="65"/>
      <c r="H35" s="66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97</v>
      </c>
      <c r="J36" s="224"/>
      <c r="K36" s="224" t="s">
        <v>97</v>
      </c>
      <c r="L36" s="224"/>
      <c r="M36" s="224" t="s">
        <v>97</v>
      </c>
      <c r="N36" s="224"/>
      <c r="O36" s="224" t="s">
        <v>97</v>
      </c>
      <c r="P36" s="224"/>
      <c r="Q36" s="224" t="s">
        <v>97</v>
      </c>
      <c r="R36" s="224"/>
      <c r="S36" s="224" t="s">
        <v>97</v>
      </c>
      <c r="T36" s="224"/>
      <c r="U36" s="224" t="s">
        <v>97</v>
      </c>
      <c r="V36" s="224"/>
      <c r="W36" s="224" t="s">
        <v>97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58" t="s">
        <v>69</v>
      </c>
      <c r="E37" s="65"/>
      <c r="F37" s="65"/>
      <c r="G37" s="65"/>
      <c r="H37" s="66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62" t="s">
        <v>71</v>
      </c>
      <c r="E38" s="63"/>
      <c r="F38" s="63"/>
      <c r="G38" s="63"/>
      <c r="H38" s="64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58" t="s">
        <v>72</v>
      </c>
      <c r="E39" s="65"/>
      <c r="F39" s="65"/>
      <c r="G39" s="65"/>
      <c r="H39" s="66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62" t="s">
        <v>73</v>
      </c>
      <c r="E40" s="54"/>
      <c r="F40" s="54"/>
      <c r="G40" s="54"/>
      <c r="H40" s="38"/>
      <c r="I40" s="224" t="s">
        <v>98</v>
      </c>
      <c r="J40" s="224"/>
      <c r="K40" s="224" t="s">
        <v>98</v>
      </c>
      <c r="L40" s="224"/>
      <c r="M40" s="224" t="s">
        <v>98</v>
      </c>
      <c r="N40" s="224"/>
      <c r="O40" s="224" t="s">
        <v>98</v>
      </c>
      <c r="P40" s="224"/>
      <c r="Q40" s="224" t="s">
        <v>98</v>
      </c>
      <c r="R40" s="224"/>
      <c r="S40" s="224" t="s">
        <v>98</v>
      </c>
      <c r="T40" s="224"/>
      <c r="U40" s="224" t="s">
        <v>98</v>
      </c>
      <c r="V40" s="224"/>
      <c r="W40" s="224" t="s">
        <v>98</v>
      </c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58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62" t="s">
        <v>75</v>
      </c>
      <c r="E42" s="59"/>
      <c r="F42" s="60"/>
      <c r="G42" s="52"/>
      <c r="H42" s="44"/>
      <c r="I42" s="224" t="s">
        <v>98</v>
      </c>
      <c r="J42" s="224"/>
      <c r="K42" s="224" t="s">
        <v>98</v>
      </c>
      <c r="L42" s="224"/>
      <c r="M42" s="224" t="s">
        <v>98</v>
      </c>
      <c r="N42" s="224"/>
      <c r="O42" s="224" t="s">
        <v>98</v>
      </c>
      <c r="P42" s="224"/>
      <c r="Q42" s="224" t="s">
        <v>98</v>
      </c>
      <c r="R42" s="224"/>
      <c r="S42" s="224" t="s">
        <v>98</v>
      </c>
      <c r="T42" s="224"/>
      <c r="U42" s="224" t="s">
        <v>98</v>
      </c>
      <c r="V42" s="224"/>
      <c r="W42" s="224" t="s">
        <v>98</v>
      </c>
      <c r="X42" s="224"/>
      <c r="AA42" s="45"/>
      <c r="AB42" s="56"/>
    </row>
    <row r="43" spans="1:28" s="20" customFormat="1" ht="10" customHeight="1">
      <c r="A43" s="262"/>
      <c r="B43" s="262"/>
      <c r="C43" s="227"/>
      <c r="D43" s="58" t="s">
        <v>76</v>
      </c>
      <c r="E43" s="61"/>
      <c r="F43" s="61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62" t="s">
        <v>77</v>
      </c>
      <c r="E44" s="59"/>
      <c r="F44" s="60"/>
      <c r="G44" s="52"/>
      <c r="H44" s="44"/>
      <c r="I44" s="224" t="s">
        <v>98</v>
      </c>
      <c r="J44" s="224"/>
      <c r="K44" s="224" t="s">
        <v>98</v>
      </c>
      <c r="L44" s="224"/>
      <c r="M44" s="224" t="s">
        <v>98</v>
      </c>
      <c r="N44" s="224"/>
      <c r="O44" s="224" t="s">
        <v>98</v>
      </c>
      <c r="P44" s="224"/>
      <c r="Q44" s="224" t="s">
        <v>98</v>
      </c>
      <c r="R44" s="224"/>
      <c r="S44" s="224" t="s">
        <v>98</v>
      </c>
      <c r="T44" s="224"/>
      <c r="U44" s="224" t="s">
        <v>98</v>
      </c>
      <c r="V44" s="224"/>
      <c r="W44" s="224" t="s">
        <v>98</v>
      </c>
      <c r="X44" s="224"/>
      <c r="AA44" s="45"/>
      <c r="AB44" s="56"/>
    </row>
    <row r="45" spans="1:28" s="20" customFormat="1" ht="10" customHeight="1">
      <c r="A45" s="262"/>
      <c r="B45" s="262"/>
      <c r="C45" s="228"/>
      <c r="D45" s="58" t="s">
        <v>78</v>
      </c>
      <c r="E45" s="61"/>
      <c r="F45" s="61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62" t="s">
        <v>79</v>
      </c>
      <c r="E46" s="63"/>
      <c r="F46" s="63"/>
      <c r="G46" s="63"/>
      <c r="H46" s="64"/>
      <c r="I46" s="224" t="s">
        <v>98</v>
      </c>
      <c r="J46" s="224"/>
      <c r="K46" s="224" t="s">
        <v>98</v>
      </c>
      <c r="L46" s="224"/>
      <c r="M46" s="224" t="s">
        <v>98</v>
      </c>
      <c r="N46" s="224"/>
      <c r="O46" s="224" t="s">
        <v>98</v>
      </c>
      <c r="P46" s="224"/>
      <c r="Q46" s="224" t="s">
        <v>98</v>
      </c>
      <c r="R46" s="224"/>
      <c r="S46" s="224" t="s">
        <v>98</v>
      </c>
      <c r="T46" s="224"/>
      <c r="U46" s="224" t="s">
        <v>98</v>
      </c>
      <c r="V46" s="224"/>
      <c r="W46" s="224" t="s">
        <v>98</v>
      </c>
      <c r="X46" s="224"/>
      <c r="AA46" s="45"/>
      <c r="AB46" s="56"/>
    </row>
    <row r="47" spans="1:28" s="20" customFormat="1" ht="10" customHeight="1">
      <c r="A47" s="262"/>
      <c r="B47" s="262"/>
      <c r="C47" s="228"/>
      <c r="D47" s="58" t="s">
        <v>80</v>
      </c>
      <c r="E47" s="65"/>
      <c r="F47" s="65"/>
      <c r="G47" s="65"/>
      <c r="H47" s="66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62" t="s">
        <v>81</v>
      </c>
      <c r="E48" s="63"/>
      <c r="F48" s="63"/>
      <c r="G48" s="63"/>
      <c r="H48" s="64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58" t="s">
        <v>82</v>
      </c>
      <c r="E49" s="65"/>
      <c r="F49" s="65"/>
      <c r="G49" s="65"/>
      <c r="H49" s="66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sortState ref="S8:X28">
    <sortCondition ref="S8"/>
  </sortState>
  <mergeCells count="318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</mergeCells>
  <phoneticPr fontId="10" type="noConversion"/>
  <conditionalFormatting sqref="I28:X29">
    <cfRule type="cellIs" dxfId="431" priority="29" operator="greaterThan">
      <formula>$AA$28</formula>
    </cfRule>
    <cfRule type="cellIs" dxfId="430" priority="30" operator="lessThan">
      <formula>$AA$29</formula>
    </cfRule>
  </conditionalFormatting>
  <conditionalFormatting sqref="I32:X33">
    <cfRule type="cellIs" dxfId="429" priority="7" operator="greaterThan">
      <formula>$AA$32</formula>
    </cfRule>
    <cfRule type="cellIs" dxfId="428" priority="8" operator="lessThan">
      <formula>$AA$33</formula>
    </cfRule>
  </conditionalFormatting>
  <conditionalFormatting sqref="I30:X31">
    <cfRule type="cellIs" dxfId="427" priority="5" operator="greaterThan">
      <formula>$AA$30</formula>
    </cfRule>
    <cfRule type="cellIs" dxfId="426" priority="6" operator="lessThan">
      <formula>$AA$31</formula>
    </cfRule>
  </conditionalFormatting>
  <conditionalFormatting sqref="I26:X27">
    <cfRule type="cellIs" dxfId="425" priority="3" operator="greaterThan">
      <formula>$AA$26</formula>
    </cfRule>
    <cfRule type="cellIs" dxfId="424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77" t="s">
        <v>2</v>
      </c>
      <c r="E2" s="42"/>
      <c r="F2" s="286" t="s">
        <v>95</v>
      </c>
      <c r="G2" s="286"/>
      <c r="H2" s="286"/>
      <c r="I2" s="286"/>
      <c r="J2" s="286"/>
      <c r="K2" s="340"/>
      <c r="L2" s="77" t="s">
        <v>4</v>
      </c>
      <c r="M2" s="286">
        <v>9</v>
      </c>
      <c r="N2" s="287"/>
      <c r="O2" s="77" t="s">
        <v>6</v>
      </c>
      <c r="P2" s="290" t="s">
        <v>83</v>
      </c>
      <c r="Q2" s="291"/>
      <c r="R2" s="291"/>
      <c r="S2" s="291"/>
      <c r="T2" s="291"/>
      <c r="U2" s="291"/>
      <c r="V2" s="292"/>
      <c r="W2" s="77" t="s">
        <v>34</v>
      </c>
      <c r="X2" s="32">
        <v>2</v>
      </c>
      <c r="Z2" s="34" t="s">
        <v>48</v>
      </c>
    </row>
    <row r="3" spans="1:26" ht="10" customHeight="1">
      <c r="A3" s="284" t="s">
        <v>1</v>
      </c>
      <c r="B3" s="285"/>
      <c r="C3" s="219"/>
      <c r="D3" s="78" t="s">
        <v>3</v>
      </c>
      <c r="E3" s="43"/>
      <c r="F3" s="341"/>
      <c r="G3" s="341"/>
      <c r="H3" s="341"/>
      <c r="I3" s="341"/>
      <c r="J3" s="341"/>
      <c r="K3" s="342"/>
      <c r="L3" s="78" t="s">
        <v>5</v>
      </c>
      <c r="M3" s="288"/>
      <c r="N3" s="289"/>
      <c r="O3" s="78" t="s">
        <v>7</v>
      </c>
      <c r="P3" s="293"/>
      <c r="Q3" s="293"/>
      <c r="R3" s="293"/>
      <c r="S3" s="293"/>
      <c r="T3" s="293"/>
      <c r="U3" s="293"/>
      <c r="V3" s="294"/>
      <c r="W3" s="78" t="s">
        <v>8</v>
      </c>
      <c r="X3" s="6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7" t="s">
        <v>9</v>
      </c>
      <c r="P4" s="6"/>
      <c r="Q4" s="295" t="s">
        <v>99</v>
      </c>
      <c r="R4" s="296"/>
      <c r="S4" s="296"/>
      <c r="T4" s="297"/>
      <c r="U4" s="77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78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9</v>
      </c>
      <c r="J24" s="248"/>
      <c r="K24" s="248">
        <v>10</v>
      </c>
      <c r="L24" s="248"/>
      <c r="M24" s="248">
        <v>11</v>
      </c>
      <c r="N24" s="248"/>
      <c r="O24" s="248">
        <v>12</v>
      </c>
      <c r="P24" s="248"/>
      <c r="Q24" s="248">
        <v>13</v>
      </c>
      <c r="R24" s="248"/>
      <c r="S24" s="248">
        <v>14</v>
      </c>
      <c r="T24" s="248"/>
      <c r="U24" s="248">
        <v>15</v>
      </c>
      <c r="V24" s="248"/>
      <c r="W24" s="248">
        <v>16</v>
      </c>
      <c r="X24" s="248"/>
      <c r="Z24" s="50"/>
    </row>
    <row r="25" spans="1:28">
      <c r="A25" s="251" t="s">
        <v>15</v>
      </c>
      <c r="B25" s="252"/>
      <c r="C25" s="79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2.117</v>
      </c>
      <c r="J26" s="229"/>
      <c r="K26" s="229">
        <v>2.1059999999999999</v>
      </c>
      <c r="L26" s="229"/>
      <c r="M26" s="229">
        <v>2.1030000000000002</v>
      </c>
      <c r="N26" s="229"/>
      <c r="O26" s="229">
        <v>2.101</v>
      </c>
      <c r="P26" s="229"/>
      <c r="Q26" s="229">
        <v>2.109</v>
      </c>
      <c r="R26" s="229"/>
      <c r="S26" s="229">
        <v>2.0979999999999999</v>
      </c>
      <c r="T26" s="229"/>
      <c r="U26" s="229">
        <v>2.101</v>
      </c>
      <c r="V26" s="229"/>
      <c r="W26" s="229">
        <v>2.1110000000000002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1.98</v>
      </c>
      <c r="J28" s="229"/>
      <c r="K28" s="229">
        <v>1.99</v>
      </c>
      <c r="L28" s="229"/>
      <c r="M28" s="229">
        <v>1.99</v>
      </c>
      <c r="N28" s="229"/>
      <c r="O28" s="229">
        <v>1.99</v>
      </c>
      <c r="P28" s="229"/>
      <c r="Q28" s="229">
        <v>1.98</v>
      </c>
      <c r="R28" s="229"/>
      <c r="S28" s="229">
        <v>1.99</v>
      </c>
      <c r="T28" s="229"/>
      <c r="U28" s="229">
        <v>1.99</v>
      </c>
      <c r="V28" s="229"/>
      <c r="W28" s="229">
        <v>1.99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2.0880000000000001</v>
      </c>
      <c r="J30" s="229"/>
      <c r="K30" s="229">
        <v>2.0939999999999999</v>
      </c>
      <c r="L30" s="229"/>
      <c r="M30" s="229">
        <v>2.0910000000000002</v>
      </c>
      <c r="N30" s="229"/>
      <c r="O30" s="229">
        <v>2.0960000000000001</v>
      </c>
      <c r="P30" s="229"/>
      <c r="Q30" s="229">
        <v>2.1</v>
      </c>
      <c r="R30" s="229"/>
      <c r="S30" s="229">
        <v>2.0920000000000001</v>
      </c>
      <c r="T30" s="229"/>
      <c r="U30" s="229">
        <v>2.0910000000000002</v>
      </c>
      <c r="V30" s="229"/>
      <c r="W30" s="229">
        <v>2.0939999999999999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11.01</v>
      </c>
      <c r="J32" s="269"/>
      <c r="K32" s="269">
        <v>11.03</v>
      </c>
      <c r="L32" s="269"/>
      <c r="M32" s="269">
        <v>11.03</v>
      </c>
      <c r="N32" s="269"/>
      <c r="O32" s="269">
        <v>11.04</v>
      </c>
      <c r="P32" s="269"/>
      <c r="Q32" s="269">
        <v>11.05</v>
      </c>
      <c r="R32" s="269"/>
      <c r="S32" s="269">
        <v>11.02</v>
      </c>
      <c r="T32" s="269"/>
      <c r="U32" s="269">
        <v>11.02</v>
      </c>
      <c r="V32" s="269"/>
      <c r="W32" s="269">
        <v>11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71" t="s">
        <v>89</v>
      </c>
      <c r="E34" s="72"/>
      <c r="F34" s="72"/>
      <c r="G34" s="72"/>
      <c r="H34" s="73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74" t="s">
        <v>90</v>
      </c>
      <c r="E35" s="75"/>
      <c r="F35" s="75"/>
      <c r="G35" s="75"/>
      <c r="H35" s="76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97</v>
      </c>
      <c r="J36" s="224"/>
      <c r="K36" s="224" t="s">
        <v>97</v>
      </c>
      <c r="L36" s="224"/>
      <c r="M36" s="224" t="s">
        <v>97</v>
      </c>
      <c r="N36" s="224"/>
      <c r="O36" s="224" t="s">
        <v>97</v>
      </c>
      <c r="P36" s="224"/>
      <c r="Q36" s="224" t="s">
        <v>97</v>
      </c>
      <c r="R36" s="224"/>
      <c r="S36" s="224" t="s">
        <v>97</v>
      </c>
      <c r="T36" s="224"/>
      <c r="U36" s="224" t="s">
        <v>97</v>
      </c>
      <c r="V36" s="224"/>
      <c r="W36" s="224" t="s">
        <v>97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74" t="s">
        <v>69</v>
      </c>
      <c r="E37" s="75"/>
      <c r="F37" s="75"/>
      <c r="G37" s="75"/>
      <c r="H37" s="76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71" t="s">
        <v>71</v>
      </c>
      <c r="E38" s="72"/>
      <c r="F38" s="72"/>
      <c r="G38" s="72"/>
      <c r="H38" s="73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74" t="s">
        <v>72</v>
      </c>
      <c r="E39" s="75"/>
      <c r="F39" s="75"/>
      <c r="G39" s="75"/>
      <c r="H39" s="76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71" t="s">
        <v>73</v>
      </c>
      <c r="E40" s="54"/>
      <c r="F40" s="54"/>
      <c r="G40" s="54"/>
      <c r="H40" s="38"/>
      <c r="I40" s="224" t="s">
        <v>98</v>
      </c>
      <c r="J40" s="224"/>
      <c r="K40" s="224" t="s">
        <v>98</v>
      </c>
      <c r="L40" s="224"/>
      <c r="M40" s="224" t="s">
        <v>98</v>
      </c>
      <c r="N40" s="224"/>
      <c r="O40" s="224" t="s">
        <v>98</v>
      </c>
      <c r="P40" s="224"/>
      <c r="Q40" s="224" t="s">
        <v>98</v>
      </c>
      <c r="R40" s="224"/>
      <c r="S40" s="224" t="s">
        <v>98</v>
      </c>
      <c r="T40" s="224"/>
      <c r="U40" s="224" t="s">
        <v>98</v>
      </c>
      <c r="V40" s="224"/>
      <c r="W40" s="224" t="s">
        <v>98</v>
      </c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74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71" t="s">
        <v>75</v>
      </c>
      <c r="E42" s="68"/>
      <c r="F42" s="69"/>
      <c r="G42" s="52"/>
      <c r="H42" s="44"/>
      <c r="I42" s="224" t="s">
        <v>98</v>
      </c>
      <c r="J42" s="224"/>
      <c r="K42" s="224" t="s">
        <v>98</v>
      </c>
      <c r="L42" s="224"/>
      <c r="M42" s="224" t="s">
        <v>98</v>
      </c>
      <c r="N42" s="224"/>
      <c r="O42" s="224" t="s">
        <v>98</v>
      </c>
      <c r="P42" s="224"/>
      <c r="Q42" s="224" t="s">
        <v>98</v>
      </c>
      <c r="R42" s="224"/>
      <c r="S42" s="224" t="s">
        <v>98</v>
      </c>
      <c r="T42" s="224"/>
      <c r="U42" s="224" t="s">
        <v>98</v>
      </c>
      <c r="V42" s="224"/>
      <c r="W42" s="224" t="s">
        <v>98</v>
      </c>
      <c r="X42" s="224"/>
      <c r="AA42" s="45"/>
      <c r="AB42" s="56"/>
    </row>
    <row r="43" spans="1:28" s="20" customFormat="1" ht="10" customHeight="1">
      <c r="A43" s="262"/>
      <c r="B43" s="262"/>
      <c r="C43" s="227"/>
      <c r="D43" s="74" t="s">
        <v>76</v>
      </c>
      <c r="E43" s="70"/>
      <c r="F43" s="70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71" t="s">
        <v>77</v>
      </c>
      <c r="E44" s="68"/>
      <c r="F44" s="69"/>
      <c r="G44" s="52"/>
      <c r="H44" s="44"/>
      <c r="I44" s="224" t="s">
        <v>98</v>
      </c>
      <c r="J44" s="224"/>
      <c r="K44" s="224" t="s">
        <v>98</v>
      </c>
      <c r="L44" s="224"/>
      <c r="M44" s="224" t="s">
        <v>98</v>
      </c>
      <c r="N44" s="224"/>
      <c r="O44" s="224" t="s">
        <v>98</v>
      </c>
      <c r="P44" s="224"/>
      <c r="Q44" s="224" t="s">
        <v>98</v>
      </c>
      <c r="R44" s="224"/>
      <c r="S44" s="224" t="s">
        <v>98</v>
      </c>
      <c r="T44" s="224"/>
      <c r="U44" s="224" t="s">
        <v>98</v>
      </c>
      <c r="V44" s="224"/>
      <c r="W44" s="224" t="s">
        <v>98</v>
      </c>
      <c r="X44" s="224"/>
      <c r="AA44" s="45"/>
      <c r="AB44" s="56"/>
    </row>
    <row r="45" spans="1:28" s="20" customFormat="1" ht="10" customHeight="1">
      <c r="A45" s="262"/>
      <c r="B45" s="262"/>
      <c r="C45" s="228"/>
      <c r="D45" s="74" t="s">
        <v>78</v>
      </c>
      <c r="E45" s="70"/>
      <c r="F45" s="70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71" t="s">
        <v>79</v>
      </c>
      <c r="E46" s="72"/>
      <c r="F46" s="72"/>
      <c r="G46" s="72"/>
      <c r="H46" s="73"/>
      <c r="I46" s="224" t="s">
        <v>98</v>
      </c>
      <c r="J46" s="224"/>
      <c r="K46" s="224" t="s">
        <v>98</v>
      </c>
      <c r="L46" s="224"/>
      <c r="M46" s="224" t="s">
        <v>98</v>
      </c>
      <c r="N46" s="224"/>
      <c r="O46" s="224" t="s">
        <v>98</v>
      </c>
      <c r="P46" s="224"/>
      <c r="Q46" s="224" t="s">
        <v>98</v>
      </c>
      <c r="R46" s="224"/>
      <c r="S46" s="224" t="s">
        <v>98</v>
      </c>
      <c r="T46" s="224"/>
      <c r="U46" s="224" t="s">
        <v>98</v>
      </c>
      <c r="V46" s="224"/>
      <c r="W46" s="224" t="s">
        <v>98</v>
      </c>
      <c r="X46" s="224"/>
      <c r="AA46" s="45"/>
      <c r="AB46" s="56"/>
    </row>
    <row r="47" spans="1:28" s="20" customFormat="1" ht="10" customHeight="1">
      <c r="A47" s="262"/>
      <c r="B47" s="262"/>
      <c r="C47" s="228"/>
      <c r="D47" s="74" t="s">
        <v>80</v>
      </c>
      <c r="E47" s="75"/>
      <c r="F47" s="75"/>
      <c r="G47" s="75"/>
      <c r="H47" s="76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71" t="s">
        <v>81</v>
      </c>
      <c r="E48" s="72"/>
      <c r="F48" s="72"/>
      <c r="G48" s="72"/>
      <c r="H48" s="73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74" t="s">
        <v>82</v>
      </c>
      <c r="E49" s="75"/>
      <c r="F49" s="75"/>
      <c r="G49" s="75"/>
      <c r="H49" s="76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23" priority="7" operator="greaterThan">
      <formula>$AA$28</formula>
    </cfRule>
    <cfRule type="cellIs" dxfId="422" priority="8" operator="lessThan">
      <formula>$AA$29</formula>
    </cfRule>
  </conditionalFormatting>
  <conditionalFormatting sqref="I32:X33">
    <cfRule type="cellIs" dxfId="421" priority="5" operator="greaterThan">
      <formula>$AA$32</formula>
    </cfRule>
    <cfRule type="cellIs" dxfId="420" priority="6" operator="lessThan">
      <formula>$AA$33</formula>
    </cfRule>
  </conditionalFormatting>
  <conditionalFormatting sqref="I30:X31">
    <cfRule type="cellIs" dxfId="419" priority="3" operator="greaterThan">
      <formula>$AA$30</formula>
    </cfRule>
    <cfRule type="cellIs" dxfId="418" priority="4" operator="lessThan">
      <formula>$AA$31</formula>
    </cfRule>
  </conditionalFormatting>
  <conditionalFormatting sqref="I26:X27">
    <cfRule type="cellIs" dxfId="417" priority="1" operator="greaterThan">
      <formula>$AA$26</formula>
    </cfRule>
    <cfRule type="cellIs" dxfId="4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88" t="s">
        <v>2</v>
      </c>
      <c r="E2" s="42"/>
      <c r="F2" s="286" t="s">
        <v>95</v>
      </c>
      <c r="G2" s="286"/>
      <c r="H2" s="286"/>
      <c r="I2" s="286"/>
      <c r="J2" s="286"/>
      <c r="K2" s="340"/>
      <c r="L2" s="88" t="s">
        <v>4</v>
      </c>
      <c r="M2" s="286">
        <v>9</v>
      </c>
      <c r="N2" s="287"/>
      <c r="O2" s="88" t="s">
        <v>6</v>
      </c>
      <c r="P2" s="290" t="s">
        <v>83</v>
      </c>
      <c r="Q2" s="291"/>
      <c r="R2" s="291"/>
      <c r="S2" s="291"/>
      <c r="T2" s="291"/>
      <c r="U2" s="291"/>
      <c r="V2" s="292"/>
      <c r="W2" s="88" t="s">
        <v>34</v>
      </c>
      <c r="X2" s="32">
        <v>1</v>
      </c>
      <c r="Z2" s="34" t="s">
        <v>48</v>
      </c>
    </row>
    <row r="3" spans="1:26" ht="10" customHeight="1">
      <c r="A3" s="284" t="s">
        <v>1</v>
      </c>
      <c r="B3" s="285"/>
      <c r="C3" s="219"/>
      <c r="D3" s="89" t="s">
        <v>3</v>
      </c>
      <c r="E3" s="43"/>
      <c r="F3" s="341"/>
      <c r="G3" s="341"/>
      <c r="H3" s="341"/>
      <c r="I3" s="341"/>
      <c r="J3" s="341"/>
      <c r="K3" s="342"/>
      <c r="L3" s="89" t="s">
        <v>5</v>
      </c>
      <c r="M3" s="288"/>
      <c r="N3" s="289"/>
      <c r="O3" s="89" t="s">
        <v>7</v>
      </c>
      <c r="P3" s="293"/>
      <c r="Q3" s="293"/>
      <c r="R3" s="293"/>
      <c r="S3" s="293"/>
      <c r="T3" s="293"/>
      <c r="U3" s="293"/>
      <c r="V3" s="294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88" t="s">
        <v>9</v>
      </c>
      <c r="P4" s="6"/>
      <c r="Q4" s="295" t="s">
        <v>99</v>
      </c>
      <c r="R4" s="296"/>
      <c r="S4" s="296"/>
      <c r="T4" s="297"/>
      <c r="U4" s="88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89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1</v>
      </c>
      <c r="J24" s="248"/>
      <c r="K24" s="248">
        <v>2</v>
      </c>
      <c r="L24" s="248"/>
      <c r="M24" s="248">
        <v>3</v>
      </c>
      <c r="N24" s="248"/>
      <c r="O24" s="248">
        <v>4</v>
      </c>
      <c r="P24" s="248"/>
      <c r="Q24" s="248">
        <v>5</v>
      </c>
      <c r="R24" s="248"/>
      <c r="S24" s="248">
        <v>6</v>
      </c>
      <c r="T24" s="248"/>
      <c r="U24" s="248">
        <v>7</v>
      </c>
      <c r="V24" s="248"/>
      <c r="W24" s="248">
        <v>8</v>
      </c>
      <c r="X24" s="248"/>
      <c r="Z24" s="50"/>
    </row>
    <row r="25" spans="1:28">
      <c r="A25" s="251" t="s">
        <v>15</v>
      </c>
      <c r="B25" s="252"/>
      <c r="C25" s="86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52</v>
      </c>
      <c r="E26" s="337">
        <v>2.08</v>
      </c>
      <c r="F26" s="338"/>
      <c r="G26" s="52" t="s">
        <v>53</v>
      </c>
      <c r="H26" s="44">
        <v>0.05</v>
      </c>
      <c r="I26" s="229">
        <v>2.1</v>
      </c>
      <c r="J26" s="229"/>
      <c r="K26" s="229">
        <v>2.0979999999999999</v>
      </c>
      <c r="L26" s="229"/>
      <c r="M26" s="229">
        <v>2.0979999999999999</v>
      </c>
      <c r="N26" s="229"/>
      <c r="O26" s="229">
        <v>2.1019999999999999</v>
      </c>
      <c r="P26" s="229"/>
      <c r="Q26" s="229">
        <v>2.1030000000000002</v>
      </c>
      <c r="R26" s="229"/>
      <c r="S26" s="229">
        <v>2.0990000000000002</v>
      </c>
      <c r="T26" s="229"/>
      <c r="U26" s="229">
        <v>2.0939999999999999</v>
      </c>
      <c r="V26" s="229"/>
      <c r="W26" s="229">
        <v>2.097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52</v>
      </c>
      <c r="E28" s="337">
        <v>1.97</v>
      </c>
      <c r="F28" s="338"/>
      <c r="G28" s="52" t="s">
        <v>53</v>
      </c>
      <c r="H28" s="44">
        <v>0.05</v>
      </c>
      <c r="I28" s="229">
        <v>2</v>
      </c>
      <c r="J28" s="229"/>
      <c r="K28" s="229">
        <v>1.97</v>
      </c>
      <c r="L28" s="229"/>
      <c r="M28" s="229">
        <v>1.99</v>
      </c>
      <c r="N28" s="229"/>
      <c r="O28" s="229">
        <v>1.99</v>
      </c>
      <c r="P28" s="229"/>
      <c r="Q28" s="229">
        <v>1.99</v>
      </c>
      <c r="R28" s="229"/>
      <c r="S28" s="229">
        <v>1.99</v>
      </c>
      <c r="T28" s="229"/>
      <c r="U28" s="229">
        <v>1.99</v>
      </c>
      <c r="V28" s="229"/>
      <c r="W28" s="229">
        <v>2.0099999999999998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52</v>
      </c>
      <c r="E30" s="337">
        <v>2.08</v>
      </c>
      <c r="F30" s="338"/>
      <c r="G30" s="52" t="s">
        <v>53</v>
      </c>
      <c r="H30" s="44">
        <v>0.05</v>
      </c>
      <c r="I30" s="229">
        <v>2.0920000000000001</v>
      </c>
      <c r="J30" s="229"/>
      <c r="K30" s="229">
        <v>2.097</v>
      </c>
      <c r="L30" s="229"/>
      <c r="M30" s="229">
        <v>2.093</v>
      </c>
      <c r="N30" s="229"/>
      <c r="O30" s="229">
        <v>2.1</v>
      </c>
      <c r="P30" s="229"/>
      <c r="Q30" s="229">
        <v>2.1</v>
      </c>
      <c r="R30" s="229"/>
      <c r="S30" s="229">
        <v>2.1</v>
      </c>
      <c r="T30" s="229"/>
      <c r="U30" s="229">
        <v>2.0880000000000001</v>
      </c>
      <c r="V30" s="229"/>
      <c r="W30" s="229">
        <v>2.0939999999999999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52</v>
      </c>
      <c r="E32" s="337">
        <v>10.92</v>
      </c>
      <c r="F32" s="338"/>
      <c r="G32" s="52" t="s">
        <v>53</v>
      </c>
      <c r="H32" s="44">
        <v>0.13</v>
      </c>
      <c r="I32" s="269">
        <v>11</v>
      </c>
      <c r="J32" s="269"/>
      <c r="K32" s="269">
        <v>11</v>
      </c>
      <c r="L32" s="269"/>
      <c r="M32" s="269">
        <v>11.01</v>
      </c>
      <c r="N32" s="269"/>
      <c r="O32" s="269">
        <v>11.03</v>
      </c>
      <c r="P32" s="269"/>
      <c r="Q32" s="269">
        <v>11.03</v>
      </c>
      <c r="R32" s="269"/>
      <c r="S32" s="269">
        <v>11.01</v>
      </c>
      <c r="T32" s="269"/>
      <c r="U32" s="269">
        <v>10.99</v>
      </c>
      <c r="V32" s="269"/>
      <c r="W32" s="269">
        <v>10.99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80" t="s">
        <v>89</v>
      </c>
      <c r="E34" s="81"/>
      <c r="F34" s="81"/>
      <c r="G34" s="81"/>
      <c r="H34" s="82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83" t="s">
        <v>90</v>
      </c>
      <c r="E35" s="84"/>
      <c r="F35" s="84"/>
      <c r="G35" s="84"/>
      <c r="H35" s="85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97</v>
      </c>
      <c r="J36" s="224"/>
      <c r="K36" s="224" t="s">
        <v>97</v>
      </c>
      <c r="L36" s="224"/>
      <c r="M36" s="224" t="s">
        <v>97</v>
      </c>
      <c r="N36" s="224"/>
      <c r="O36" s="224" t="s">
        <v>97</v>
      </c>
      <c r="P36" s="224"/>
      <c r="Q36" s="224" t="s">
        <v>97</v>
      </c>
      <c r="R36" s="224"/>
      <c r="S36" s="224" t="s">
        <v>97</v>
      </c>
      <c r="T36" s="224"/>
      <c r="U36" s="224" t="s">
        <v>97</v>
      </c>
      <c r="V36" s="224"/>
      <c r="W36" s="224" t="s">
        <v>97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83" t="s">
        <v>69</v>
      </c>
      <c r="E37" s="84"/>
      <c r="F37" s="84"/>
      <c r="G37" s="84"/>
      <c r="H37" s="85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80" t="s">
        <v>71</v>
      </c>
      <c r="E38" s="81"/>
      <c r="F38" s="81"/>
      <c r="G38" s="81"/>
      <c r="H38" s="82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83" t="s">
        <v>72</v>
      </c>
      <c r="E39" s="84"/>
      <c r="F39" s="84"/>
      <c r="G39" s="84"/>
      <c r="H39" s="85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80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83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80" t="s">
        <v>75</v>
      </c>
      <c r="E42" s="87"/>
      <c r="F42" s="91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83" t="s">
        <v>76</v>
      </c>
      <c r="E43" s="92"/>
      <c r="F43" s="92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80" t="s">
        <v>77</v>
      </c>
      <c r="E44" s="87"/>
      <c r="F44" s="91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83" t="s">
        <v>78</v>
      </c>
      <c r="E45" s="92"/>
      <c r="F45" s="92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80" t="s">
        <v>79</v>
      </c>
      <c r="E46" s="81"/>
      <c r="F46" s="81"/>
      <c r="G46" s="81"/>
      <c r="H46" s="82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83" t="s">
        <v>80</v>
      </c>
      <c r="E47" s="84"/>
      <c r="F47" s="84"/>
      <c r="G47" s="84"/>
      <c r="H47" s="85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80" t="s">
        <v>81</v>
      </c>
      <c r="E48" s="81"/>
      <c r="F48" s="81"/>
      <c r="G48" s="81"/>
      <c r="H48" s="82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83" t="s">
        <v>82</v>
      </c>
      <c r="E49" s="84"/>
      <c r="F49" s="84"/>
      <c r="G49" s="84"/>
      <c r="H49" s="85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15" priority="7" operator="greaterThan">
      <formula>$AA$28</formula>
    </cfRule>
    <cfRule type="cellIs" dxfId="414" priority="8" operator="lessThan">
      <formula>$AA$29</formula>
    </cfRule>
  </conditionalFormatting>
  <conditionalFormatting sqref="I32:X33">
    <cfRule type="cellIs" dxfId="413" priority="5" operator="greaterThan">
      <formula>$AA$32</formula>
    </cfRule>
    <cfRule type="cellIs" dxfId="412" priority="6" operator="lessThan">
      <formula>$AA$33</formula>
    </cfRule>
  </conditionalFormatting>
  <conditionalFormatting sqref="I30:X31">
    <cfRule type="cellIs" dxfId="411" priority="3" operator="greaterThan">
      <formula>$AA$30</formula>
    </cfRule>
    <cfRule type="cellIs" dxfId="410" priority="4" operator="lessThan">
      <formula>$AA$31</formula>
    </cfRule>
  </conditionalFormatting>
  <conditionalFormatting sqref="I26:X27">
    <cfRule type="cellIs" dxfId="409" priority="1" operator="greaterThan">
      <formula>$AA$26</formula>
    </cfRule>
    <cfRule type="cellIs" dxfId="4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88" t="s">
        <v>2</v>
      </c>
      <c r="E2" s="42"/>
      <c r="F2" s="286" t="s">
        <v>95</v>
      </c>
      <c r="G2" s="286"/>
      <c r="H2" s="286"/>
      <c r="I2" s="286"/>
      <c r="J2" s="286"/>
      <c r="K2" s="340"/>
      <c r="L2" s="88" t="s">
        <v>4</v>
      </c>
      <c r="M2" s="286">
        <v>9</v>
      </c>
      <c r="N2" s="287"/>
      <c r="O2" s="88" t="s">
        <v>6</v>
      </c>
      <c r="P2" s="290" t="s">
        <v>83</v>
      </c>
      <c r="Q2" s="291"/>
      <c r="R2" s="291"/>
      <c r="S2" s="291"/>
      <c r="T2" s="291"/>
      <c r="U2" s="291"/>
      <c r="V2" s="292"/>
      <c r="W2" s="88" t="s">
        <v>34</v>
      </c>
      <c r="X2" s="32">
        <v>2</v>
      </c>
      <c r="Z2" s="34" t="s">
        <v>48</v>
      </c>
    </row>
    <row r="3" spans="1:26" ht="10" customHeight="1">
      <c r="A3" s="284" t="s">
        <v>1</v>
      </c>
      <c r="B3" s="285"/>
      <c r="C3" s="219"/>
      <c r="D3" s="89" t="s">
        <v>3</v>
      </c>
      <c r="E3" s="43"/>
      <c r="F3" s="341"/>
      <c r="G3" s="341"/>
      <c r="H3" s="341"/>
      <c r="I3" s="341"/>
      <c r="J3" s="341"/>
      <c r="K3" s="342"/>
      <c r="L3" s="89" t="s">
        <v>5</v>
      </c>
      <c r="M3" s="288"/>
      <c r="N3" s="289"/>
      <c r="O3" s="89" t="s">
        <v>7</v>
      </c>
      <c r="P3" s="293"/>
      <c r="Q3" s="293"/>
      <c r="R3" s="293"/>
      <c r="S3" s="293"/>
      <c r="T3" s="293"/>
      <c r="U3" s="293"/>
      <c r="V3" s="294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88" t="s">
        <v>9</v>
      </c>
      <c r="P4" s="6"/>
      <c r="Q4" s="295" t="s">
        <v>99</v>
      </c>
      <c r="R4" s="296"/>
      <c r="S4" s="296"/>
      <c r="T4" s="297"/>
      <c r="U4" s="88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89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9</v>
      </c>
      <c r="J24" s="248"/>
      <c r="K24" s="248">
        <v>10</v>
      </c>
      <c r="L24" s="248"/>
      <c r="M24" s="248">
        <v>11</v>
      </c>
      <c r="N24" s="248"/>
      <c r="O24" s="248">
        <v>12</v>
      </c>
      <c r="P24" s="248"/>
      <c r="Q24" s="248">
        <v>13</v>
      </c>
      <c r="R24" s="248"/>
      <c r="S24" s="248">
        <v>14</v>
      </c>
      <c r="T24" s="248"/>
      <c r="U24" s="248">
        <v>15</v>
      </c>
      <c r="V24" s="248"/>
      <c r="W24" s="248">
        <v>16</v>
      </c>
      <c r="X24" s="248"/>
      <c r="Z24" s="50"/>
    </row>
    <row r="25" spans="1:28">
      <c r="A25" s="251" t="s">
        <v>15</v>
      </c>
      <c r="B25" s="252"/>
      <c r="C25" s="86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2.0979999999999999</v>
      </c>
      <c r="J26" s="229"/>
      <c r="K26" s="229">
        <v>2.0979999999999999</v>
      </c>
      <c r="L26" s="229"/>
      <c r="M26" s="229">
        <v>2.1019999999999999</v>
      </c>
      <c r="N26" s="229"/>
      <c r="O26" s="229">
        <v>2.097</v>
      </c>
      <c r="P26" s="229"/>
      <c r="Q26" s="229">
        <v>2.11</v>
      </c>
      <c r="R26" s="229"/>
      <c r="S26" s="229">
        <v>2.101</v>
      </c>
      <c r="T26" s="229"/>
      <c r="U26" s="229">
        <v>2.097</v>
      </c>
      <c r="V26" s="229"/>
      <c r="W26" s="229">
        <v>2.0990000000000002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1.98</v>
      </c>
      <c r="J28" s="229"/>
      <c r="K28" s="229">
        <v>1.99</v>
      </c>
      <c r="L28" s="229"/>
      <c r="M28" s="229">
        <v>1.99</v>
      </c>
      <c r="N28" s="229"/>
      <c r="O28" s="229">
        <v>1.99</v>
      </c>
      <c r="P28" s="229"/>
      <c r="Q28" s="229">
        <v>1.98</v>
      </c>
      <c r="R28" s="229"/>
      <c r="S28" s="229">
        <v>1.99</v>
      </c>
      <c r="T28" s="229"/>
      <c r="U28" s="229">
        <v>1.99</v>
      </c>
      <c r="V28" s="229"/>
      <c r="W28" s="229">
        <v>1.98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2.089</v>
      </c>
      <c r="J30" s="229"/>
      <c r="K30" s="229">
        <v>2.0859999999999999</v>
      </c>
      <c r="L30" s="229"/>
      <c r="M30" s="229">
        <v>2.089</v>
      </c>
      <c r="N30" s="229"/>
      <c r="O30" s="229">
        <v>2.0979999999999999</v>
      </c>
      <c r="P30" s="229"/>
      <c r="Q30" s="229">
        <v>2.097</v>
      </c>
      <c r="R30" s="229"/>
      <c r="S30" s="229">
        <v>2.0870000000000002</v>
      </c>
      <c r="T30" s="229"/>
      <c r="U30" s="229">
        <v>2.093</v>
      </c>
      <c r="V30" s="229"/>
      <c r="W30" s="229">
        <v>2.0859999999999999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10.99</v>
      </c>
      <c r="J32" s="269"/>
      <c r="K32" s="269">
        <v>10.99</v>
      </c>
      <c r="L32" s="269"/>
      <c r="M32" s="269">
        <v>11</v>
      </c>
      <c r="N32" s="269"/>
      <c r="O32" s="269">
        <v>11.01</v>
      </c>
      <c r="P32" s="269"/>
      <c r="Q32" s="269">
        <v>11.02</v>
      </c>
      <c r="R32" s="269"/>
      <c r="S32" s="269">
        <v>11.01</v>
      </c>
      <c r="T32" s="269"/>
      <c r="U32" s="269">
        <v>10.99</v>
      </c>
      <c r="V32" s="269"/>
      <c r="W32" s="269">
        <v>11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80" t="s">
        <v>89</v>
      </c>
      <c r="E34" s="81"/>
      <c r="F34" s="81"/>
      <c r="G34" s="81"/>
      <c r="H34" s="82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83" t="s">
        <v>90</v>
      </c>
      <c r="E35" s="84"/>
      <c r="F35" s="84"/>
      <c r="G35" s="84"/>
      <c r="H35" s="85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97</v>
      </c>
      <c r="J36" s="224"/>
      <c r="K36" s="224" t="s">
        <v>97</v>
      </c>
      <c r="L36" s="224"/>
      <c r="M36" s="224" t="s">
        <v>97</v>
      </c>
      <c r="N36" s="224"/>
      <c r="O36" s="224" t="s">
        <v>97</v>
      </c>
      <c r="P36" s="224"/>
      <c r="Q36" s="224" t="s">
        <v>97</v>
      </c>
      <c r="R36" s="224"/>
      <c r="S36" s="224" t="s">
        <v>97</v>
      </c>
      <c r="T36" s="224"/>
      <c r="U36" s="224" t="s">
        <v>97</v>
      </c>
      <c r="V36" s="224"/>
      <c r="W36" s="224" t="s">
        <v>97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83" t="s">
        <v>69</v>
      </c>
      <c r="E37" s="84"/>
      <c r="F37" s="84"/>
      <c r="G37" s="84"/>
      <c r="H37" s="85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80" t="s">
        <v>71</v>
      </c>
      <c r="E38" s="81"/>
      <c r="F38" s="81"/>
      <c r="G38" s="81"/>
      <c r="H38" s="82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83" t="s">
        <v>72</v>
      </c>
      <c r="E39" s="84"/>
      <c r="F39" s="84"/>
      <c r="G39" s="84"/>
      <c r="H39" s="85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80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83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80" t="s">
        <v>75</v>
      </c>
      <c r="E42" s="87"/>
      <c r="F42" s="91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83" t="s">
        <v>76</v>
      </c>
      <c r="E43" s="92"/>
      <c r="F43" s="92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80" t="s">
        <v>77</v>
      </c>
      <c r="E44" s="87"/>
      <c r="F44" s="91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83" t="s">
        <v>78</v>
      </c>
      <c r="E45" s="92"/>
      <c r="F45" s="92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80" t="s">
        <v>79</v>
      </c>
      <c r="E46" s="81"/>
      <c r="F46" s="81"/>
      <c r="G46" s="81"/>
      <c r="H46" s="82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83" t="s">
        <v>80</v>
      </c>
      <c r="E47" s="84"/>
      <c r="F47" s="84"/>
      <c r="G47" s="84"/>
      <c r="H47" s="85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80" t="s">
        <v>81</v>
      </c>
      <c r="E48" s="81"/>
      <c r="F48" s="81"/>
      <c r="G48" s="81"/>
      <c r="H48" s="82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83" t="s">
        <v>82</v>
      </c>
      <c r="E49" s="84"/>
      <c r="F49" s="84"/>
      <c r="G49" s="84"/>
      <c r="H49" s="85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07" priority="7" operator="greaterThan">
      <formula>$AA$28</formula>
    </cfRule>
    <cfRule type="cellIs" dxfId="406" priority="8" operator="lessThan">
      <formula>$AA$29</formula>
    </cfRule>
  </conditionalFormatting>
  <conditionalFormatting sqref="I32:X33">
    <cfRule type="cellIs" dxfId="405" priority="5" operator="greaterThan">
      <formula>$AA$32</formula>
    </cfRule>
    <cfRule type="cellIs" dxfId="404" priority="6" operator="lessThan">
      <formula>$AA$33</formula>
    </cfRule>
  </conditionalFormatting>
  <conditionalFormatting sqref="I30:X31">
    <cfRule type="cellIs" dxfId="403" priority="3" operator="greaterThan">
      <formula>$AA$30</formula>
    </cfRule>
    <cfRule type="cellIs" dxfId="402" priority="4" operator="lessThan">
      <formula>$AA$31</formula>
    </cfRule>
  </conditionalFormatting>
  <conditionalFormatting sqref="I26:X27">
    <cfRule type="cellIs" dxfId="401" priority="1" operator="greaterThan">
      <formula>$AA$26</formula>
    </cfRule>
    <cfRule type="cellIs" dxfId="4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88" t="s">
        <v>2</v>
      </c>
      <c r="E2" s="42"/>
      <c r="F2" s="286" t="s">
        <v>95</v>
      </c>
      <c r="G2" s="286"/>
      <c r="H2" s="286"/>
      <c r="I2" s="286"/>
      <c r="J2" s="286"/>
      <c r="K2" s="340"/>
      <c r="L2" s="88" t="s">
        <v>4</v>
      </c>
      <c r="M2" s="286">
        <v>9</v>
      </c>
      <c r="N2" s="287"/>
      <c r="O2" s="88" t="s">
        <v>6</v>
      </c>
      <c r="P2" s="290" t="s">
        <v>83</v>
      </c>
      <c r="Q2" s="291"/>
      <c r="R2" s="291"/>
      <c r="S2" s="291"/>
      <c r="T2" s="291"/>
      <c r="U2" s="291"/>
      <c r="V2" s="292"/>
      <c r="W2" s="88" t="s">
        <v>34</v>
      </c>
      <c r="X2" s="32">
        <v>1</v>
      </c>
      <c r="Z2" s="34" t="s">
        <v>48</v>
      </c>
    </row>
    <row r="3" spans="1:26" ht="10" customHeight="1">
      <c r="A3" s="284" t="s">
        <v>1</v>
      </c>
      <c r="B3" s="285"/>
      <c r="C3" s="219"/>
      <c r="D3" s="89" t="s">
        <v>3</v>
      </c>
      <c r="E3" s="43"/>
      <c r="F3" s="341"/>
      <c r="G3" s="341"/>
      <c r="H3" s="341"/>
      <c r="I3" s="341"/>
      <c r="J3" s="341"/>
      <c r="K3" s="342"/>
      <c r="L3" s="89" t="s">
        <v>5</v>
      </c>
      <c r="M3" s="288"/>
      <c r="N3" s="289"/>
      <c r="O3" s="89" t="s">
        <v>7</v>
      </c>
      <c r="P3" s="293"/>
      <c r="Q3" s="293"/>
      <c r="R3" s="293"/>
      <c r="S3" s="293"/>
      <c r="T3" s="293"/>
      <c r="U3" s="293"/>
      <c r="V3" s="294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88" t="s">
        <v>9</v>
      </c>
      <c r="P4" s="6"/>
      <c r="Q4" s="295" t="s">
        <v>102</v>
      </c>
      <c r="R4" s="296"/>
      <c r="S4" s="296"/>
      <c r="T4" s="297"/>
      <c r="U4" s="88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89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1</v>
      </c>
      <c r="J24" s="248"/>
      <c r="K24" s="248">
        <v>2</v>
      </c>
      <c r="L24" s="248"/>
      <c r="M24" s="248">
        <v>3</v>
      </c>
      <c r="N24" s="248"/>
      <c r="O24" s="248">
        <v>4</v>
      </c>
      <c r="P24" s="248"/>
      <c r="Q24" s="248">
        <v>5</v>
      </c>
      <c r="R24" s="248"/>
      <c r="S24" s="248">
        <v>6</v>
      </c>
      <c r="T24" s="248"/>
      <c r="U24" s="248">
        <v>7</v>
      </c>
      <c r="V24" s="248"/>
      <c r="W24" s="248">
        <v>8</v>
      </c>
      <c r="X24" s="248"/>
      <c r="Z24" s="50"/>
    </row>
    <row r="25" spans="1:28">
      <c r="A25" s="251" t="s">
        <v>15</v>
      </c>
      <c r="B25" s="252"/>
      <c r="C25" s="86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52</v>
      </c>
      <c r="E26" s="337">
        <v>2.08</v>
      </c>
      <c r="F26" s="338"/>
      <c r="G26" s="52" t="s">
        <v>53</v>
      </c>
      <c r="H26" s="44">
        <v>0.05</v>
      </c>
      <c r="I26" s="229">
        <v>2.1040000000000001</v>
      </c>
      <c r="J26" s="229"/>
      <c r="K26" s="229">
        <v>2.0990000000000002</v>
      </c>
      <c r="L26" s="229"/>
      <c r="M26" s="229">
        <v>2.0960000000000001</v>
      </c>
      <c r="N26" s="229"/>
      <c r="O26" s="229">
        <v>2.0990000000000002</v>
      </c>
      <c r="P26" s="229"/>
      <c r="Q26" s="229">
        <v>2.1</v>
      </c>
      <c r="R26" s="229"/>
      <c r="S26" s="229">
        <v>2.0979999999999999</v>
      </c>
      <c r="T26" s="229"/>
      <c r="U26" s="229">
        <v>2.0910000000000002</v>
      </c>
      <c r="V26" s="229"/>
      <c r="W26" s="229">
        <v>2.097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52</v>
      </c>
      <c r="E28" s="337">
        <v>1.97</v>
      </c>
      <c r="F28" s="338"/>
      <c r="G28" s="52" t="s">
        <v>53</v>
      </c>
      <c r="H28" s="44">
        <v>0.05</v>
      </c>
      <c r="I28" s="229">
        <v>2.0099999999999998</v>
      </c>
      <c r="J28" s="229"/>
      <c r="K28" s="229">
        <v>1.97</v>
      </c>
      <c r="L28" s="229"/>
      <c r="M28" s="229">
        <v>1.99</v>
      </c>
      <c r="N28" s="229"/>
      <c r="O28" s="229">
        <v>1.99</v>
      </c>
      <c r="P28" s="229"/>
      <c r="Q28" s="229">
        <v>1.99</v>
      </c>
      <c r="R28" s="229"/>
      <c r="S28" s="229">
        <v>1.99</v>
      </c>
      <c r="T28" s="229"/>
      <c r="U28" s="229">
        <v>1.99</v>
      </c>
      <c r="V28" s="229"/>
      <c r="W28" s="229">
        <v>2.0099999999999998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52</v>
      </c>
      <c r="E30" s="337">
        <v>2.08</v>
      </c>
      <c r="F30" s="338"/>
      <c r="G30" s="52" t="s">
        <v>53</v>
      </c>
      <c r="H30" s="44">
        <v>0.05</v>
      </c>
      <c r="I30" s="229">
        <v>2.0870000000000002</v>
      </c>
      <c r="J30" s="229"/>
      <c r="K30" s="229">
        <v>2.09</v>
      </c>
      <c r="L30" s="229"/>
      <c r="M30" s="229">
        <v>2.0939999999999999</v>
      </c>
      <c r="N30" s="229"/>
      <c r="O30" s="229">
        <v>2.0910000000000002</v>
      </c>
      <c r="P30" s="229"/>
      <c r="Q30" s="229">
        <v>2.097</v>
      </c>
      <c r="R30" s="229"/>
      <c r="S30" s="229">
        <v>2.0960000000000001</v>
      </c>
      <c r="T30" s="229"/>
      <c r="U30" s="229">
        <v>2.0830000000000002</v>
      </c>
      <c r="V30" s="229"/>
      <c r="W30" s="229">
        <v>2.09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52</v>
      </c>
      <c r="E32" s="337">
        <v>10.92</v>
      </c>
      <c r="F32" s="338"/>
      <c r="G32" s="52" t="s">
        <v>53</v>
      </c>
      <c r="H32" s="44">
        <v>0.13</v>
      </c>
      <c r="I32" s="269">
        <v>11</v>
      </c>
      <c r="J32" s="269"/>
      <c r="K32" s="269">
        <v>11</v>
      </c>
      <c r="L32" s="269"/>
      <c r="M32" s="269">
        <v>11</v>
      </c>
      <c r="N32" s="269"/>
      <c r="O32" s="269">
        <v>11.03</v>
      </c>
      <c r="P32" s="269"/>
      <c r="Q32" s="269">
        <v>11.02</v>
      </c>
      <c r="R32" s="269"/>
      <c r="S32" s="269">
        <v>11.01</v>
      </c>
      <c r="T32" s="269"/>
      <c r="U32" s="269">
        <v>10.99</v>
      </c>
      <c r="V32" s="269"/>
      <c r="W32" s="269">
        <v>10.99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80" t="s">
        <v>89</v>
      </c>
      <c r="E34" s="81"/>
      <c r="F34" s="81"/>
      <c r="G34" s="81"/>
      <c r="H34" s="82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83" t="s">
        <v>90</v>
      </c>
      <c r="E35" s="84"/>
      <c r="F35" s="84"/>
      <c r="G35" s="84"/>
      <c r="H35" s="85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97</v>
      </c>
      <c r="J36" s="224"/>
      <c r="K36" s="224" t="s">
        <v>97</v>
      </c>
      <c r="L36" s="224"/>
      <c r="M36" s="224" t="s">
        <v>97</v>
      </c>
      <c r="N36" s="224"/>
      <c r="O36" s="224" t="s">
        <v>97</v>
      </c>
      <c r="P36" s="224"/>
      <c r="Q36" s="224" t="s">
        <v>97</v>
      </c>
      <c r="R36" s="224"/>
      <c r="S36" s="224" t="s">
        <v>97</v>
      </c>
      <c r="T36" s="224"/>
      <c r="U36" s="224" t="s">
        <v>97</v>
      </c>
      <c r="V36" s="224"/>
      <c r="W36" s="224" t="s">
        <v>97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83" t="s">
        <v>69</v>
      </c>
      <c r="E37" s="84"/>
      <c r="F37" s="84"/>
      <c r="G37" s="84"/>
      <c r="H37" s="85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80" t="s">
        <v>71</v>
      </c>
      <c r="E38" s="81"/>
      <c r="F38" s="81"/>
      <c r="G38" s="81"/>
      <c r="H38" s="82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83" t="s">
        <v>72</v>
      </c>
      <c r="E39" s="84"/>
      <c r="F39" s="84"/>
      <c r="G39" s="84"/>
      <c r="H39" s="85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80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83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80" t="s">
        <v>75</v>
      </c>
      <c r="E42" s="87"/>
      <c r="F42" s="91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83" t="s">
        <v>76</v>
      </c>
      <c r="E43" s="92"/>
      <c r="F43" s="92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80" t="s">
        <v>77</v>
      </c>
      <c r="E44" s="87"/>
      <c r="F44" s="91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83" t="s">
        <v>78</v>
      </c>
      <c r="E45" s="92"/>
      <c r="F45" s="92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80" t="s">
        <v>79</v>
      </c>
      <c r="E46" s="81"/>
      <c r="F46" s="81"/>
      <c r="G46" s="81"/>
      <c r="H46" s="82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83" t="s">
        <v>80</v>
      </c>
      <c r="E47" s="84"/>
      <c r="F47" s="84"/>
      <c r="G47" s="84"/>
      <c r="H47" s="85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80" t="s">
        <v>81</v>
      </c>
      <c r="E48" s="81"/>
      <c r="F48" s="81"/>
      <c r="G48" s="81"/>
      <c r="H48" s="82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83" t="s">
        <v>82</v>
      </c>
      <c r="E49" s="84"/>
      <c r="F49" s="84"/>
      <c r="G49" s="84"/>
      <c r="H49" s="85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99" priority="7" operator="greaterThan">
      <formula>$AA$28</formula>
    </cfRule>
    <cfRule type="cellIs" dxfId="398" priority="8" operator="lessThan">
      <formula>$AA$29</formula>
    </cfRule>
  </conditionalFormatting>
  <conditionalFormatting sqref="I32:X33">
    <cfRule type="cellIs" dxfId="397" priority="5" operator="greaterThan">
      <formula>$AA$32</formula>
    </cfRule>
    <cfRule type="cellIs" dxfId="396" priority="6" operator="lessThan">
      <formula>$AA$33</formula>
    </cfRule>
  </conditionalFormatting>
  <conditionalFormatting sqref="I30:X31">
    <cfRule type="cellIs" dxfId="395" priority="3" operator="greaterThan">
      <formula>$AA$30</formula>
    </cfRule>
    <cfRule type="cellIs" dxfId="394" priority="4" operator="lessThan">
      <formula>$AA$31</formula>
    </cfRule>
  </conditionalFormatting>
  <conditionalFormatting sqref="I26:X27">
    <cfRule type="cellIs" dxfId="393" priority="1" operator="greaterThan">
      <formula>$AA$26</formula>
    </cfRule>
    <cfRule type="cellIs" dxfId="3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88" t="s">
        <v>2</v>
      </c>
      <c r="E2" s="42"/>
      <c r="F2" s="286" t="s">
        <v>95</v>
      </c>
      <c r="G2" s="286"/>
      <c r="H2" s="286"/>
      <c r="I2" s="286"/>
      <c r="J2" s="286"/>
      <c r="K2" s="340"/>
      <c r="L2" s="88" t="s">
        <v>4</v>
      </c>
      <c r="M2" s="286">
        <v>9</v>
      </c>
      <c r="N2" s="287"/>
      <c r="O2" s="88" t="s">
        <v>6</v>
      </c>
      <c r="P2" s="290" t="s">
        <v>83</v>
      </c>
      <c r="Q2" s="291"/>
      <c r="R2" s="291"/>
      <c r="S2" s="291"/>
      <c r="T2" s="291"/>
      <c r="U2" s="291"/>
      <c r="V2" s="292"/>
      <c r="W2" s="88" t="s">
        <v>34</v>
      </c>
      <c r="X2" s="32">
        <v>2</v>
      </c>
      <c r="Z2" s="34" t="s">
        <v>48</v>
      </c>
    </row>
    <row r="3" spans="1:26" ht="10" customHeight="1">
      <c r="A3" s="284" t="s">
        <v>1</v>
      </c>
      <c r="B3" s="285"/>
      <c r="C3" s="219"/>
      <c r="D3" s="89" t="s">
        <v>3</v>
      </c>
      <c r="E3" s="43"/>
      <c r="F3" s="341"/>
      <c r="G3" s="341"/>
      <c r="H3" s="341"/>
      <c r="I3" s="341"/>
      <c r="J3" s="341"/>
      <c r="K3" s="342"/>
      <c r="L3" s="89" t="s">
        <v>5</v>
      </c>
      <c r="M3" s="288"/>
      <c r="N3" s="289"/>
      <c r="O3" s="89" t="s">
        <v>7</v>
      </c>
      <c r="P3" s="293"/>
      <c r="Q3" s="293"/>
      <c r="R3" s="293"/>
      <c r="S3" s="293"/>
      <c r="T3" s="293"/>
      <c r="U3" s="293"/>
      <c r="V3" s="294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88" t="s">
        <v>9</v>
      </c>
      <c r="P4" s="6"/>
      <c r="Q4" s="295" t="s">
        <v>101</v>
      </c>
      <c r="R4" s="296"/>
      <c r="S4" s="296"/>
      <c r="T4" s="297"/>
      <c r="U4" s="88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89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9</v>
      </c>
      <c r="J24" s="248"/>
      <c r="K24" s="248">
        <v>10</v>
      </c>
      <c r="L24" s="248"/>
      <c r="M24" s="248">
        <v>11</v>
      </c>
      <c r="N24" s="248"/>
      <c r="O24" s="248">
        <v>12</v>
      </c>
      <c r="P24" s="248"/>
      <c r="Q24" s="248">
        <v>13</v>
      </c>
      <c r="R24" s="248"/>
      <c r="S24" s="248">
        <v>14</v>
      </c>
      <c r="T24" s="248"/>
      <c r="U24" s="248">
        <v>15</v>
      </c>
      <c r="V24" s="248"/>
      <c r="W24" s="248">
        <v>16</v>
      </c>
      <c r="X24" s="248"/>
      <c r="Z24" s="50"/>
    </row>
    <row r="25" spans="1:28">
      <c r="A25" s="251" t="s">
        <v>15</v>
      </c>
      <c r="B25" s="252"/>
      <c r="C25" s="86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2.1040000000000001</v>
      </c>
      <c r="J26" s="229"/>
      <c r="K26" s="229">
        <v>2.0950000000000002</v>
      </c>
      <c r="L26" s="229"/>
      <c r="M26" s="229">
        <v>2.0979999999999999</v>
      </c>
      <c r="N26" s="229"/>
      <c r="O26" s="229">
        <v>2.101</v>
      </c>
      <c r="P26" s="229"/>
      <c r="Q26" s="229">
        <v>2.1070000000000002</v>
      </c>
      <c r="R26" s="229"/>
      <c r="S26" s="229">
        <v>2.0939999999999999</v>
      </c>
      <c r="T26" s="229"/>
      <c r="U26" s="229">
        <v>2.0960000000000001</v>
      </c>
      <c r="V26" s="229"/>
      <c r="W26" s="229">
        <v>2.0950000000000002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1.98</v>
      </c>
      <c r="J28" s="229"/>
      <c r="K28" s="229">
        <v>1.99</v>
      </c>
      <c r="L28" s="229"/>
      <c r="M28" s="229">
        <v>1.99</v>
      </c>
      <c r="N28" s="229"/>
      <c r="O28" s="229">
        <v>1.99</v>
      </c>
      <c r="P28" s="229"/>
      <c r="Q28" s="229">
        <v>1.98</v>
      </c>
      <c r="R28" s="229"/>
      <c r="S28" s="229">
        <v>1.99</v>
      </c>
      <c r="T28" s="229"/>
      <c r="U28" s="229">
        <v>1.99</v>
      </c>
      <c r="V28" s="229"/>
      <c r="W28" s="229">
        <v>1.98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2.073</v>
      </c>
      <c r="J30" s="229"/>
      <c r="K30" s="229">
        <v>2.0819999999999999</v>
      </c>
      <c r="L30" s="229"/>
      <c r="M30" s="229">
        <v>2.089</v>
      </c>
      <c r="N30" s="229"/>
      <c r="O30" s="229">
        <v>2.0880000000000001</v>
      </c>
      <c r="P30" s="229"/>
      <c r="Q30" s="229">
        <v>2.0950000000000002</v>
      </c>
      <c r="R30" s="229"/>
      <c r="S30" s="229">
        <v>2.0910000000000002</v>
      </c>
      <c r="T30" s="229"/>
      <c r="U30" s="229">
        <v>2.0870000000000002</v>
      </c>
      <c r="V30" s="229"/>
      <c r="W30" s="229">
        <v>2.0859999999999999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10.99</v>
      </c>
      <c r="J32" s="269"/>
      <c r="K32" s="269">
        <v>10.99</v>
      </c>
      <c r="L32" s="269"/>
      <c r="M32" s="269">
        <v>11.01</v>
      </c>
      <c r="N32" s="269"/>
      <c r="O32" s="269">
        <v>11.02</v>
      </c>
      <c r="P32" s="269"/>
      <c r="Q32" s="269">
        <v>11.03</v>
      </c>
      <c r="R32" s="269"/>
      <c r="S32" s="269">
        <v>11.01</v>
      </c>
      <c r="T32" s="269"/>
      <c r="U32" s="269">
        <v>10.99</v>
      </c>
      <c r="V32" s="269"/>
      <c r="W32" s="269">
        <v>10.99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80" t="s">
        <v>89</v>
      </c>
      <c r="E34" s="81"/>
      <c r="F34" s="81"/>
      <c r="G34" s="81"/>
      <c r="H34" s="82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83" t="s">
        <v>90</v>
      </c>
      <c r="E35" s="84"/>
      <c r="F35" s="84"/>
      <c r="G35" s="84"/>
      <c r="H35" s="85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97</v>
      </c>
      <c r="J36" s="224"/>
      <c r="K36" s="224" t="s">
        <v>97</v>
      </c>
      <c r="L36" s="224"/>
      <c r="M36" s="224" t="s">
        <v>97</v>
      </c>
      <c r="N36" s="224"/>
      <c r="O36" s="224" t="s">
        <v>97</v>
      </c>
      <c r="P36" s="224"/>
      <c r="Q36" s="224" t="s">
        <v>97</v>
      </c>
      <c r="R36" s="224"/>
      <c r="S36" s="224" t="s">
        <v>97</v>
      </c>
      <c r="T36" s="224"/>
      <c r="U36" s="224" t="s">
        <v>97</v>
      </c>
      <c r="V36" s="224"/>
      <c r="W36" s="224" t="s">
        <v>97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83" t="s">
        <v>69</v>
      </c>
      <c r="E37" s="84"/>
      <c r="F37" s="84"/>
      <c r="G37" s="84"/>
      <c r="H37" s="85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80" t="s">
        <v>71</v>
      </c>
      <c r="E38" s="81"/>
      <c r="F38" s="81"/>
      <c r="G38" s="81"/>
      <c r="H38" s="82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83" t="s">
        <v>72</v>
      </c>
      <c r="E39" s="84"/>
      <c r="F39" s="84"/>
      <c r="G39" s="84"/>
      <c r="H39" s="85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80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83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80" t="s">
        <v>75</v>
      </c>
      <c r="E42" s="87"/>
      <c r="F42" s="91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83" t="s">
        <v>76</v>
      </c>
      <c r="E43" s="92"/>
      <c r="F43" s="92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80" t="s">
        <v>77</v>
      </c>
      <c r="E44" s="87"/>
      <c r="F44" s="91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83" t="s">
        <v>78</v>
      </c>
      <c r="E45" s="92"/>
      <c r="F45" s="92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80" t="s">
        <v>79</v>
      </c>
      <c r="E46" s="81"/>
      <c r="F46" s="81"/>
      <c r="G46" s="81"/>
      <c r="H46" s="82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83" t="s">
        <v>80</v>
      </c>
      <c r="E47" s="84"/>
      <c r="F47" s="84"/>
      <c r="G47" s="84"/>
      <c r="H47" s="85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80" t="s">
        <v>81</v>
      </c>
      <c r="E48" s="81"/>
      <c r="F48" s="81"/>
      <c r="G48" s="81"/>
      <c r="H48" s="82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83" t="s">
        <v>82</v>
      </c>
      <c r="E49" s="84"/>
      <c r="F49" s="84"/>
      <c r="G49" s="84"/>
      <c r="H49" s="85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91" priority="7" operator="greaterThan">
      <formula>$AA$28</formula>
    </cfRule>
    <cfRule type="cellIs" dxfId="390" priority="8" operator="lessThan">
      <formula>$AA$29</formula>
    </cfRule>
  </conditionalFormatting>
  <conditionalFormatting sqref="I32:X33">
    <cfRule type="cellIs" dxfId="389" priority="5" operator="greaterThan">
      <formula>$AA$32</formula>
    </cfRule>
    <cfRule type="cellIs" dxfId="388" priority="6" operator="lessThan">
      <formula>$AA$33</formula>
    </cfRule>
  </conditionalFormatting>
  <conditionalFormatting sqref="I30:X31">
    <cfRule type="cellIs" dxfId="387" priority="3" operator="greaterThan">
      <formula>$AA$30</formula>
    </cfRule>
    <cfRule type="cellIs" dxfId="386" priority="4" operator="lessThan">
      <formula>$AA$31</formula>
    </cfRule>
  </conditionalFormatting>
  <conditionalFormatting sqref="I26:X27">
    <cfRule type="cellIs" dxfId="385" priority="1" operator="greaterThan">
      <formula>$AA$26</formula>
    </cfRule>
    <cfRule type="cellIs" dxfId="3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88" t="s">
        <v>2</v>
      </c>
      <c r="E2" s="42"/>
      <c r="F2" s="286" t="s">
        <v>95</v>
      </c>
      <c r="G2" s="286"/>
      <c r="H2" s="286"/>
      <c r="I2" s="286"/>
      <c r="J2" s="286"/>
      <c r="K2" s="340"/>
      <c r="L2" s="88" t="s">
        <v>4</v>
      </c>
      <c r="M2" s="286">
        <v>9</v>
      </c>
      <c r="N2" s="287"/>
      <c r="O2" s="88" t="s">
        <v>6</v>
      </c>
      <c r="P2" s="290" t="s">
        <v>83</v>
      </c>
      <c r="Q2" s="291"/>
      <c r="R2" s="291"/>
      <c r="S2" s="291"/>
      <c r="T2" s="291"/>
      <c r="U2" s="291"/>
      <c r="V2" s="292"/>
      <c r="W2" s="88" t="s">
        <v>34</v>
      </c>
      <c r="X2" s="32">
        <v>1</v>
      </c>
      <c r="Z2" s="34" t="s">
        <v>48</v>
      </c>
    </row>
    <row r="3" spans="1:26" ht="10" customHeight="1">
      <c r="A3" s="284" t="s">
        <v>1</v>
      </c>
      <c r="B3" s="285"/>
      <c r="C3" s="219"/>
      <c r="D3" s="89" t="s">
        <v>3</v>
      </c>
      <c r="E3" s="43"/>
      <c r="F3" s="341"/>
      <c r="G3" s="341"/>
      <c r="H3" s="341"/>
      <c r="I3" s="341"/>
      <c r="J3" s="341"/>
      <c r="K3" s="342"/>
      <c r="L3" s="89" t="s">
        <v>5</v>
      </c>
      <c r="M3" s="288"/>
      <c r="N3" s="289"/>
      <c r="O3" s="89" t="s">
        <v>7</v>
      </c>
      <c r="P3" s="293"/>
      <c r="Q3" s="293"/>
      <c r="R3" s="293"/>
      <c r="S3" s="293"/>
      <c r="T3" s="293"/>
      <c r="U3" s="293"/>
      <c r="V3" s="294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88" t="s">
        <v>9</v>
      </c>
      <c r="P4" s="6"/>
      <c r="Q4" s="295" t="s">
        <v>100</v>
      </c>
      <c r="R4" s="296"/>
      <c r="S4" s="296"/>
      <c r="T4" s="297"/>
      <c r="U4" s="88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89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1</v>
      </c>
      <c r="J24" s="248"/>
      <c r="K24" s="248">
        <v>2</v>
      </c>
      <c r="L24" s="248"/>
      <c r="M24" s="248">
        <v>3</v>
      </c>
      <c r="N24" s="248"/>
      <c r="O24" s="248">
        <v>4</v>
      </c>
      <c r="P24" s="248"/>
      <c r="Q24" s="248">
        <v>5</v>
      </c>
      <c r="R24" s="248"/>
      <c r="S24" s="248">
        <v>6</v>
      </c>
      <c r="T24" s="248"/>
      <c r="U24" s="248">
        <v>7</v>
      </c>
      <c r="V24" s="248"/>
      <c r="W24" s="248">
        <v>8</v>
      </c>
      <c r="X24" s="248"/>
      <c r="Z24" s="50"/>
    </row>
    <row r="25" spans="1:28">
      <c r="A25" s="251" t="s">
        <v>15</v>
      </c>
      <c r="B25" s="252"/>
      <c r="C25" s="86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52</v>
      </c>
      <c r="E26" s="337">
        <v>2.08</v>
      </c>
      <c r="F26" s="338"/>
      <c r="G26" s="52" t="s">
        <v>53</v>
      </c>
      <c r="H26" s="44">
        <v>0.05</v>
      </c>
      <c r="I26" s="229">
        <v>2.1030000000000002</v>
      </c>
      <c r="J26" s="229"/>
      <c r="K26" s="229">
        <v>2.0979999999999999</v>
      </c>
      <c r="L26" s="229"/>
      <c r="M26" s="229">
        <v>2.0979999999999999</v>
      </c>
      <c r="N26" s="229"/>
      <c r="O26" s="229">
        <v>2.1040000000000001</v>
      </c>
      <c r="P26" s="229"/>
      <c r="Q26" s="229">
        <v>2.0990000000000002</v>
      </c>
      <c r="R26" s="229"/>
      <c r="S26" s="229">
        <v>2.0990000000000002</v>
      </c>
      <c r="T26" s="229"/>
      <c r="U26" s="229">
        <v>2.0950000000000002</v>
      </c>
      <c r="V26" s="229"/>
      <c r="W26" s="229">
        <v>2.0979999999999999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52</v>
      </c>
      <c r="E28" s="337">
        <v>1.97</v>
      </c>
      <c r="F28" s="338"/>
      <c r="G28" s="52" t="s">
        <v>53</v>
      </c>
      <c r="H28" s="44">
        <v>0.05</v>
      </c>
      <c r="I28" s="229">
        <v>2</v>
      </c>
      <c r="J28" s="229"/>
      <c r="K28" s="229">
        <v>1.97</v>
      </c>
      <c r="L28" s="229"/>
      <c r="M28" s="229">
        <v>1.99</v>
      </c>
      <c r="N28" s="229"/>
      <c r="O28" s="229">
        <v>1.99</v>
      </c>
      <c r="P28" s="229"/>
      <c r="Q28" s="229">
        <v>1.99</v>
      </c>
      <c r="R28" s="229"/>
      <c r="S28" s="229">
        <v>1.99</v>
      </c>
      <c r="T28" s="229"/>
      <c r="U28" s="229">
        <v>1.99</v>
      </c>
      <c r="V28" s="229"/>
      <c r="W28" s="229">
        <v>2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52</v>
      </c>
      <c r="E30" s="337">
        <v>2.08</v>
      </c>
      <c r="F30" s="338"/>
      <c r="G30" s="52" t="s">
        <v>53</v>
      </c>
      <c r="H30" s="44">
        <v>0.05</v>
      </c>
      <c r="I30" s="229">
        <v>2.0920000000000001</v>
      </c>
      <c r="J30" s="229"/>
      <c r="K30" s="229">
        <v>2.093</v>
      </c>
      <c r="L30" s="229"/>
      <c r="M30" s="229">
        <v>2.09</v>
      </c>
      <c r="N30" s="229"/>
      <c r="O30" s="229">
        <v>2.0920000000000001</v>
      </c>
      <c r="P30" s="229"/>
      <c r="Q30" s="229">
        <v>2.0950000000000002</v>
      </c>
      <c r="R30" s="229"/>
      <c r="S30" s="229">
        <v>2.093</v>
      </c>
      <c r="T30" s="229"/>
      <c r="U30" s="229">
        <v>2.0830000000000002</v>
      </c>
      <c r="V30" s="229"/>
      <c r="W30" s="229">
        <v>2.089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52</v>
      </c>
      <c r="E32" s="337">
        <v>10.92</v>
      </c>
      <c r="F32" s="338"/>
      <c r="G32" s="52" t="s">
        <v>53</v>
      </c>
      <c r="H32" s="44">
        <v>0.13</v>
      </c>
      <c r="I32" s="269">
        <v>10.99</v>
      </c>
      <c r="J32" s="269"/>
      <c r="K32" s="269">
        <v>11</v>
      </c>
      <c r="L32" s="269"/>
      <c r="M32" s="269">
        <v>11.01</v>
      </c>
      <c r="N32" s="269"/>
      <c r="O32" s="269">
        <v>11.02</v>
      </c>
      <c r="P32" s="269"/>
      <c r="Q32" s="269">
        <v>11.02</v>
      </c>
      <c r="R32" s="269"/>
      <c r="S32" s="269">
        <v>11.01</v>
      </c>
      <c r="T32" s="269"/>
      <c r="U32" s="269">
        <v>11</v>
      </c>
      <c r="V32" s="269"/>
      <c r="W32" s="269">
        <v>10.99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80" t="s">
        <v>89</v>
      </c>
      <c r="E34" s="81"/>
      <c r="F34" s="81"/>
      <c r="G34" s="81"/>
      <c r="H34" s="82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83" t="s">
        <v>90</v>
      </c>
      <c r="E35" s="84"/>
      <c r="F35" s="84"/>
      <c r="G35" s="84"/>
      <c r="H35" s="85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97</v>
      </c>
      <c r="J36" s="224"/>
      <c r="K36" s="224" t="s">
        <v>97</v>
      </c>
      <c r="L36" s="224"/>
      <c r="M36" s="224" t="s">
        <v>97</v>
      </c>
      <c r="N36" s="224"/>
      <c r="O36" s="224" t="s">
        <v>97</v>
      </c>
      <c r="P36" s="224"/>
      <c r="Q36" s="224" t="s">
        <v>97</v>
      </c>
      <c r="R36" s="224"/>
      <c r="S36" s="224" t="s">
        <v>97</v>
      </c>
      <c r="T36" s="224"/>
      <c r="U36" s="224" t="s">
        <v>97</v>
      </c>
      <c r="V36" s="224"/>
      <c r="W36" s="224" t="s">
        <v>97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83" t="s">
        <v>69</v>
      </c>
      <c r="E37" s="84"/>
      <c r="F37" s="84"/>
      <c r="G37" s="84"/>
      <c r="H37" s="85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80" t="s">
        <v>71</v>
      </c>
      <c r="E38" s="81"/>
      <c r="F38" s="81"/>
      <c r="G38" s="81"/>
      <c r="H38" s="82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83" t="s">
        <v>72</v>
      </c>
      <c r="E39" s="84"/>
      <c r="F39" s="84"/>
      <c r="G39" s="84"/>
      <c r="H39" s="85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80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83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80" t="s">
        <v>75</v>
      </c>
      <c r="E42" s="87"/>
      <c r="F42" s="91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83" t="s">
        <v>76</v>
      </c>
      <c r="E43" s="92"/>
      <c r="F43" s="92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80" t="s">
        <v>77</v>
      </c>
      <c r="E44" s="87"/>
      <c r="F44" s="91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83" t="s">
        <v>78</v>
      </c>
      <c r="E45" s="92"/>
      <c r="F45" s="92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80" t="s">
        <v>79</v>
      </c>
      <c r="E46" s="81"/>
      <c r="F46" s="81"/>
      <c r="G46" s="81"/>
      <c r="H46" s="82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83" t="s">
        <v>80</v>
      </c>
      <c r="E47" s="84"/>
      <c r="F47" s="84"/>
      <c r="G47" s="84"/>
      <c r="H47" s="85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80" t="s">
        <v>81</v>
      </c>
      <c r="E48" s="81"/>
      <c r="F48" s="81"/>
      <c r="G48" s="81"/>
      <c r="H48" s="82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83" t="s">
        <v>82</v>
      </c>
      <c r="E49" s="84"/>
      <c r="F49" s="84"/>
      <c r="G49" s="84"/>
      <c r="H49" s="85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83" priority="7" operator="greaterThan">
      <formula>$AA$28</formula>
    </cfRule>
    <cfRule type="cellIs" dxfId="382" priority="8" operator="lessThan">
      <formula>$AA$29</formula>
    </cfRule>
  </conditionalFormatting>
  <conditionalFormatting sqref="I32:X33">
    <cfRule type="cellIs" dxfId="381" priority="5" operator="greaterThan">
      <formula>$AA$32</formula>
    </cfRule>
    <cfRule type="cellIs" dxfId="380" priority="6" operator="lessThan">
      <formula>$AA$33</formula>
    </cfRule>
  </conditionalFormatting>
  <conditionalFormatting sqref="I30:X31">
    <cfRule type="cellIs" dxfId="379" priority="3" operator="greaterThan">
      <formula>$AA$30</formula>
    </cfRule>
    <cfRule type="cellIs" dxfId="378" priority="4" operator="lessThan">
      <formula>$AA$31</formula>
    </cfRule>
  </conditionalFormatting>
  <conditionalFormatting sqref="I26:X27">
    <cfRule type="cellIs" dxfId="377" priority="1" operator="greaterThan">
      <formula>$AA$26</formula>
    </cfRule>
    <cfRule type="cellIs" dxfId="3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88" t="s">
        <v>2</v>
      </c>
      <c r="E2" s="42"/>
      <c r="F2" s="286" t="s">
        <v>95</v>
      </c>
      <c r="G2" s="286"/>
      <c r="H2" s="286"/>
      <c r="I2" s="286"/>
      <c r="J2" s="286"/>
      <c r="K2" s="340"/>
      <c r="L2" s="88" t="s">
        <v>4</v>
      </c>
      <c r="M2" s="286">
        <v>9</v>
      </c>
      <c r="N2" s="287"/>
      <c r="O2" s="88" t="s">
        <v>6</v>
      </c>
      <c r="P2" s="290" t="s">
        <v>83</v>
      </c>
      <c r="Q2" s="291"/>
      <c r="R2" s="291"/>
      <c r="S2" s="291"/>
      <c r="T2" s="291"/>
      <c r="U2" s="291"/>
      <c r="V2" s="292"/>
      <c r="W2" s="88" t="s">
        <v>34</v>
      </c>
      <c r="X2" s="32">
        <v>2</v>
      </c>
      <c r="Z2" s="34" t="s">
        <v>48</v>
      </c>
    </row>
    <row r="3" spans="1:26" ht="10" customHeight="1">
      <c r="A3" s="284" t="s">
        <v>1</v>
      </c>
      <c r="B3" s="285"/>
      <c r="C3" s="219"/>
      <c r="D3" s="89" t="s">
        <v>3</v>
      </c>
      <c r="E3" s="43"/>
      <c r="F3" s="341"/>
      <c r="G3" s="341"/>
      <c r="H3" s="341"/>
      <c r="I3" s="341"/>
      <c r="J3" s="341"/>
      <c r="K3" s="342"/>
      <c r="L3" s="89" t="s">
        <v>5</v>
      </c>
      <c r="M3" s="288"/>
      <c r="N3" s="289"/>
      <c r="O3" s="89" t="s">
        <v>7</v>
      </c>
      <c r="P3" s="293"/>
      <c r="Q3" s="293"/>
      <c r="R3" s="293"/>
      <c r="S3" s="293"/>
      <c r="T3" s="293"/>
      <c r="U3" s="293"/>
      <c r="V3" s="294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88" t="s">
        <v>9</v>
      </c>
      <c r="P4" s="6"/>
      <c r="Q4" s="295" t="s">
        <v>100</v>
      </c>
      <c r="R4" s="296"/>
      <c r="S4" s="296"/>
      <c r="T4" s="297"/>
      <c r="U4" s="88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89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9</v>
      </c>
      <c r="J24" s="248"/>
      <c r="K24" s="248">
        <v>10</v>
      </c>
      <c r="L24" s="248"/>
      <c r="M24" s="248">
        <v>11</v>
      </c>
      <c r="N24" s="248"/>
      <c r="O24" s="248">
        <v>12</v>
      </c>
      <c r="P24" s="248"/>
      <c r="Q24" s="248">
        <v>13</v>
      </c>
      <c r="R24" s="248"/>
      <c r="S24" s="248">
        <v>14</v>
      </c>
      <c r="T24" s="248"/>
      <c r="U24" s="248">
        <v>15</v>
      </c>
      <c r="V24" s="248"/>
      <c r="W24" s="248">
        <v>16</v>
      </c>
      <c r="X24" s="248"/>
      <c r="Z24" s="50"/>
    </row>
    <row r="25" spans="1:28">
      <c r="A25" s="251" t="s">
        <v>15</v>
      </c>
      <c r="B25" s="252"/>
      <c r="C25" s="86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2.0950000000000002</v>
      </c>
      <c r="J26" s="229"/>
      <c r="K26" s="229">
        <v>2.0990000000000002</v>
      </c>
      <c r="L26" s="229"/>
      <c r="M26" s="229">
        <v>2.0950000000000002</v>
      </c>
      <c r="N26" s="229"/>
      <c r="O26" s="229">
        <v>2.1</v>
      </c>
      <c r="P26" s="229"/>
      <c r="Q26" s="229">
        <v>2.1040000000000001</v>
      </c>
      <c r="R26" s="229"/>
      <c r="S26" s="229">
        <v>2.0960000000000001</v>
      </c>
      <c r="T26" s="229"/>
      <c r="U26" s="229">
        <v>2.093</v>
      </c>
      <c r="V26" s="229"/>
      <c r="W26" s="229">
        <v>2.089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1.98</v>
      </c>
      <c r="J28" s="229"/>
      <c r="K28" s="229">
        <v>1.99</v>
      </c>
      <c r="L28" s="229"/>
      <c r="M28" s="229">
        <v>1.99</v>
      </c>
      <c r="N28" s="229"/>
      <c r="O28" s="229">
        <v>1.99</v>
      </c>
      <c r="P28" s="229"/>
      <c r="Q28" s="229">
        <v>1.98</v>
      </c>
      <c r="R28" s="229"/>
      <c r="S28" s="229">
        <v>1.99</v>
      </c>
      <c r="T28" s="229"/>
      <c r="U28" s="229">
        <v>1.99</v>
      </c>
      <c r="V28" s="229"/>
      <c r="W28" s="229">
        <v>1.99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2.0779999999999998</v>
      </c>
      <c r="J30" s="229"/>
      <c r="K30" s="229">
        <v>2.0840000000000001</v>
      </c>
      <c r="L30" s="229"/>
      <c r="M30" s="229">
        <v>2.0910000000000002</v>
      </c>
      <c r="N30" s="229"/>
      <c r="O30" s="229">
        <v>2.0910000000000002</v>
      </c>
      <c r="P30" s="229"/>
      <c r="Q30" s="229">
        <v>2.1</v>
      </c>
      <c r="R30" s="229"/>
      <c r="S30" s="229">
        <v>2.085</v>
      </c>
      <c r="T30" s="229"/>
      <c r="U30" s="229">
        <v>2.0880000000000001</v>
      </c>
      <c r="V30" s="229"/>
      <c r="W30" s="229">
        <v>2.0880000000000001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10.99</v>
      </c>
      <c r="J32" s="269"/>
      <c r="K32" s="269">
        <v>11</v>
      </c>
      <c r="L32" s="269"/>
      <c r="M32" s="269">
        <v>11.01</v>
      </c>
      <c r="N32" s="269"/>
      <c r="O32" s="269">
        <v>11.02</v>
      </c>
      <c r="P32" s="269"/>
      <c r="Q32" s="269">
        <v>11.03</v>
      </c>
      <c r="R32" s="269"/>
      <c r="S32" s="269">
        <v>11.01</v>
      </c>
      <c r="T32" s="269"/>
      <c r="U32" s="269">
        <v>11</v>
      </c>
      <c r="V32" s="269"/>
      <c r="W32" s="269">
        <v>11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80" t="s">
        <v>89</v>
      </c>
      <c r="E34" s="81"/>
      <c r="F34" s="81"/>
      <c r="G34" s="81"/>
      <c r="H34" s="82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83" t="s">
        <v>90</v>
      </c>
      <c r="E35" s="84"/>
      <c r="F35" s="84"/>
      <c r="G35" s="84"/>
      <c r="H35" s="85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97</v>
      </c>
      <c r="J36" s="224"/>
      <c r="K36" s="224" t="s">
        <v>97</v>
      </c>
      <c r="L36" s="224"/>
      <c r="M36" s="224" t="s">
        <v>97</v>
      </c>
      <c r="N36" s="224"/>
      <c r="O36" s="224" t="s">
        <v>97</v>
      </c>
      <c r="P36" s="224"/>
      <c r="Q36" s="224" t="s">
        <v>97</v>
      </c>
      <c r="R36" s="224"/>
      <c r="S36" s="224" t="s">
        <v>97</v>
      </c>
      <c r="T36" s="224"/>
      <c r="U36" s="224" t="s">
        <v>97</v>
      </c>
      <c r="V36" s="224"/>
      <c r="W36" s="224" t="s">
        <v>97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83" t="s">
        <v>69</v>
      </c>
      <c r="E37" s="84"/>
      <c r="F37" s="84"/>
      <c r="G37" s="84"/>
      <c r="H37" s="85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80" t="s">
        <v>71</v>
      </c>
      <c r="E38" s="81"/>
      <c r="F38" s="81"/>
      <c r="G38" s="81"/>
      <c r="H38" s="82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83" t="s">
        <v>72</v>
      </c>
      <c r="E39" s="84"/>
      <c r="F39" s="84"/>
      <c r="G39" s="84"/>
      <c r="H39" s="85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80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83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80" t="s">
        <v>75</v>
      </c>
      <c r="E42" s="87"/>
      <c r="F42" s="91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83" t="s">
        <v>76</v>
      </c>
      <c r="E43" s="92"/>
      <c r="F43" s="92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80" t="s">
        <v>77</v>
      </c>
      <c r="E44" s="87"/>
      <c r="F44" s="91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83" t="s">
        <v>78</v>
      </c>
      <c r="E45" s="92"/>
      <c r="F45" s="92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80" t="s">
        <v>79</v>
      </c>
      <c r="E46" s="81"/>
      <c r="F46" s="81"/>
      <c r="G46" s="81"/>
      <c r="H46" s="82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83" t="s">
        <v>80</v>
      </c>
      <c r="E47" s="84"/>
      <c r="F47" s="84"/>
      <c r="G47" s="84"/>
      <c r="H47" s="85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80" t="s">
        <v>81</v>
      </c>
      <c r="E48" s="81"/>
      <c r="F48" s="81"/>
      <c r="G48" s="81"/>
      <c r="H48" s="82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83" t="s">
        <v>82</v>
      </c>
      <c r="E49" s="84"/>
      <c r="F49" s="84"/>
      <c r="G49" s="84"/>
      <c r="H49" s="85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75" priority="7" operator="greaterThan">
      <formula>$AA$28</formula>
    </cfRule>
    <cfRule type="cellIs" dxfId="374" priority="8" operator="lessThan">
      <formula>$AA$29</formula>
    </cfRule>
  </conditionalFormatting>
  <conditionalFormatting sqref="I32:X33">
    <cfRule type="cellIs" dxfId="373" priority="5" operator="greaterThan">
      <formula>$AA$32</formula>
    </cfRule>
    <cfRule type="cellIs" dxfId="372" priority="6" operator="lessThan">
      <formula>$AA$33</formula>
    </cfRule>
  </conditionalFormatting>
  <conditionalFormatting sqref="I30:X31">
    <cfRule type="cellIs" dxfId="371" priority="3" operator="greaterThan">
      <formula>$AA$30</formula>
    </cfRule>
    <cfRule type="cellIs" dxfId="370" priority="4" operator="lessThan">
      <formula>$AA$31</formula>
    </cfRule>
  </conditionalFormatting>
  <conditionalFormatting sqref="I26:X27">
    <cfRule type="cellIs" dxfId="369" priority="1" operator="greaterThan">
      <formula>$AA$26</formula>
    </cfRule>
    <cfRule type="cellIs" dxfId="3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88" t="s">
        <v>2</v>
      </c>
      <c r="E2" s="42"/>
      <c r="F2" s="286" t="s">
        <v>95</v>
      </c>
      <c r="G2" s="286"/>
      <c r="H2" s="286"/>
      <c r="I2" s="286"/>
      <c r="J2" s="286"/>
      <c r="K2" s="340"/>
      <c r="L2" s="88" t="s">
        <v>4</v>
      </c>
      <c r="M2" s="286">
        <v>9</v>
      </c>
      <c r="N2" s="287"/>
      <c r="O2" s="88" t="s">
        <v>6</v>
      </c>
      <c r="P2" s="290" t="s">
        <v>83</v>
      </c>
      <c r="Q2" s="291"/>
      <c r="R2" s="291"/>
      <c r="S2" s="291"/>
      <c r="T2" s="291"/>
      <c r="U2" s="291"/>
      <c r="V2" s="292"/>
      <c r="W2" s="88" t="s">
        <v>34</v>
      </c>
      <c r="X2" s="32">
        <v>1</v>
      </c>
      <c r="Z2" s="34" t="s">
        <v>48</v>
      </c>
    </row>
    <row r="3" spans="1:26" ht="10" customHeight="1">
      <c r="A3" s="284" t="s">
        <v>1</v>
      </c>
      <c r="B3" s="285"/>
      <c r="C3" s="219"/>
      <c r="D3" s="89" t="s">
        <v>3</v>
      </c>
      <c r="E3" s="43"/>
      <c r="F3" s="341"/>
      <c r="G3" s="341"/>
      <c r="H3" s="341"/>
      <c r="I3" s="341"/>
      <c r="J3" s="341"/>
      <c r="K3" s="342"/>
      <c r="L3" s="89" t="s">
        <v>5</v>
      </c>
      <c r="M3" s="288"/>
      <c r="N3" s="289"/>
      <c r="O3" s="89" t="s">
        <v>7</v>
      </c>
      <c r="P3" s="293"/>
      <c r="Q3" s="293"/>
      <c r="R3" s="293"/>
      <c r="S3" s="293"/>
      <c r="T3" s="293"/>
      <c r="U3" s="293"/>
      <c r="V3" s="294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88" t="s">
        <v>9</v>
      </c>
      <c r="P4" s="6"/>
      <c r="Q4" s="295" t="s">
        <v>105</v>
      </c>
      <c r="R4" s="296"/>
      <c r="S4" s="296"/>
      <c r="T4" s="297"/>
      <c r="U4" s="88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89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1</v>
      </c>
      <c r="J24" s="248"/>
      <c r="K24" s="248">
        <v>2</v>
      </c>
      <c r="L24" s="248"/>
      <c r="M24" s="248">
        <v>3</v>
      </c>
      <c r="N24" s="248"/>
      <c r="O24" s="248">
        <v>4</v>
      </c>
      <c r="P24" s="248"/>
      <c r="Q24" s="248">
        <v>5</v>
      </c>
      <c r="R24" s="248"/>
      <c r="S24" s="248">
        <v>6</v>
      </c>
      <c r="T24" s="248"/>
      <c r="U24" s="248">
        <v>7</v>
      </c>
      <c r="V24" s="248"/>
      <c r="W24" s="248">
        <v>8</v>
      </c>
      <c r="X24" s="248"/>
      <c r="Z24" s="50"/>
    </row>
    <row r="25" spans="1:28">
      <c r="A25" s="251" t="s">
        <v>15</v>
      </c>
      <c r="B25" s="252"/>
      <c r="C25" s="86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52</v>
      </c>
      <c r="E26" s="337">
        <v>2.08</v>
      </c>
      <c r="F26" s="338"/>
      <c r="G26" s="52" t="s">
        <v>53</v>
      </c>
      <c r="H26" s="44">
        <v>0.05</v>
      </c>
      <c r="I26" s="229">
        <v>2.101</v>
      </c>
      <c r="J26" s="229"/>
      <c r="K26" s="229">
        <v>2.1019999999999999</v>
      </c>
      <c r="L26" s="229"/>
      <c r="M26" s="229">
        <v>2.0950000000000002</v>
      </c>
      <c r="N26" s="229"/>
      <c r="O26" s="229">
        <v>2.1</v>
      </c>
      <c r="P26" s="229"/>
      <c r="Q26" s="229">
        <v>2.1</v>
      </c>
      <c r="R26" s="229"/>
      <c r="S26" s="229">
        <v>2.097</v>
      </c>
      <c r="T26" s="229"/>
      <c r="U26" s="229">
        <v>2.1019999999999999</v>
      </c>
      <c r="V26" s="229"/>
      <c r="W26" s="229">
        <v>2.1030000000000002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52</v>
      </c>
      <c r="E28" s="337">
        <v>1.97</v>
      </c>
      <c r="F28" s="338"/>
      <c r="G28" s="52" t="s">
        <v>53</v>
      </c>
      <c r="H28" s="44">
        <v>0.05</v>
      </c>
      <c r="I28" s="229">
        <v>1.98</v>
      </c>
      <c r="J28" s="229"/>
      <c r="K28" s="229">
        <v>1.97</v>
      </c>
      <c r="L28" s="229"/>
      <c r="M28" s="229">
        <v>1.99</v>
      </c>
      <c r="N28" s="229"/>
      <c r="O28" s="229">
        <v>1.99</v>
      </c>
      <c r="P28" s="229"/>
      <c r="Q28" s="229">
        <v>1.99</v>
      </c>
      <c r="R28" s="229"/>
      <c r="S28" s="229">
        <v>1.99</v>
      </c>
      <c r="T28" s="229"/>
      <c r="U28" s="229">
        <v>1.99</v>
      </c>
      <c r="V28" s="229"/>
      <c r="W28" s="229">
        <v>1.99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52</v>
      </c>
      <c r="E30" s="337">
        <v>2.08</v>
      </c>
      <c r="F30" s="338"/>
      <c r="G30" s="52" t="s">
        <v>53</v>
      </c>
      <c r="H30" s="44">
        <v>0.05</v>
      </c>
      <c r="I30" s="229">
        <v>2.0819999999999999</v>
      </c>
      <c r="J30" s="229"/>
      <c r="K30" s="229">
        <v>2.0950000000000002</v>
      </c>
      <c r="L30" s="229"/>
      <c r="M30" s="229">
        <v>2.0920000000000001</v>
      </c>
      <c r="N30" s="229"/>
      <c r="O30" s="229">
        <v>2.097</v>
      </c>
      <c r="P30" s="229"/>
      <c r="Q30" s="229">
        <v>2.0979999999999999</v>
      </c>
      <c r="R30" s="229"/>
      <c r="S30" s="229">
        <v>2.0990000000000002</v>
      </c>
      <c r="T30" s="229"/>
      <c r="U30" s="229">
        <v>2.0870000000000002</v>
      </c>
      <c r="V30" s="229"/>
      <c r="W30" s="229">
        <v>2.08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52</v>
      </c>
      <c r="E32" s="337">
        <v>10.92</v>
      </c>
      <c r="F32" s="338"/>
      <c r="G32" s="52" t="s">
        <v>53</v>
      </c>
      <c r="H32" s="44">
        <v>0.13</v>
      </c>
      <c r="I32" s="269">
        <v>11</v>
      </c>
      <c r="J32" s="269"/>
      <c r="K32" s="269">
        <v>11</v>
      </c>
      <c r="L32" s="269"/>
      <c r="M32" s="269">
        <v>11.01</v>
      </c>
      <c r="N32" s="269"/>
      <c r="O32" s="269">
        <v>11.02</v>
      </c>
      <c r="P32" s="269"/>
      <c r="Q32" s="269">
        <v>11.02</v>
      </c>
      <c r="R32" s="269"/>
      <c r="S32" s="269">
        <v>11</v>
      </c>
      <c r="T32" s="269"/>
      <c r="U32" s="269">
        <v>10.99</v>
      </c>
      <c r="V32" s="269"/>
      <c r="W32" s="269">
        <v>10.99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80" t="s">
        <v>89</v>
      </c>
      <c r="E34" s="81"/>
      <c r="F34" s="81"/>
      <c r="G34" s="81"/>
      <c r="H34" s="82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83" t="s">
        <v>90</v>
      </c>
      <c r="E35" s="84"/>
      <c r="F35" s="84"/>
      <c r="G35" s="84"/>
      <c r="H35" s="85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97</v>
      </c>
      <c r="J36" s="224"/>
      <c r="K36" s="224" t="s">
        <v>97</v>
      </c>
      <c r="L36" s="224"/>
      <c r="M36" s="224" t="s">
        <v>97</v>
      </c>
      <c r="N36" s="224"/>
      <c r="O36" s="224" t="s">
        <v>97</v>
      </c>
      <c r="P36" s="224"/>
      <c r="Q36" s="224" t="s">
        <v>97</v>
      </c>
      <c r="R36" s="224"/>
      <c r="S36" s="224" t="s">
        <v>97</v>
      </c>
      <c r="T36" s="224"/>
      <c r="U36" s="224" t="s">
        <v>97</v>
      </c>
      <c r="V36" s="224"/>
      <c r="W36" s="224" t="s">
        <v>97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83" t="s">
        <v>69</v>
      </c>
      <c r="E37" s="84"/>
      <c r="F37" s="84"/>
      <c r="G37" s="84"/>
      <c r="H37" s="85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80" t="s">
        <v>71</v>
      </c>
      <c r="E38" s="81"/>
      <c r="F38" s="81"/>
      <c r="G38" s="81"/>
      <c r="H38" s="82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83" t="s">
        <v>72</v>
      </c>
      <c r="E39" s="84"/>
      <c r="F39" s="84"/>
      <c r="G39" s="84"/>
      <c r="H39" s="85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80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83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80" t="s">
        <v>75</v>
      </c>
      <c r="E42" s="87"/>
      <c r="F42" s="91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83" t="s">
        <v>76</v>
      </c>
      <c r="E43" s="92"/>
      <c r="F43" s="92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80" t="s">
        <v>77</v>
      </c>
      <c r="E44" s="87"/>
      <c r="F44" s="91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83" t="s">
        <v>78</v>
      </c>
      <c r="E45" s="92"/>
      <c r="F45" s="92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80" t="s">
        <v>79</v>
      </c>
      <c r="E46" s="81"/>
      <c r="F46" s="81"/>
      <c r="G46" s="81"/>
      <c r="H46" s="82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83" t="s">
        <v>80</v>
      </c>
      <c r="E47" s="84"/>
      <c r="F47" s="84"/>
      <c r="G47" s="84"/>
      <c r="H47" s="85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80" t="s">
        <v>81</v>
      </c>
      <c r="E48" s="81"/>
      <c r="F48" s="81"/>
      <c r="G48" s="81"/>
      <c r="H48" s="82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83" t="s">
        <v>82</v>
      </c>
      <c r="E49" s="84"/>
      <c r="F49" s="84"/>
      <c r="G49" s="84"/>
      <c r="H49" s="85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67" priority="7" operator="greaterThan">
      <formula>$AA$28</formula>
    </cfRule>
    <cfRule type="cellIs" dxfId="366" priority="8" operator="lessThan">
      <formula>$AA$29</formula>
    </cfRule>
  </conditionalFormatting>
  <conditionalFormatting sqref="I32:X33">
    <cfRule type="cellIs" dxfId="365" priority="5" operator="greaterThan">
      <formula>$AA$32</formula>
    </cfRule>
    <cfRule type="cellIs" dxfId="364" priority="6" operator="lessThan">
      <formula>$AA$33</formula>
    </cfRule>
  </conditionalFormatting>
  <conditionalFormatting sqref="I30:X31">
    <cfRule type="cellIs" dxfId="363" priority="3" operator="greaterThan">
      <formula>$AA$30</formula>
    </cfRule>
    <cfRule type="cellIs" dxfId="362" priority="4" operator="lessThan">
      <formula>$AA$31</formula>
    </cfRule>
  </conditionalFormatting>
  <conditionalFormatting sqref="I26:X27">
    <cfRule type="cellIs" dxfId="361" priority="1" operator="greaterThan">
      <formula>$AA$26</formula>
    </cfRule>
    <cfRule type="cellIs" dxfId="3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88" t="s">
        <v>2</v>
      </c>
      <c r="E2" s="42"/>
      <c r="F2" s="286" t="s">
        <v>95</v>
      </c>
      <c r="G2" s="286"/>
      <c r="H2" s="286"/>
      <c r="I2" s="286"/>
      <c r="J2" s="286"/>
      <c r="K2" s="340"/>
      <c r="L2" s="88" t="s">
        <v>4</v>
      </c>
      <c r="M2" s="286">
        <v>9</v>
      </c>
      <c r="N2" s="287"/>
      <c r="O2" s="88" t="s">
        <v>6</v>
      </c>
      <c r="P2" s="290" t="s">
        <v>83</v>
      </c>
      <c r="Q2" s="291"/>
      <c r="R2" s="291"/>
      <c r="S2" s="291"/>
      <c r="T2" s="291"/>
      <c r="U2" s="291"/>
      <c r="V2" s="292"/>
      <c r="W2" s="88" t="s">
        <v>34</v>
      </c>
      <c r="X2" s="32">
        <v>2</v>
      </c>
      <c r="Z2" s="34" t="s">
        <v>48</v>
      </c>
    </row>
    <row r="3" spans="1:26" ht="10" customHeight="1">
      <c r="A3" s="284" t="s">
        <v>1</v>
      </c>
      <c r="B3" s="285"/>
      <c r="C3" s="219"/>
      <c r="D3" s="89" t="s">
        <v>3</v>
      </c>
      <c r="E3" s="43"/>
      <c r="F3" s="341"/>
      <c r="G3" s="341"/>
      <c r="H3" s="341"/>
      <c r="I3" s="341"/>
      <c r="J3" s="341"/>
      <c r="K3" s="342"/>
      <c r="L3" s="89" t="s">
        <v>5</v>
      </c>
      <c r="M3" s="288"/>
      <c r="N3" s="289"/>
      <c r="O3" s="89" t="s">
        <v>7</v>
      </c>
      <c r="P3" s="293"/>
      <c r="Q3" s="293"/>
      <c r="R3" s="293"/>
      <c r="S3" s="293"/>
      <c r="T3" s="293"/>
      <c r="U3" s="293"/>
      <c r="V3" s="294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88" t="s">
        <v>9</v>
      </c>
      <c r="P4" s="6"/>
      <c r="Q4" s="295" t="s">
        <v>105</v>
      </c>
      <c r="R4" s="296"/>
      <c r="S4" s="296"/>
      <c r="T4" s="297"/>
      <c r="U4" s="88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89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9</v>
      </c>
      <c r="J24" s="248"/>
      <c r="K24" s="248">
        <v>10</v>
      </c>
      <c r="L24" s="248"/>
      <c r="M24" s="248">
        <v>11</v>
      </c>
      <c r="N24" s="248"/>
      <c r="O24" s="248">
        <v>12</v>
      </c>
      <c r="P24" s="248"/>
      <c r="Q24" s="248">
        <v>13</v>
      </c>
      <c r="R24" s="248"/>
      <c r="S24" s="248">
        <v>14</v>
      </c>
      <c r="T24" s="248"/>
      <c r="U24" s="248">
        <v>15</v>
      </c>
      <c r="V24" s="248"/>
      <c r="W24" s="248">
        <v>16</v>
      </c>
      <c r="X24" s="248"/>
      <c r="Z24" s="50"/>
    </row>
    <row r="25" spans="1:28">
      <c r="A25" s="251" t="s">
        <v>15</v>
      </c>
      <c r="B25" s="252"/>
      <c r="C25" s="86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2.0979999999999999</v>
      </c>
      <c r="J26" s="229"/>
      <c r="K26" s="229">
        <v>2.0979999999999999</v>
      </c>
      <c r="L26" s="229"/>
      <c r="M26" s="229">
        <v>2.1</v>
      </c>
      <c r="N26" s="229"/>
      <c r="O26" s="229">
        <v>2.1030000000000002</v>
      </c>
      <c r="P26" s="229"/>
      <c r="Q26" s="229">
        <v>2.1030000000000002</v>
      </c>
      <c r="R26" s="229"/>
      <c r="S26" s="229">
        <v>2.1</v>
      </c>
      <c r="T26" s="229"/>
      <c r="U26" s="229">
        <v>2.105</v>
      </c>
      <c r="V26" s="229"/>
      <c r="W26" s="229">
        <v>2.0880000000000001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1.98</v>
      </c>
      <c r="J28" s="229"/>
      <c r="K28" s="229">
        <v>1.99</v>
      </c>
      <c r="L28" s="229"/>
      <c r="M28" s="229">
        <v>1.99</v>
      </c>
      <c r="N28" s="229"/>
      <c r="O28" s="229">
        <v>1.99</v>
      </c>
      <c r="P28" s="229"/>
      <c r="Q28" s="229">
        <v>1.98</v>
      </c>
      <c r="R28" s="229"/>
      <c r="S28" s="229">
        <v>1.99</v>
      </c>
      <c r="T28" s="229"/>
      <c r="U28" s="229">
        <v>1.99</v>
      </c>
      <c r="V28" s="229"/>
      <c r="W28" s="229">
        <v>1.98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2.077</v>
      </c>
      <c r="J30" s="229"/>
      <c r="K30" s="229">
        <v>2.0830000000000002</v>
      </c>
      <c r="L30" s="229"/>
      <c r="M30" s="229">
        <v>2.0880000000000001</v>
      </c>
      <c r="N30" s="229"/>
      <c r="O30" s="229">
        <v>2.09</v>
      </c>
      <c r="P30" s="229"/>
      <c r="Q30" s="229">
        <v>2.1019999999999999</v>
      </c>
      <c r="R30" s="229"/>
      <c r="S30" s="229">
        <v>2.09</v>
      </c>
      <c r="T30" s="229"/>
      <c r="U30" s="229">
        <v>2.0859999999999999</v>
      </c>
      <c r="V30" s="229"/>
      <c r="W30" s="229">
        <v>2.0819999999999999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11</v>
      </c>
      <c r="J32" s="269"/>
      <c r="K32" s="269">
        <v>11.02</v>
      </c>
      <c r="L32" s="269"/>
      <c r="M32" s="269">
        <v>11.01</v>
      </c>
      <c r="N32" s="269"/>
      <c r="O32" s="269">
        <v>11.03</v>
      </c>
      <c r="P32" s="269"/>
      <c r="Q32" s="269">
        <v>11.03</v>
      </c>
      <c r="R32" s="269"/>
      <c r="S32" s="269">
        <v>11.02</v>
      </c>
      <c r="T32" s="269"/>
      <c r="U32" s="269">
        <v>11</v>
      </c>
      <c r="V32" s="269"/>
      <c r="W32" s="269">
        <v>10.99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80" t="s">
        <v>89</v>
      </c>
      <c r="E34" s="81"/>
      <c r="F34" s="81"/>
      <c r="G34" s="81"/>
      <c r="H34" s="82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83" t="s">
        <v>90</v>
      </c>
      <c r="E35" s="84"/>
      <c r="F35" s="84"/>
      <c r="G35" s="84"/>
      <c r="H35" s="85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97</v>
      </c>
      <c r="J36" s="224"/>
      <c r="K36" s="224" t="s">
        <v>97</v>
      </c>
      <c r="L36" s="224"/>
      <c r="M36" s="224" t="s">
        <v>97</v>
      </c>
      <c r="N36" s="224"/>
      <c r="O36" s="224" t="s">
        <v>97</v>
      </c>
      <c r="P36" s="224"/>
      <c r="Q36" s="224" t="s">
        <v>97</v>
      </c>
      <c r="R36" s="224"/>
      <c r="S36" s="224" t="s">
        <v>97</v>
      </c>
      <c r="T36" s="224"/>
      <c r="U36" s="224" t="s">
        <v>97</v>
      </c>
      <c r="V36" s="224"/>
      <c r="W36" s="224" t="s">
        <v>97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83" t="s">
        <v>69</v>
      </c>
      <c r="E37" s="84"/>
      <c r="F37" s="84"/>
      <c r="G37" s="84"/>
      <c r="H37" s="85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80" t="s">
        <v>71</v>
      </c>
      <c r="E38" s="81"/>
      <c r="F38" s="81"/>
      <c r="G38" s="81"/>
      <c r="H38" s="82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83" t="s">
        <v>72</v>
      </c>
      <c r="E39" s="84"/>
      <c r="F39" s="84"/>
      <c r="G39" s="84"/>
      <c r="H39" s="85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80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83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80" t="s">
        <v>75</v>
      </c>
      <c r="E42" s="87"/>
      <c r="F42" s="91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83" t="s">
        <v>76</v>
      </c>
      <c r="E43" s="92"/>
      <c r="F43" s="92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80" t="s">
        <v>77</v>
      </c>
      <c r="E44" s="87"/>
      <c r="F44" s="91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83" t="s">
        <v>78</v>
      </c>
      <c r="E45" s="92"/>
      <c r="F45" s="92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80" t="s">
        <v>79</v>
      </c>
      <c r="E46" s="81"/>
      <c r="F46" s="81"/>
      <c r="G46" s="81"/>
      <c r="H46" s="82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83" t="s">
        <v>80</v>
      </c>
      <c r="E47" s="84"/>
      <c r="F47" s="84"/>
      <c r="G47" s="84"/>
      <c r="H47" s="85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80" t="s">
        <v>81</v>
      </c>
      <c r="E48" s="81"/>
      <c r="F48" s="81"/>
      <c r="G48" s="81"/>
      <c r="H48" s="82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83" t="s">
        <v>82</v>
      </c>
      <c r="E49" s="84"/>
      <c r="F49" s="84"/>
      <c r="G49" s="84"/>
      <c r="H49" s="85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59" priority="7" operator="greaterThan">
      <formula>$AA$28</formula>
    </cfRule>
    <cfRule type="cellIs" dxfId="358" priority="8" operator="lessThan">
      <formula>$AA$29</formula>
    </cfRule>
  </conditionalFormatting>
  <conditionalFormatting sqref="I32:X33">
    <cfRule type="cellIs" dxfId="357" priority="5" operator="greaterThan">
      <formula>$AA$32</formula>
    </cfRule>
    <cfRule type="cellIs" dxfId="356" priority="6" operator="lessThan">
      <formula>$AA$33</formula>
    </cfRule>
  </conditionalFormatting>
  <conditionalFormatting sqref="I30:X31">
    <cfRule type="cellIs" dxfId="355" priority="3" operator="greaterThan">
      <formula>$AA$30</formula>
    </cfRule>
    <cfRule type="cellIs" dxfId="354" priority="4" operator="lessThan">
      <formula>$AA$31</formula>
    </cfRule>
  </conditionalFormatting>
  <conditionalFormatting sqref="I26:X27">
    <cfRule type="cellIs" dxfId="353" priority="1" operator="greaterThan">
      <formula>$AA$26</formula>
    </cfRule>
    <cfRule type="cellIs" dxfId="3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103" t="s">
        <v>2</v>
      </c>
      <c r="E2" s="42"/>
      <c r="F2" s="286" t="s">
        <v>93</v>
      </c>
      <c r="G2" s="286"/>
      <c r="H2" s="286"/>
      <c r="I2" s="286"/>
      <c r="J2" s="286"/>
      <c r="K2" s="340"/>
      <c r="L2" s="103" t="s">
        <v>4</v>
      </c>
      <c r="M2" s="286">
        <v>9</v>
      </c>
      <c r="N2" s="287"/>
      <c r="O2" s="103" t="s">
        <v>6</v>
      </c>
      <c r="P2" s="290" t="s">
        <v>83</v>
      </c>
      <c r="Q2" s="291"/>
      <c r="R2" s="291"/>
      <c r="S2" s="291"/>
      <c r="T2" s="291"/>
      <c r="U2" s="291"/>
      <c r="V2" s="292"/>
      <c r="W2" s="103" t="s">
        <v>34</v>
      </c>
      <c r="X2" s="32">
        <v>1</v>
      </c>
      <c r="Z2" s="34" t="s">
        <v>48</v>
      </c>
    </row>
    <row r="3" spans="1:26" ht="10" customHeight="1">
      <c r="A3" s="284" t="s">
        <v>1</v>
      </c>
      <c r="B3" s="285"/>
      <c r="C3" s="219"/>
      <c r="D3" s="104" t="s">
        <v>3</v>
      </c>
      <c r="E3" s="43"/>
      <c r="F3" s="341"/>
      <c r="G3" s="341"/>
      <c r="H3" s="341"/>
      <c r="I3" s="341"/>
      <c r="J3" s="341"/>
      <c r="K3" s="342"/>
      <c r="L3" s="104" t="s">
        <v>5</v>
      </c>
      <c r="M3" s="288"/>
      <c r="N3" s="289"/>
      <c r="O3" s="104" t="s">
        <v>7</v>
      </c>
      <c r="P3" s="293"/>
      <c r="Q3" s="293"/>
      <c r="R3" s="293"/>
      <c r="S3" s="293"/>
      <c r="T3" s="293"/>
      <c r="U3" s="293"/>
      <c r="V3" s="294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95" t="s">
        <v>104</v>
      </c>
      <c r="R4" s="296"/>
      <c r="S4" s="296"/>
      <c r="T4" s="297"/>
      <c r="U4" s="103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104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1</v>
      </c>
      <c r="J24" s="248"/>
      <c r="K24" s="248">
        <v>2</v>
      </c>
      <c r="L24" s="248"/>
      <c r="M24" s="248">
        <v>3</v>
      </c>
      <c r="N24" s="248"/>
      <c r="O24" s="248">
        <v>4</v>
      </c>
      <c r="P24" s="248"/>
      <c r="Q24" s="248">
        <v>5</v>
      </c>
      <c r="R24" s="248"/>
      <c r="S24" s="248">
        <v>6</v>
      </c>
      <c r="T24" s="248"/>
      <c r="U24" s="248">
        <v>7</v>
      </c>
      <c r="V24" s="248"/>
      <c r="W24" s="248">
        <v>8</v>
      </c>
      <c r="X24" s="248"/>
      <c r="Z24" s="50"/>
    </row>
    <row r="25" spans="1:28">
      <c r="A25" s="251" t="s">
        <v>15</v>
      </c>
      <c r="B25" s="252"/>
      <c r="C25" s="105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2.0990000000000002</v>
      </c>
      <c r="J26" s="229"/>
      <c r="K26" s="229">
        <v>2.0979999999999999</v>
      </c>
      <c r="L26" s="229"/>
      <c r="M26" s="229">
        <v>2.0960000000000001</v>
      </c>
      <c r="N26" s="229"/>
      <c r="O26" s="229">
        <v>2.1019999999999999</v>
      </c>
      <c r="P26" s="229"/>
      <c r="Q26" s="229">
        <v>2.0979999999999999</v>
      </c>
      <c r="R26" s="229"/>
      <c r="S26" s="229">
        <v>2.1059999999999999</v>
      </c>
      <c r="T26" s="229"/>
      <c r="U26" s="229">
        <v>2.0979999999999999</v>
      </c>
      <c r="V26" s="229"/>
      <c r="W26" s="229">
        <v>2.1019999999999999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1.98</v>
      </c>
      <c r="J28" s="229"/>
      <c r="K28" s="229">
        <v>1.97</v>
      </c>
      <c r="L28" s="229"/>
      <c r="M28" s="229">
        <v>1.99</v>
      </c>
      <c r="N28" s="229"/>
      <c r="O28" s="229">
        <v>1.99</v>
      </c>
      <c r="P28" s="229"/>
      <c r="Q28" s="229">
        <v>1.99</v>
      </c>
      <c r="R28" s="229"/>
      <c r="S28" s="229">
        <v>1.99</v>
      </c>
      <c r="T28" s="229"/>
      <c r="U28" s="229">
        <v>1.99</v>
      </c>
      <c r="V28" s="229"/>
      <c r="W28" s="229">
        <v>1.99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2.0870000000000002</v>
      </c>
      <c r="J30" s="229"/>
      <c r="K30" s="229">
        <v>2.0920000000000001</v>
      </c>
      <c r="L30" s="229"/>
      <c r="M30" s="229">
        <v>2.093</v>
      </c>
      <c r="N30" s="229"/>
      <c r="O30" s="229">
        <v>2.0960000000000001</v>
      </c>
      <c r="P30" s="229"/>
      <c r="Q30" s="229">
        <v>2.0979999999999999</v>
      </c>
      <c r="R30" s="229"/>
      <c r="S30" s="229">
        <v>2.1</v>
      </c>
      <c r="T30" s="229"/>
      <c r="U30" s="229">
        <v>2.0830000000000002</v>
      </c>
      <c r="V30" s="229"/>
      <c r="W30" s="229">
        <v>2.0939999999999999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11</v>
      </c>
      <c r="J32" s="269"/>
      <c r="K32" s="269">
        <v>11</v>
      </c>
      <c r="L32" s="269"/>
      <c r="M32" s="269">
        <v>11.02</v>
      </c>
      <c r="N32" s="269"/>
      <c r="O32" s="269">
        <v>11.02</v>
      </c>
      <c r="P32" s="269"/>
      <c r="Q32" s="269">
        <v>11.03</v>
      </c>
      <c r="R32" s="269"/>
      <c r="S32" s="269">
        <v>11</v>
      </c>
      <c r="T32" s="269"/>
      <c r="U32" s="269">
        <v>11</v>
      </c>
      <c r="V32" s="269"/>
      <c r="W32" s="269">
        <v>11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97" t="s">
        <v>89</v>
      </c>
      <c r="E34" s="98"/>
      <c r="F34" s="98"/>
      <c r="G34" s="98"/>
      <c r="H34" s="99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100" t="s">
        <v>90</v>
      </c>
      <c r="E35" s="101"/>
      <c r="F35" s="101"/>
      <c r="G35" s="101"/>
      <c r="H35" s="102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100" t="s">
        <v>69</v>
      </c>
      <c r="E37" s="101"/>
      <c r="F37" s="101"/>
      <c r="G37" s="101"/>
      <c r="H37" s="102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97" t="s">
        <v>71</v>
      </c>
      <c r="E38" s="98"/>
      <c r="F38" s="98"/>
      <c r="G38" s="98"/>
      <c r="H38" s="99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100" t="s">
        <v>72</v>
      </c>
      <c r="E39" s="101"/>
      <c r="F39" s="101"/>
      <c r="G39" s="101"/>
      <c r="H39" s="102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97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100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97" t="s">
        <v>75</v>
      </c>
      <c r="E42" s="94"/>
      <c r="F42" s="95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100" t="s">
        <v>76</v>
      </c>
      <c r="E43" s="96"/>
      <c r="F43" s="96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97" t="s">
        <v>77</v>
      </c>
      <c r="E44" s="94"/>
      <c r="F44" s="95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100" t="s">
        <v>78</v>
      </c>
      <c r="E45" s="96"/>
      <c r="F45" s="96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97" t="s">
        <v>79</v>
      </c>
      <c r="E46" s="98"/>
      <c r="F46" s="98"/>
      <c r="G46" s="98"/>
      <c r="H46" s="99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100" t="s">
        <v>80</v>
      </c>
      <c r="E47" s="101"/>
      <c r="F47" s="101"/>
      <c r="G47" s="101"/>
      <c r="H47" s="102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97" t="s">
        <v>81</v>
      </c>
      <c r="E48" s="98"/>
      <c r="F48" s="98"/>
      <c r="G48" s="98"/>
      <c r="H48" s="99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100" t="s">
        <v>82</v>
      </c>
      <c r="E49" s="101"/>
      <c r="F49" s="101"/>
      <c r="G49" s="101"/>
      <c r="H49" s="102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51" priority="7" operator="greaterThan">
      <formula>$AA$28</formula>
    </cfRule>
    <cfRule type="cellIs" dxfId="350" priority="8" operator="lessThan">
      <formula>$AA$29</formula>
    </cfRule>
  </conditionalFormatting>
  <conditionalFormatting sqref="I32:X33">
    <cfRule type="cellIs" dxfId="349" priority="5" operator="greaterThan">
      <formula>$AA$32</formula>
    </cfRule>
    <cfRule type="cellIs" dxfId="348" priority="6" operator="lessThan">
      <formula>$AA$33</formula>
    </cfRule>
  </conditionalFormatting>
  <conditionalFormatting sqref="I30:X31">
    <cfRule type="cellIs" dxfId="347" priority="3" operator="greaterThan">
      <formula>$AA$30</formula>
    </cfRule>
    <cfRule type="cellIs" dxfId="346" priority="4" operator="lessThan">
      <formula>$AA$31</formula>
    </cfRule>
  </conditionalFormatting>
  <conditionalFormatting sqref="I26:X27">
    <cfRule type="cellIs" dxfId="345" priority="1" operator="greaterThan">
      <formula>$AA$26</formula>
    </cfRule>
    <cfRule type="cellIs" dxfId="3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103" t="s">
        <v>2</v>
      </c>
      <c r="E2" s="42"/>
      <c r="F2" s="286" t="s">
        <v>93</v>
      </c>
      <c r="G2" s="286"/>
      <c r="H2" s="286"/>
      <c r="I2" s="286"/>
      <c r="J2" s="286"/>
      <c r="K2" s="340"/>
      <c r="L2" s="103" t="s">
        <v>4</v>
      </c>
      <c r="M2" s="286">
        <v>9</v>
      </c>
      <c r="N2" s="287"/>
      <c r="O2" s="103" t="s">
        <v>6</v>
      </c>
      <c r="P2" s="290" t="s">
        <v>83</v>
      </c>
      <c r="Q2" s="291"/>
      <c r="R2" s="291"/>
      <c r="S2" s="291"/>
      <c r="T2" s="291"/>
      <c r="U2" s="291"/>
      <c r="V2" s="292"/>
      <c r="W2" s="103" t="s">
        <v>34</v>
      </c>
      <c r="X2" s="32">
        <v>2</v>
      </c>
      <c r="Z2" s="34" t="s">
        <v>48</v>
      </c>
    </row>
    <row r="3" spans="1:26" ht="10" customHeight="1">
      <c r="A3" s="284" t="s">
        <v>1</v>
      </c>
      <c r="B3" s="285"/>
      <c r="C3" s="219"/>
      <c r="D3" s="104" t="s">
        <v>3</v>
      </c>
      <c r="E3" s="43"/>
      <c r="F3" s="341"/>
      <c r="G3" s="341"/>
      <c r="H3" s="341"/>
      <c r="I3" s="341"/>
      <c r="J3" s="341"/>
      <c r="K3" s="342"/>
      <c r="L3" s="104" t="s">
        <v>5</v>
      </c>
      <c r="M3" s="288"/>
      <c r="N3" s="289"/>
      <c r="O3" s="104" t="s">
        <v>7</v>
      </c>
      <c r="P3" s="293"/>
      <c r="Q3" s="293"/>
      <c r="R3" s="293"/>
      <c r="S3" s="293"/>
      <c r="T3" s="293"/>
      <c r="U3" s="293"/>
      <c r="V3" s="294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95" t="s">
        <v>104</v>
      </c>
      <c r="R4" s="296"/>
      <c r="S4" s="296"/>
      <c r="T4" s="297"/>
      <c r="U4" s="103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104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9</v>
      </c>
      <c r="J24" s="248"/>
      <c r="K24" s="248">
        <v>10</v>
      </c>
      <c r="L24" s="248"/>
      <c r="M24" s="248">
        <v>11</v>
      </c>
      <c r="N24" s="248"/>
      <c r="O24" s="248">
        <v>12</v>
      </c>
      <c r="P24" s="248"/>
      <c r="Q24" s="248">
        <v>13</v>
      </c>
      <c r="R24" s="248"/>
      <c r="S24" s="248">
        <v>14</v>
      </c>
      <c r="T24" s="248"/>
      <c r="U24" s="248">
        <v>15</v>
      </c>
      <c r="V24" s="248"/>
      <c r="W24" s="248">
        <v>16</v>
      </c>
      <c r="X24" s="248"/>
      <c r="Z24" s="50"/>
    </row>
    <row r="25" spans="1:28">
      <c r="A25" s="251" t="s">
        <v>15</v>
      </c>
      <c r="B25" s="252"/>
      <c r="C25" s="105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2.0939999999999999</v>
      </c>
      <c r="J26" s="229"/>
      <c r="K26" s="229">
        <v>2.0960000000000001</v>
      </c>
      <c r="L26" s="229"/>
      <c r="M26" s="229">
        <v>2.1</v>
      </c>
      <c r="N26" s="229"/>
      <c r="O26" s="229">
        <v>2.0979999999999999</v>
      </c>
      <c r="P26" s="229"/>
      <c r="Q26" s="229">
        <v>2.1030000000000002</v>
      </c>
      <c r="R26" s="229"/>
      <c r="S26" s="229">
        <v>2.0950000000000002</v>
      </c>
      <c r="T26" s="229"/>
      <c r="U26" s="229">
        <v>2.101</v>
      </c>
      <c r="V26" s="229"/>
      <c r="W26" s="229">
        <v>2.093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1.98</v>
      </c>
      <c r="J28" s="229"/>
      <c r="K28" s="229">
        <v>1.99</v>
      </c>
      <c r="L28" s="229"/>
      <c r="M28" s="229">
        <v>1.99</v>
      </c>
      <c r="N28" s="229"/>
      <c r="O28" s="229">
        <v>1.99</v>
      </c>
      <c r="P28" s="229"/>
      <c r="Q28" s="229">
        <v>1.98</v>
      </c>
      <c r="R28" s="229"/>
      <c r="S28" s="229">
        <v>1.99</v>
      </c>
      <c r="T28" s="229"/>
      <c r="U28" s="229">
        <v>1.99</v>
      </c>
      <c r="V28" s="229"/>
      <c r="W28" s="229">
        <v>1.98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2.077</v>
      </c>
      <c r="J30" s="229"/>
      <c r="K30" s="229">
        <v>2.0830000000000002</v>
      </c>
      <c r="L30" s="229"/>
      <c r="M30" s="229">
        <v>2.0870000000000002</v>
      </c>
      <c r="N30" s="229"/>
      <c r="O30" s="229">
        <v>2.0990000000000002</v>
      </c>
      <c r="P30" s="229"/>
      <c r="Q30" s="229">
        <v>2.1</v>
      </c>
      <c r="R30" s="229"/>
      <c r="S30" s="229">
        <v>2.093</v>
      </c>
      <c r="T30" s="229"/>
      <c r="U30" s="229">
        <v>2.0880000000000001</v>
      </c>
      <c r="V30" s="229"/>
      <c r="W30" s="229">
        <v>2.081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10.99</v>
      </c>
      <c r="J32" s="269"/>
      <c r="K32" s="269">
        <v>11</v>
      </c>
      <c r="L32" s="269"/>
      <c r="M32" s="269">
        <v>11.01</v>
      </c>
      <c r="N32" s="269"/>
      <c r="O32" s="269">
        <v>11.03</v>
      </c>
      <c r="P32" s="269"/>
      <c r="Q32" s="269">
        <v>11.03</v>
      </c>
      <c r="R32" s="269"/>
      <c r="S32" s="269">
        <v>11.01</v>
      </c>
      <c r="T32" s="269"/>
      <c r="U32" s="269">
        <v>10.99</v>
      </c>
      <c r="V32" s="269"/>
      <c r="W32" s="269">
        <v>10.99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97" t="s">
        <v>89</v>
      </c>
      <c r="E34" s="98"/>
      <c r="F34" s="98"/>
      <c r="G34" s="98"/>
      <c r="H34" s="99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100" t="s">
        <v>90</v>
      </c>
      <c r="E35" s="101"/>
      <c r="F35" s="101"/>
      <c r="G35" s="101"/>
      <c r="H35" s="102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100" t="s">
        <v>69</v>
      </c>
      <c r="E37" s="101"/>
      <c r="F37" s="101"/>
      <c r="G37" s="101"/>
      <c r="H37" s="102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97" t="s">
        <v>71</v>
      </c>
      <c r="E38" s="98"/>
      <c r="F38" s="98"/>
      <c r="G38" s="98"/>
      <c r="H38" s="99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100" t="s">
        <v>72</v>
      </c>
      <c r="E39" s="101"/>
      <c r="F39" s="101"/>
      <c r="G39" s="101"/>
      <c r="H39" s="102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97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100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97" t="s">
        <v>75</v>
      </c>
      <c r="E42" s="94"/>
      <c r="F42" s="95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100" t="s">
        <v>76</v>
      </c>
      <c r="E43" s="96"/>
      <c r="F43" s="96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97" t="s">
        <v>77</v>
      </c>
      <c r="E44" s="94"/>
      <c r="F44" s="95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100" t="s">
        <v>78</v>
      </c>
      <c r="E45" s="96"/>
      <c r="F45" s="96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97" t="s">
        <v>79</v>
      </c>
      <c r="E46" s="98"/>
      <c r="F46" s="98"/>
      <c r="G46" s="98"/>
      <c r="H46" s="99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100" t="s">
        <v>80</v>
      </c>
      <c r="E47" s="101"/>
      <c r="F47" s="101"/>
      <c r="G47" s="101"/>
      <c r="H47" s="102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97" t="s">
        <v>81</v>
      </c>
      <c r="E48" s="98"/>
      <c r="F48" s="98"/>
      <c r="G48" s="98"/>
      <c r="H48" s="99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100" t="s">
        <v>82</v>
      </c>
      <c r="E49" s="101"/>
      <c r="F49" s="101"/>
      <c r="G49" s="101"/>
      <c r="H49" s="102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43" priority="7" operator="greaterThan">
      <formula>$AA$28</formula>
    </cfRule>
    <cfRule type="cellIs" dxfId="342" priority="8" operator="lessThan">
      <formula>$AA$29</formula>
    </cfRule>
  </conditionalFormatting>
  <conditionalFormatting sqref="I32:X33">
    <cfRule type="cellIs" dxfId="341" priority="5" operator="greaterThan">
      <formula>$AA$32</formula>
    </cfRule>
    <cfRule type="cellIs" dxfId="340" priority="6" operator="lessThan">
      <formula>$AA$33</formula>
    </cfRule>
  </conditionalFormatting>
  <conditionalFormatting sqref="I30:X31">
    <cfRule type="cellIs" dxfId="339" priority="3" operator="greaterThan">
      <formula>$AA$30</formula>
    </cfRule>
    <cfRule type="cellIs" dxfId="338" priority="4" operator="lessThan">
      <formula>$AA$31</formula>
    </cfRule>
  </conditionalFormatting>
  <conditionalFormatting sqref="I26:X27">
    <cfRule type="cellIs" dxfId="337" priority="1" operator="greaterThan">
      <formula>$AA$26</formula>
    </cfRule>
    <cfRule type="cellIs" dxfId="3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103" t="s">
        <v>2</v>
      </c>
      <c r="E2" s="42"/>
      <c r="F2" s="286" t="s">
        <v>93</v>
      </c>
      <c r="G2" s="286"/>
      <c r="H2" s="286"/>
      <c r="I2" s="286"/>
      <c r="J2" s="286"/>
      <c r="K2" s="340"/>
      <c r="L2" s="103" t="s">
        <v>4</v>
      </c>
      <c r="M2" s="286">
        <v>9</v>
      </c>
      <c r="N2" s="287"/>
      <c r="O2" s="103" t="s">
        <v>6</v>
      </c>
      <c r="P2" s="290" t="s">
        <v>83</v>
      </c>
      <c r="Q2" s="291"/>
      <c r="R2" s="291"/>
      <c r="S2" s="291"/>
      <c r="T2" s="291"/>
      <c r="U2" s="291"/>
      <c r="V2" s="292"/>
      <c r="W2" s="103" t="s">
        <v>34</v>
      </c>
      <c r="X2" s="32">
        <v>1</v>
      </c>
      <c r="Z2" s="34" t="s">
        <v>48</v>
      </c>
    </row>
    <row r="3" spans="1:26" ht="10" customHeight="1">
      <c r="A3" s="284" t="s">
        <v>1</v>
      </c>
      <c r="B3" s="285"/>
      <c r="C3" s="219"/>
      <c r="D3" s="104" t="s">
        <v>3</v>
      </c>
      <c r="E3" s="43"/>
      <c r="F3" s="341"/>
      <c r="G3" s="341"/>
      <c r="H3" s="341"/>
      <c r="I3" s="341"/>
      <c r="J3" s="341"/>
      <c r="K3" s="342"/>
      <c r="L3" s="104" t="s">
        <v>5</v>
      </c>
      <c r="M3" s="288"/>
      <c r="N3" s="289"/>
      <c r="O3" s="104" t="s">
        <v>7</v>
      </c>
      <c r="P3" s="293"/>
      <c r="Q3" s="293"/>
      <c r="R3" s="293"/>
      <c r="S3" s="293"/>
      <c r="T3" s="293"/>
      <c r="U3" s="293"/>
      <c r="V3" s="294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95" t="s">
        <v>103</v>
      </c>
      <c r="R4" s="296"/>
      <c r="S4" s="296"/>
      <c r="T4" s="297"/>
      <c r="U4" s="103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104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1</v>
      </c>
      <c r="J24" s="248"/>
      <c r="K24" s="248">
        <v>2</v>
      </c>
      <c r="L24" s="248"/>
      <c r="M24" s="248">
        <v>3</v>
      </c>
      <c r="N24" s="248"/>
      <c r="O24" s="248">
        <v>4</v>
      </c>
      <c r="P24" s="248"/>
      <c r="Q24" s="248">
        <v>5</v>
      </c>
      <c r="R24" s="248"/>
      <c r="S24" s="248">
        <v>6</v>
      </c>
      <c r="T24" s="248"/>
      <c r="U24" s="248">
        <v>7</v>
      </c>
      <c r="V24" s="248"/>
      <c r="W24" s="248">
        <v>8</v>
      </c>
      <c r="X24" s="248"/>
      <c r="Z24" s="50"/>
    </row>
    <row r="25" spans="1:28">
      <c r="A25" s="251" t="s">
        <v>15</v>
      </c>
      <c r="B25" s="252"/>
      <c r="C25" s="105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2.1</v>
      </c>
      <c r="J26" s="229"/>
      <c r="K26" s="229">
        <v>2.097</v>
      </c>
      <c r="L26" s="229"/>
      <c r="M26" s="229">
        <v>2.0990000000000002</v>
      </c>
      <c r="N26" s="229"/>
      <c r="O26" s="229">
        <v>2.1</v>
      </c>
      <c r="P26" s="229"/>
      <c r="Q26" s="229">
        <v>2.0979999999999999</v>
      </c>
      <c r="R26" s="229"/>
      <c r="S26" s="229">
        <v>2.1</v>
      </c>
      <c r="T26" s="229"/>
      <c r="U26" s="229">
        <v>2.0960000000000001</v>
      </c>
      <c r="V26" s="229"/>
      <c r="W26" s="229">
        <v>2.097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2.0099999999999998</v>
      </c>
      <c r="J28" s="229"/>
      <c r="K28" s="229">
        <v>1.97</v>
      </c>
      <c r="L28" s="229"/>
      <c r="M28" s="229">
        <v>1.99</v>
      </c>
      <c r="N28" s="229"/>
      <c r="O28" s="229">
        <v>1.99</v>
      </c>
      <c r="P28" s="229"/>
      <c r="Q28" s="229">
        <v>1.99</v>
      </c>
      <c r="R28" s="229"/>
      <c r="S28" s="229">
        <v>1.99</v>
      </c>
      <c r="T28" s="229"/>
      <c r="U28" s="229">
        <v>1.99</v>
      </c>
      <c r="V28" s="229"/>
      <c r="W28" s="229">
        <v>2.0099999999999998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2.0920000000000001</v>
      </c>
      <c r="J30" s="229"/>
      <c r="K30" s="229">
        <v>2.0920000000000001</v>
      </c>
      <c r="L30" s="229"/>
      <c r="M30" s="229">
        <v>2.093</v>
      </c>
      <c r="N30" s="229"/>
      <c r="O30" s="229">
        <v>2.0939999999999999</v>
      </c>
      <c r="P30" s="229"/>
      <c r="Q30" s="229">
        <v>2.0950000000000002</v>
      </c>
      <c r="R30" s="229"/>
      <c r="S30" s="229">
        <v>2.097</v>
      </c>
      <c r="T30" s="229"/>
      <c r="U30" s="229">
        <v>2.0840000000000001</v>
      </c>
      <c r="V30" s="229"/>
      <c r="W30" s="229">
        <v>2.0880000000000001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11</v>
      </c>
      <c r="J32" s="269"/>
      <c r="K32" s="269">
        <v>11.01</v>
      </c>
      <c r="L32" s="269"/>
      <c r="M32" s="269">
        <v>11.02</v>
      </c>
      <c r="N32" s="269"/>
      <c r="O32" s="269">
        <v>11.03</v>
      </c>
      <c r="P32" s="269"/>
      <c r="Q32" s="269">
        <v>11.02</v>
      </c>
      <c r="R32" s="269"/>
      <c r="S32" s="269">
        <v>11.01</v>
      </c>
      <c r="T32" s="269"/>
      <c r="U32" s="269">
        <v>11</v>
      </c>
      <c r="V32" s="269"/>
      <c r="W32" s="269">
        <v>10.99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97" t="s">
        <v>89</v>
      </c>
      <c r="E34" s="98"/>
      <c r="F34" s="98"/>
      <c r="G34" s="98"/>
      <c r="H34" s="99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100" t="s">
        <v>90</v>
      </c>
      <c r="E35" s="101"/>
      <c r="F35" s="101"/>
      <c r="G35" s="101"/>
      <c r="H35" s="102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100" t="s">
        <v>69</v>
      </c>
      <c r="E37" s="101"/>
      <c r="F37" s="101"/>
      <c r="G37" s="101"/>
      <c r="H37" s="102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97" t="s">
        <v>71</v>
      </c>
      <c r="E38" s="98"/>
      <c r="F38" s="98"/>
      <c r="G38" s="98"/>
      <c r="H38" s="99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100" t="s">
        <v>72</v>
      </c>
      <c r="E39" s="101"/>
      <c r="F39" s="101"/>
      <c r="G39" s="101"/>
      <c r="H39" s="102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97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100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97" t="s">
        <v>75</v>
      </c>
      <c r="E42" s="94"/>
      <c r="F42" s="95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100" t="s">
        <v>76</v>
      </c>
      <c r="E43" s="96"/>
      <c r="F43" s="96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97" t="s">
        <v>77</v>
      </c>
      <c r="E44" s="94"/>
      <c r="F44" s="95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100" t="s">
        <v>78</v>
      </c>
      <c r="E45" s="96"/>
      <c r="F45" s="96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97" t="s">
        <v>79</v>
      </c>
      <c r="E46" s="98"/>
      <c r="F46" s="98"/>
      <c r="G46" s="98"/>
      <c r="H46" s="99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100" t="s">
        <v>80</v>
      </c>
      <c r="E47" s="101"/>
      <c r="F47" s="101"/>
      <c r="G47" s="101"/>
      <c r="H47" s="102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97" t="s">
        <v>81</v>
      </c>
      <c r="E48" s="98"/>
      <c r="F48" s="98"/>
      <c r="G48" s="98"/>
      <c r="H48" s="99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100" t="s">
        <v>82</v>
      </c>
      <c r="E49" s="101"/>
      <c r="F49" s="101"/>
      <c r="G49" s="101"/>
      <c r="H49" s="102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35" priority="7" operator="greaterThan">
      <formula>$AA$28</formula>
    </cfRule>
    <cfRule type="cellIs" dxfId="334" priority="8" operator="lessThan">
      <formula>$AA$29</formula>
    </cfRule>
  </conditionalFormatting>
  <conditionalFormatting sqref="I32:X33">
    <cfRule type="cellIs" dxfId="333" priority="5" operator="greaterThan">
      <formula>$AA$32</formula>
    </cfRule>
    <cfRule type="cellIs" dxfId="332" priority="6" operator="lessThan">
      <formula>$AA$33</formula>
    </cfRule>
  </conditionalFormatting>
  <conditionalFormatting sqref="I30:X31">
    <cfRule type="cellIs" dxfId="331" priority="3" operator="greaterThan">
      <formula>$AA$30</formula>
    </cfRule>
    <cfRule type="cellIs" dxfId="330" priority="4" operator="lessThan">
      <formula>$AA$31</formula>
    </cfRule>
  </conditionalFormatting>
  <conditionalFormatting sqref="I26:X27">
    <cfRule type="cellIs" dxfId="329" priority="1" operator="greaterThan">
      <formula>$AA$26</formula>
    </cfRule>
    <cfRule type="cellIs" dxfId="3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4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103" t="s">
        <v>2</v>
      </c>
      <c r="E2" s="42"/>
      <c r="F2" s="286" t="s">
        <v>93</v>
      </c>
      <c r="G2" s="286"/>
      <c r="H2" s="286"/>
      <c r="I2" s="286"/>
      <c r="J2" s="286"/>
      <c r="K2" s="340"/>
      <c r="L2" s="103" t="s">
        <v>4</v>
      </c>
      <c r="M2" s="286">
        <v>9</v>
      </c>
      <c r="N2" s="287"/>
      <c r="O2" s="103" t="s">
        <v>6</v>
      </c>
      <c r="P2" s="290" t="s">
        <v>83</v>
      </c>
      <c r="Q2" s="291"/>
      <c r="R2" s="291"/>
      <c r="S2" s="291"/>
      <c r="T2" s="291"/>
      <c r="U2" s="291"/>
      <c r="V2" s="292"/>
      <c r="W2" s="103" t="s">
        <v>34</v>
      </c>
      <c r="X2" s="32">
        <v>2</v>
      </c>
      <c r="Z2" s="34" t="s">
        <v>48</v>
      </c>
    </row>
    <row r="3" spans="1:26" ht="10" customHeight="1">
      <c r="A3" s="284" t="s">
        <v>1</v>
      </c>
      <c r="B3" s="285"/>
      <c r="C3" s="219"/>
      <c r="D3" s="104" t="s">
        <v>3</v>
      </c>
      <c r="E3" s="43"/>
      <c r="F3" s="341"/>
      <c r="G3" s="341"/>
      <c r="H3" s="341"/>
      <c r="I3" s="341"/>
      <c r="J3" s="341"/>
      <c r="K3" s="342"/>
      <c r="L3" s="104" t="s">
        <v>5</v>
      </c>
      <c r="M3" s="288"/>
      <c r="N3" s="289"/>
      <c r="O3" s="104" t="s">
        <v>7</v>
      </c>
      <c r="P3" s="293"/>
      <c r="Q3" s="293"/>
      <c r="R3" s="293"/>
      <c r="S3" s="293"/>
      <c r="T3" s="293"/>
      <c r="U3" s="293"/>
      <c r="V3" s="294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95" t="s">
        <v>103</v>
      </c>
      <c r="R4" s="296"/>
      <c r="S4" s="296"/>
      <c r="T4" s="297"/>
      <c r="U4" s="103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104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9</v>
      </c>
      <c r="J24" s="248"/>
      <c r="K24" s="248">
        <v>10</v>
      </c>
      <c r="L24" s="248"/>
      <c r="M24" s="248">
        <v>11</v>
      </c>
      <c r="N24" s="248"/>
      <c r="O24" s="248">
        <v>12</v>
      </c>
      <c r="P24" s="248"/>
      <c r="Q24" s="248">
        <v>13</v>
      </c>
      <c r="R24" s="248"/>
      <c r="S24" s="248">
        <v>14</v>
      </c>
      <c r="T24" s="248"/>
      <c r="U24" s="248">
        <v>15</v>
      </c>
      <c r="V24" s="248"/>
      <c r="W24" s="248">
        <v>16</v>
      </c>
      <c r="X24" s="248"/>
      <c r="Z24" s="50"/>
    </row>
    <row r="25" spans="1:28">
      <c r="A25" s="251" t="s">
        <v>15</v>
      </c>
      <c r="B25" s="252"/>
      <c r="C25" s="105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2.1</v>
      </c>
      <c r="J26" s="229"/>
      <c r="K26" s="229">
        <v>2.093</v>
      </c>
      <c r="L26" s="229"/>
      <c r="M26" s="229">
        <v>2.097</v>
      </c>
      <c r="N26" s="229"/>
      <c r="O26" s="229">
        <v>2.0979999999999999</v>
      </c>
      <c r="P26" s="229"/>
      <c r="Q26" s="229">
        <v>2.1030000000000002</v>
      </c>
      <c r="R26" s="229"/>
      <c r="S26" s="229">
        <v>2.0950000000000002</v>
      </c>
      <c r="T26" s="229"/>
      <c r="U26" s="229">
        <v>2.097</v>
      </c>
      <c r="V26" s="229"/>
      <c r="W26" s="229">
        <v>2.0910000000000002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1.98</v>
      </c>
      <c r="J28" s="229"/>
      <c r="K28" s="229">
        <v>1.99</v>
      </c>
      <c r="L28" s="229"/>
      <c r="M28" s="229">
        <v>1.99</v>
      </c>
      <c r="N28" s="229"/>
      <c r="O28" s="229">
        <v>1.99</v>
      </c>
      <c r="P28" s="229"/>
      <c r="Q28" s="229">
        <v>1.98</v>
      </c>
      <c r="R28" s="229"/>
      <c r="S28" s="229">
        <v>1.99</v>
      </c>
      <c r="T28" s="229"/>
      <c r="U28" s="229">
        <v>1.99</v>
      </c>
      <c r="V28" s="229"/>
      <c r="W28" s="229">
        <v>1.98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2.08</v>
      </c>
      <c r="J30" s="229"/>
      <c r="K30" s="229">
        <v>2.0840000000000001</v>
      </c>
      <c r="L30" s="229"/>
      <c r="M30" s="229">
        <v>2.0920000000000001</v>
      </c>
      <c r="N30" s="229"/>
      <c r="O30" s="229">
        <v>2.0939999999999999</v>
      </c>
      <c r="P30" s="229"/>
      <c r="Q30" s="229">
        <v>2.097</v>
      </c>
      <c r="R30" s="229"/>
      <c r="S30" s="229">
        <v>2.0920000000000001</v>
      </c>
      <c r="T30" s="229"/>
      <c r="U30" s="229">
        <v>2.09</v>
      </c>
      <c r="V30" s="229"/>
      <c r="W30" s="229">
        <v>2.0859999999999999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10.99</v>
      </c>
      <c r="J32" s="269"/>
      <c r="K32" s="269">
        <v>11</v>
      </c>
      <c r="L32" s="269"/>
      <c r="M32" s="269">
        <v>11</v>
      </c>
      <c r="N32" s="269"/>
      <c r="O32" s="269">
        <v>11.03</v>
      </c>
      <c r="P32" s="269"/>
      <c r="Q32" s="269">
        <v>11.03</v>
      </c>
      <c r="R32" s="269"/>
      <c r="S32" s="269">
        <v>11</v>
      </c>
      <c r="T32" s="269"/>
      <c r="U32" s="269">
        <v>10.99</v>
      </c>
      <c r="V32" s="269"/>
      <c r="W32" s="269">
        <v>10.99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97" t="s">
        <v>89</v>
      </c>
      <c r="E34" s="98"/>
      <c r="F34" s="98"/>
      <c r="G34" s="98"/>
      <c r="H34" s="99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100" t="s">
        <v>90</v>
      </c>
      <c r="E35" s="101"/>
      <c r="F35" s="101"/>
      <c r="G35" s="101"/>
      <c r="H35" s="102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100" t="s">
        <v>69</v>
      </c>
      <c r="E37" s="101"/>
      <c r="F37" s="101"/>
      <c r="G37" s="101"/>
      <c r="H37" s="102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97" t="s">
        <v>71</v>
      </c>
      <c r="E38" s="98"/>
      <c r="F38" s="98"/>
      <c r="G38" s="98"/>
      <c r="H38" s="99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100" t="s">
        <v>72</v>
      </c>
      <c r="E39" s="101"/>
      <c r="F39" s="101"/>
      <c r="G39" s="101"/>
      <c r="H39" s="102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97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100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97" t="s">
        <v>75</v>
      </c>
      <c r="E42" s="94"/>
      <c r="F42" s="95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100" t="s">
        <v>76</v>
      </c>
      <c r="E43" s="96"/>
      <c r="F43" s="96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97" t="s">
        <v>77</v>
      </c>
      <c r="E44" s="94"/>
      <c r="F44" s="95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100" t="s">
        <v>78</v>
      </c>
      <c r="E45" s="96"/>
      <c r="F45" s="96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97" t="s">
        <v>79</v>
      </c>
      <c r="E46" s="98"/>
      <c r="F46" s="98"/>
      <c r="G46" s="98"/>
      <c r="H46" s="99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100" t="s">
        <v>80</v>
      </c>
      <c r="E47" s="101"/>
      <c r="F47" s="101"/>
      <c r="G47" s="101"/>
      <c r="H47" s="102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97" t="s">
        <v>81</v>
      </c>
      <c r="E48" s="98"/>
      <c r="F48" s="98"/>
      <c r="G48" s="98"/>
      <c r="H48" s="99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100" t="s">
        <v>82</v>
      </c>
      <c r="E49" s="101"/>
      <c r="F49" s="101"/>
      <c r="G49" s="101"/>
      <c r="H49" s="102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27" priority="7" operator="greaterThan">
      <formula>$AA$28</formula>
    </cfRule>
    <cfRule type="cellIs" dxfId="326" priority="8" operator="lessThan">
      <formula>$AA$29</formula>
    </cfRule>
  </conditionalFormatting>
  <conditionalFormatting sqref="I32:X33">
    <cfRule type="cellIs" dxfId="325" priority="5" operator="greaterThan">
      <formula>$AA$32</formula>
    </cfRule>
    <cfRule type="cellIs" dxfId="324" priority="6" operator="lessThan">
      <formula>$AA$33</formula>
    </cfRule>
  </conditionalFormatting>
  <conditionalFormatting sqref="I30:X31">
    <cfRule type="cellIs" dxfId="323" priority="3" operator="greaterThan">
      <formula>$AA$30</formula>
    </cfRule>
    <cfRule type="cellIs" dxfId="322" priority="4" operator="lessThan">
      <formula>$AA$31</formula>
    </cfRule>
  </conditionalFormatting>
  <conditionalFormatting sqref="I26:X27">
    <cfRule type="cellIs" dxfId="321" priority="1" operator="greaterThan">
      <formula>$AA$26</formula>
    </cfRule>
    <cfRule type="cellIs" dxfId="3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5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116" t="s">
        <v>2</v>
      </c>
      <c r="E2" s="42"/>
      <c r="F2" s="286" t="s">
        <v>93</v>
      </c>
      <c r="G2" s="286"/>
      <c r="H2" s="286"/>
      <c r="I2" s="286"/>
      <c r="J2" s="286"/>
      <c r="K2" s="340"/>
      <c r="L2" s="116" t="s">
        <v>4</v>
      </c>
      <c r="M2" s="286">
        <v>9</v>
      </c>
      <c r="N2" s="287"/>
      <c r="O2" s="116" t="s">
        <v>6</v>
      </c>
      <c r="P2" s="290" t="s">
        <v>83</v>
      </c>
      <c r="Q2" s="291"/>
      <c r="R2" s="291"/>
      <c r="S2" s="291"/>
      <c r="T2" s="291"/>
      <c r="U2" s="291"/>
      <c r="V2" s="292"/>
      <c r="W2" s="116" t="s">
        <v>34</v>
      </c>
      <c r="X2" s="32">
        <v>1</v>
      </c>
      <c r="Z2" s="34" t="s">
        <v>48</v>
      </c>
    </row>
    <row r="3" spans="1:26" ht="10" customHeight="1">
      <c r="A3" s="284" t="s">
        <v>1</v>
      </c>
      <c r="B3" s="285"/>
      <c r="C3" s="219"/>
      <c r="D3" s="117" t="s">
        <v>3</v>
      </c>
      <c r="E3" s="43"/>
      <c r="F3" s="341"/>
      <c r="G3" s="341"/>
      <c r="H3" s="341"/>
      <c r="I3" s="341"/>
      <c r="J3" s="341"/>
      <c r="K3" s="342"/>
      <c r="L3" s="117" t="s">
        <v>5</v>
      </c>
      <c r="M3" s="288"/>
      <c r="N3" s="289"/>
      <c r="O3" s="117" t="s">
        <v>7</v>
      </c>
      <c r="P3" s="293"/>
      <c r="Q3" s="293"/>
      <c r="R3" s="293"/>
      <c r="S3" s="293"/>
      <c r="T3" s="293"/>
      <c r="U3" s="293"/>
      <c r="V3" s="294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295" t="s">
        <v>107</v>
      </c>
      <c r="R4" s="296"/>
      <c r="S4" s="296"/>
      <c r="T4" s="297"/>
      <c r="U4" s="116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117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1</v>
      </c>
      <c r="J24" s="248"/>
      <c r="K24" s="248">
        <v>2</v>
      </c>
      <c r="L24" s="248"/>
      <c r="M24" s="248">
        <v>3</v>
      </c>
      <c r="N24" s="248"/>
      <c r="O24" s="248">
        <v>4</v>
      </c>
      <c r="P24" s="248"/>
      <c r="Q24" s="248">
        <v>5</v>
      </c>
      <c r="R24" s="248"/>
      <c r="S24" s="248">
        <v>6</v>
      </c>
      <c r="T24" s="248"/>
      <c r="U24" s="248">
        <v>7</v>
      </c>
      <c r="V24" s="248"/>
      <c r="W24" s="248">
        <v>8</v>
      </c>
      <c r="X24" s="248"/>
      <c r="Z24" s="50"/>
    </row>
    <row r="25" spans="1:28">
      <c r="A25" s="251" t="s">
        <v>15</v>
      </c>
      <c r="B25" s="252"/>
      <c r="C25" s="118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2.1070000000000002</v>
      </c>
      <c r="J26" s="229"/>
      <c r="K26" s="229">
        <v>2.1019999999999999</v>
      </c>
      <c r="L26" s="229"/>
      <c r="M26" s="229">
        <v>2.097</v>
      </c>
      <c r="N26" s="229"/>
      <c r="O26" s="229">
        <v>2.1030000000000002</v>
      </c>
      <c r="P26" s="229"/>
      <c r="Q26" s="229">
        <v>2.1</v>
      </c>
      <c r="R26" s="229"/>
      <c r="S26" s="229">
        <v>2.097</v>
      </c>
      <c r="T26" s="229"/>
      <c r="U26" s="229">
        <v>2.1040000000000001</v>
      </c>
      <c r="V26" s="229"/>
      <c r="W26" s="229">
        <v>2.1040000000000001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2</v>
      </c>
      <c r="J28" s="229"/>
      <c r="K28" s="229">
        <v>1.97</v>
      </c>
      <c r="L28" s="229"/>
      <c r="M28" s="229">
        <v>1.99</v>
      </c>
      <c r="N28" s="229"/>
      <c r="O28" s="229">
        <v>1.99</v>
      </c>
      <c r="P28" s="229"/>
      <c r="Q28" s="229">
        <v>1.99</v>
      </c>
      <c r="R28" s="229"/>
      <c r="S28" s="229">
        <v>1.99</v>
      </c>
      <c r="T28" s="229"/>
      <c r="U28" s="229">
        <v>1.99</v>
      </c>
      <c r="V28" s="229"/>
      <c r="W28" s="229">
        <v>1.99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2.0939999999999999</v>
      </c>
      <c r="J30" s="229"/>
      <c r="K30" s="229">
        <v>2.093</v>
      </c>
      <c r="L30" s="229"/>
      <c r="M30" s="229">
        <v>2.0920000000000001</v>
      </c>
      <c r="N30" s="229"/>
      <c r="O30" s="229">
        <v>2.0979999999999999</v>
      </c>
      <c r="P30" s="229"/>
      <c r="Q30" s="229">
        <v>2.093</v>
      </c>
      <c r="R30" s="229"/>
      <c r="S30" s="229">
        <v>2.0990000000000002</v>
      </c>
      <c r="T30" s="229"/>
      <c r="U30" s="229">
        <v>2.0840000000000001</v>
      </c>
      <c r="V30" s="229"/>
      <c r="W30" s="229">
        <v>2.0939999999999999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11</v>
      </c>
      <c r="J32" s="269"/>
      <c r="K32" s="269">
        <v>11</v>
      </c>
      <c r="L32" s="269"/>
      <c r="M32" s="269">
        <v>11.01</v>
      </c>
      <c r="N32" s="269"/>
      <c r="O32" s="269">
        <v>11.04</v>
      </c>
      <c r="P32" s="269"/>
      <c r="Q32" s="269">
        <v>11.03</v>
      </c>
      <c r="R32" s="269"/>
      <c r="S32" s="269">
        <v>11.01</v>
      </c>
      <c r="T32" s="269"/>
      <c r="U32" s="269">
        <v>11</v>
      </c>
      <c r="V32" s="269"/>
      <c r="W32" s="269">
        <v>11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110" t="s">
        <v>89</v>
      </c>
      <c r="E34" s="111"/>
      <c r="F34" s="111"/>
      <c r="G34" s="111"/>
      <c r="H34" s="112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113" t="s">
        <v>90</v>
      </c>
      <c r="E35" s="114"/>
      <c r="F35" s="114"/>
      <c r="G35" s="114"/>
      <c r="H35" s="115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113" t="s">
        <v>69</v>
      </c>
      <c r="E37" s="114"/>
      <c r="F37" s="114"/>
      <c r="G37" s="114"/>
      <c r="H37" s="115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110" t="s">
        <v>71</v>
      </c>
      <c r="E38" s="111"/>
      <c r="F38" s="111"/>
      <c r="G38" s="111"/>
      <c r="H38" s="112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113" t="s">
        <v>72</v>
      </c>
      <c r="E39" s="114"/>
      <c r="F39" s="114"/>
      <c r="G39" s="114"/>
      <c r="H39" s="115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110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113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110" t="s">
        <v>75</v>
      </c>
      <c r="E42" s="107"/>
      <c r="F42" s="108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113" t="s">
        <v>76</v>
      </c>
      <c r="E43" s="109"/>
      <c r="F43" s="109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110" t="s">
        <v>77</v>
      </c>
      <c r="E44" s="107"/>
      <c r="F44" s="108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113" t="s">
        <v>78</v>
      </c>
      <c r="E45" s="109"/>
      <c r="F45" s="109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110" t="s">
        <v>79</v>
      </c>
      <c r="E46" s="111"/>
      <c r="F46" s="111"/>
      <c r="G46" s="111"/>
      <c r="H46" s="112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113" t="s">
        <v>80</v>
      </c>
      <c r="E47" s="114"/>
      <c r="F47" s="114"/>
      <c r="G47" s="114"/>
      <c r="H47" s="115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110" t="s">
        <v>81</v>
      </c>
      <c r="E48" s="111"/>
      <c r="F48" s="111"/>
      <c r="G48" s="111"/>
      <c r="H48" s="112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113" t="s">
        <v>82</v>
      </c>
      <c r="E49" s="114"/>
      <c r="F49" s="114"/>
      <c r="G49" s="114"/>
      <c r="H49" s="115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19" priority="7" operator="greaterThan">
      <formula>$AA$28</formula>
    </cfRule>
    <cfRule type="cellIs" dxfId="318" priority="8" operator="lessThan">
      <formula>$AA$29</formula>
    </cfRule>
  </conditionalFormatting>
  <conditionalFormatting sqref="I32:X33">
    <cfRule type="cellIs" dxfId="317" priority="5" operator="greaterThan">
      <formula>$AA$32</formula>
    </cfRule>
    <cfRule type="cellIs" dxfId="316" priority="6" operator="lessThan">
      <formula>$AA$33</formula>
    </cfRule>
  </conditionalFormatting>
  <conditionalFormatting sqref="I30:X31">
    <cfRule type="cellIs" dxfId="315" priority="3" operator="greaterThan">
      <formula>$AA$30</formula>
    </cfRule>
    <cfRule type="cellIs" dxfId="314" priority="4" operator="lessThan">
      <formula>$AA$31</formula>
    </cfRule>
  </conditionalFormatting>
  <conditionalFormatting sqref="I26:X27">
    <cfRule type="cellIs" dxfId="313" priority="1" operator="greaterThan">
      <formula>$AA$26</formula>
    </cfRule>
    <cfRule type="cellIs" dxfId="3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6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116" t="s">
        <v>2</v>
      </c>
      <c r="E2" s="42"/>
      <c r="F2" s="286" t="s">
        <v>93</v>
      </c>
      <c r="G2" s="286"/>
      <c r="H2" s="286"/>
      <c r="I2" s="286"/>
      <c r="J2" s="286"/>
      <c r="K2" s="340"/>
      <c r="L2" s="116" t="s">
        <v>4</v>
      </c>
      <c r="M2" s="286">
        <v>9</v>
      </c>
      <c r="N2" s="287"/>
      <c r="O2" s="116" t="s">
        <v>6</v>
      </c>
      <c r="P2" s="290" t="s">
        <v>83</v>
      </c>
      <c r="Q2" s="291"/>
      <c r="R2" s="291"/>
      <c r="S2" s="291"/>
      <c r="T2" s="291"/>
      <c r="U2" s="291"/>
      <c r="V2" s="292"/>
      <c r="W2" s="116" t="s">
        <v>34</v>
      </c>
      <c r="X2" s="32">
        <v>2</v>
      </c>
      <c r="Z2" s="34" t="s">
        <v>48</v>
      </c>
    </row>
    <row r="3" spans="1:26" ht="10" customHeight="1">
      <c r="A3" s="284" t="s">
        <v>1</v>
      </c>
      <c r="B3" s="285"/>
      <c r="C3" s="219"/>
      <c r="D3" s="117" t="s">
        <v>3</v>
      </c>
      <c r="E3" s="43"/>
      <c r="F3" s="341"/>
      <c r="G3" s="341"/>
      <c r="H3" s="341"/>
      <c r="I3" s="341"/>
      <c r="J3" s="341"/>
      <c r="K3" s="342"/>
      <c r="L3" s="117" t="s">
        <v>5</v>
      </c>
      <c r="M3" s="288"/>
      <c r="N3" s="289"/>
      <c r="O3" s="117" t="s">
        <v>7</v>
      </c>
      <c r="P3" s="293"/>
      <c r="Q3" s="293"/>
      <c r="R3" s="293"/>
      <c r="S3" s="293"/>
      <c r="T3" s="293"/>
      <c r="U3" s="293"/>
      <c r="V3" s="294"/>
      <c r="W3" s="117" t="s">
        <v>8</v>
      </c>
      <c r="X3" s="10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6" t="s">
        <v>9</v>
      </c>
      <c r="P4" s="6"/>
      <c r="Q4" s="295" t="s">
        <v>106</v>
      </c>
      <c r="R4" s="296"/>
      <c r="S4" s="296"/>
      <c r="T4" s="297"/>
      <c r="U4" s="116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117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9</v>
      </c>
      <c r="J24" s="248"/>
      <c r="K24" s="248">
        <v>10</v>
      </c>
      <c r="L24" s="248"/>
      <c r="M24" s="248">
        <v>11</v>
      </c>
      <c r="N24" s="248"/>
      <c r="O24" s="248">
        <v>12</v>
      </c>
      <c r="P24" s="248"/>
      <c r="Q24" s="248">
        <v>13</v>
      </c>
      <c r="R24" s="248"/>
      <c r="S24" s="248">
        <v>14</v>
      </c>
      <c r="T24" s="248"/>
      <c r="U24" s="248">
        <v>15</v>
      </c>
      <c r="V24" s="248"/>
      <c r="W24" s="248">
        <v>16</v>
      </c>
      <c r="X24" s="248"/>
      <c r="Z24" s="50"/>
    </row>
    <row r="25" spans="1:28">
      <c r="A25" s="251" t="s">
        <v>15</v>
      </c>
      <c r="B25" s="252"/>
      <c r="C25" s="118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2.1</v>
      </c>
      <c r="J26" s="229"/>
      <c r="K26" s="229">
        <v>2.0960000000000001</v>
      </c>
      <c r="L26" s="229"/>
      <c r="M26" s="229">
        <v>2.097</v>
      </c>
      <c r="N26" s="229"/>
      <c r="O26" s="229">
        <v>2.1</v>
      </c>
      <c r="P26" s="229"/>
      <c r="Q26" s="229">
        <v>2.1059999999999999</v>
      </c>
      <c r="R26" s="229"/>
      <c r="S26" s="229">
        <v>2.0979999999999999</v>
      </c>
      <c r="T26" s="229"/>
      <c r="U26" s="229">
        <v>2.0990000000000002</v>
      </c>
      <c r="V26" s="229"/>
      <c r="W26" s="229">
        <v>2.0920000000000001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1.98</v>
      </c>
      <c r="J28" s="229"/>
      <c r="K28" s="229">
        <v>1.99</v>
      </c>
      <c r="L28" s="229"/>
      <c r="M28" s="229">
        <v>1.99</v>
      </c>
      <c r="N28" s="229"/>
      <c r="O28" s="229">
        <v>1.99</v>
      </c>
      <c r="P28" s="229"/>
      <c r="Q28" s="229">
        <v>1.98</v>
      </c>
      <c r="R28" s="229"/>
      <c r="S28" s="229">
        <v>1.99</v>
      </c>
      <c r="T28" s="229"/>
      <c r="U28" s="229">
        <v>1.99</v>
      </c>
      <c r="V28" s="229"/>
      <c r="W28" s="229">
        <v>1.98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2.0779999999999998</v>
      </c>
      <c r="J30" s="229"/>
      <c r="K30" s="229">
        <v>2.0880000000000001</v>
      </c>
      <c r="L30" s="229"/>
      <c r="M30" s="229">
        <v>2.093</v>
      </c>
      <c r="N30" s="229"/>
      <c r="O30" s="229">
        <v>2.1</v>
      </c>
      <c r="P30" s="229"/>
      <c r="Q30" s="229">
        <v>2.1019999999999999</v>
      </c>
      <c r="R30" s="229"/>
      <c r="S30" s="229">
        <v>2.0920000000000001</v>
      </c>
      <c r="T30" s="229"/>
      <c r="U30" s="229">
        <v>2.09</v>
      </c>
      <c r="V30" s="229"/>
      <c r="W30" s="229">
        <v>2.0790000000000002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10.99</v>
      </c>
      <c r="J32" s="269"/>
      <c r="K32" s="269">
        <v>10.99</v>
      </c>
      <c r="L32" s="269"/>
      <c r="M32" s="269">
        <v>11.01</v>
      </c>
      <c r="N32" s="269"/>
      <c r="O32" s="269">
        <v>11.03</v>
      </c>
      <c r="P32" s="269"/>
      <c r="Q32" s="269">
        <v>11.03</v>
      </c>
      <c r="R32" s="269"/>
      <c r="S32" s="269">
        <v>11.02</v>
      </c>
      <c r="T32" s="269"/>
      <c r="U32" s="269">
        <v>10.99</v>
      </c>
      <c r="V32" s="269"/>
      <c r="W32" s="269">
        <v>11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110" t="s">
        <v>89</v>
      </c>
      <c r="E34" s="111"/>
      <c r="F34" s="111"/>
      <c r="G34" s="111"/>
      <c r="H34" s="112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113" t="s">
        <v>90</v>
      </c>
      <c r="E35" s="114"/>
      <c r="F35" s="114"/>
      <c r="G35" s="114"/>
      <c r="H35" s="115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113" t="s">
        <v>69</v>
      </c>
      <c r="E37" s="114"/>
      <c r="F37" s="114"/>
      <c r="G37" s="114"/>
      <c r="H37" s="115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110" t="s">
        <v>71</v>
      </c>
      <c r="E38" s="111"/>
      <c r="F38" s="111"/>
      <c r="G38" s="111"/>
      <c r="H38" s="112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113" t="s">
        <v>72</v>
      </c>
      <c r="E39" s="114"/>
      <c r="F39" s="114"/>
      <c r="G39" s="114"/>
      <c r="H39" s="115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110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113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110" t="s">
        <v>75</v>
      </c>
      <c r="E42" s="107"/>
      <c r="F42" s="108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113" t="s">
        <v>76</v>
      </c>
      <c r="E43" s="109"/>
      <c r="F43" s="109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110" t="s">
        <v>77</v>
      </c>
      <c r="E44" s="107"/>
      <c r="F44" s="108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113" t="s">
        <v>78</v>
      </c>
      <c r="E45" s="109"/>
      <c r="F45" s="109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110" t="s">
        <v>79</v>
      </c>
      <c r="E46" s="111"/>
      <c r="F46" s="111"/>
      <c r="G46" s="111"/>
      <c r="H46" s="112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113" t="s">
        <v>80</v>
      </c>
      <c r="E47" s="114"/>
      <c r="F47" s="114"/>
      <c r="G47" s="114"/>
      <c r="H47" s="115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110" t="s">
        <v>81</v>
      </c>
      <c r="E48" s="111"/>
      <c r="F48" s="111"/>
      <c r="G48" s="111"/>
      <c r="H48" s="112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113" t="s">
        <v>82</v>
      </c>
      <c r="E49" s="114"/>
      <c r="F49" s="114"/>
      <c r="G49" s="114"/>
      <c r="H49" s="115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11" priority="7" operator="greaterThan">
      <formula>$AA$28</formula>
    </cfRule>
    <cfRule type="cellIs" dxfId="310" priority="8" operator="lessThan">
      <formula>$AA$29</formula>
    </cfRule>
  </conditionalFormatting>
  <conditionalFormatting sqref="I32:X33">
    <cfRule type="cellIs" dxfId="309" priority="5" operator="greaterThan">
      <formula>$AA$32</formula>
    </cfRule>
    <cfRule type="cellIs" dxfId="308" priority="6" operator="lessThan">
      <formula>$AA$33</formula>
    </cfRule>
  </conditionalFormatting>
  <conditionalFormatting sqref="I30:X31">
    <cfRule type="cellIs" dxfId="307" priority="3" operator="greaterThan">
      <formula>$AA$30</formula>
    </cfRule>
    <cfRule type="cellIs" dxfId="306" priority="4" operator="lessThan">
      <formula>$AA$31</formula>
    </cfRule>
  </conditionalFormatting>
  <conditionalFormatting sqref="I26:X27">
    <cfRule type="cellIs" dxfId="305" priority="1" operator="greaterThan">
      <formula>$AA$26</formula>
    </cfRule>
    <cfRule type="cellIs" dxfId="3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7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127" t="s">
        <v>2</v>
      </c>
      <c r="E2" s="42"/>
      <c r="F2" s="286" t="s">
        <v>93</v>
      </c>
      <c r="G2" s="286"/>
      <c r="H2" s="286"/>
      <c r="I2" s="286"/>
      <c r="J2" s="286"/>
      <c r="K2" s="340"/>
      <c r="L2" s="127" t="s">
        <v>4</v>
      </c>
      <c r="M2" s="286">
        <v>9</v>
      </c>
      <c r="N2" s="287"/>
      <c r="O2" s="127" t="s">
        <v>6</v>
      </c>
      <c r="P2" s="290" t="s">
        <v>83</v>
      </c>
      <c r="Q2" s="291"/>
      <c r="R2" s="291"/>
      <c r="S2" s="291"/>
      <c r="T2" s="291"/>
      <c r="U2" s="291"/>
      <c r="V2" s="292"/>
      <c r="W2" s="127" t="s">
        <v>34</v>
      </c>
      <c r="X2" s="32">
        <v>1</v>
      </c>
      <c r="Z2" s="34" t="s">
        <v>48</v>
      </c>
    </row>
    <row r="3" spans="1:26" ht="10" customHeight="1">
      <c r="A3" s="284" t="s">
        <v>1</v>
      </c>
      <c r="B3" s="285"/>
      <c r="C3" s="219"/>
      <c r="D3" s="128" t="s">
        <v>3</v>
      </c>
      <c r="E3" s="43"/>
      <c r="F3" s="341"/>
      <c r="G3" s="341"/>
      <c r="H3" s="341"/>
      <c r="I3" s="341"/>
      <c r="J3" s="341"/>
      <c r="K3" s="342"/>
      <c r="L3" s="128" t="s">
        <v>5</v>
      </c>
      <c r="M3" s="288"/>
      <c r="N3" s="289"/>
      <c r="O3" s="128" t="s">
        <v>7</v>
      </c>
      <c r="P3" s="293"/>
      <c r="Q3" s="293"/>
      <c r="R3" s="293"/>
      <c r="S3" s="293"/>
      <c r="T3" s="293"/>
      <c r="U3" s="293"/>
      <c r="V3" s="294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295" t="s">
        <v>109</v>
      </c>
      <c r="R4" s="296"/>
      <c r="S4" s="296"/>
      <c r="T4" s="297"/>
      <c r="U4" s="127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128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1</v>
      </c>
      <c r="J24" s="248"/>
      <c r="K24" s="248">
        <v>2</v>
      </c>
      <c r="L24" s="248"/>
      <c r="M24" s="248">
        <v>3</v>
      </c>
      <c r="N24" s="248"/>
      <c r="O24" s="248">
        <v>4</v>
      </c>
      <c r="P24" s="248"/>
      <c r="Q24" s="248">
        <v>5</v>
      </c>
      <c r="R24" s="248"/>
      <c r="S24" s="248">
        <v>6</v>
      </c>
      <c r="T24" s="248"/>
      <c r="U24" s="248">
        <v>7</v>
      </c>
      <c r="V24" s="248"/>
      <c r="W24" s="248">
        <v>8</v>
      </c>
      <c r="X24" s="248"/>
      <c r="Z24" s="50"/>
    </row>
    <row r="25" spans="1:28">
      <c r="A25" s="251" t="s">
        <v>15</v>
      </c>
      <c r="B25" s="252"/>
      <c r="C25" s="125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2.1</v>
      </c>
      <c r="J26" s="229"/>
      <c r="K26" s="229">
        <v>2.1070000000000002</v>
      </c>
      <c r="L26" s="229"/>
      <c r="M26" s="229">
        <v>2.0950000000000002</v>
      </c>
      <c r="N26" s="229"/>
      <c r="O26" s="229">
        <v>2.1</v>
      </c>
      <c r="P26" s="229"/>
      <c r="Q26" s="229">
        <v>2.0950000000000002</v>
      </c>
      <c r="R26" s="229"/>
      <c r="S26" s="229">
        <v>2.105</v>
      </c>
      <c r="T26" s="229"/>
      <c r="U26" s="229">
        <v>2.0990000000000002</v>
      </c>
      <c r="V26" s="229"/>
      <c r="W26" s="229">
        <v>2.0960000000000001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1.98</v>
      </c>
      <c r="J28" s="229"/>
      <c r="K28" s="229">
        <v>1.97</v>
      </c>
      <c r="L28" s="229"/>
      <c r="M28" s="229">
        <v>1.99</v>
      </c>
      <c r="N28" s="229"/>
      <c r="O28" s="229">
        <v>1.99</v>
      </c>
      <c r="P28" s="229"/>
      <c r="Q28" s="229">
        <v>1.99</v>
      </c>
      <c r="R28" s="229"/>
      <c r="S28" s="229">
        <v>1.99</v>
      </c>
      <c r="T28" s="229"/>
      <c r="U28" s="229">
        <v>1.99</v>
      </c>
      <c r="V28" s="229"/>
      <c r="W28" s="229">
        <v>2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2.0880000000000001</v>
      </c>
      <c r="J30" s="229"/>
      <c r="K30" s="229">
        <v>2.0950000000000002</v>
      </c>
      <c r="L30" s="229"/>
      <c r="M30" s="229">
        <v>2.0950000000000002</v>
      </c>
      <c r="N30" s="229"/>
      <c r="O30" s="229">
        <v>2.0920000000000001</v>
      </c>
      <c r="P30" s="229"/>
      <c r="Q30" s="229">
        <v>2.0990000000000002</v>
      </c>
      <c r="R30" s="229"/>
      <c r="S30" s="229">
        <v>2.097</v>
      </c>
      <c r="T30" s="229"/>
      <c r="U30" s="229">
        <v>2.0870000000000002</v>
      </c>
      <c r="V30" s="229"/>
      <c r="W30" s="229">
        <v>2.09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11</v>
      </c>
      <c r="J32" s="269"/>
      <c r="K32" s="269">
        <v>11</v>
      </c>
      <c r="L32" s="269"/>
      <c r="M32" s="269">
        <v>11.01</v>
      </c>
      <c r="N32" s="269"/>
      <c r="O32" s="269">
        <v>11.03</v>
      </c>
      <c r="P32" s="269"/>
      <c r="Q32" s="269">
        <v>11.03</v>
      </c>
      <c r="R32" s="269"/>
      <c r="S32" s="269">
        <v>11.01</v>
      </c>
      <c r="T32" s="269"/>
      <c r="U32" s="269">
        <v>10.99</v>
      </c>
      <c r="V32" s="269"/>
      <c r="W32" s="269">
        <v>10.99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119" t="s">
        <v>89</v>
      </c>
      <c r="E34" s="120"/>
      <c r="F34" s="120"/>
      <c r="G34" s="120"/>
      <c r="H34" s="121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122" t="s">
        <v>90</v>
      </c>
      <c r="E35" s="123"/>
      <c r="F35" s="123"/>
      <c r="G35" s="123"/>
      <c r="H35" s="124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122" t="s">
        <v>69</v>
      </c>
      <c r="E37" s="123"/>
      <c r="F37" s="123"/>
      <c r="G37" s="123"/>
      <c r="H37" s="124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119" t="s">
        <v>71</v>
      </c>
      <c r="E38" s="120"/>
      <c r="F38" s="120"/>
      <c r="G38" s="120"/>
      <c r="H38" s="121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122" t="s">
        <v>72</v>
      </c>
      <c r="E39" s="123"/>
      <c r="F39" s="123"/>
      <c r="G39" s="123"/>
      <c r="H39" s="124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119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122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119" t="s">
        <v>75</v>
      </c>
      <c r="E42" s="126"/>
      <c r="F42" s="130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122" t="s">
        <v>76</v>
      </c>
      <c r="E43" s="131"/>
      <c r="F43" s="131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119" t="s">
        <v>77</v>
      </c>
      <c r="E44" s="126"/>
      <c r="F44" s="130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122" t="s">
        <v>78</v>
      </c>
      <c r="E45" s="131"/>
      <c r="F45" s="131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119" t="s">
        <v>79</v>
      </c>
      <c r="E46" s="120"/>
      <c r="F46" s="120"/>
      <c r="G46" s="120"/>
      <c r="H46" s="121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122" t="s">
        <v>80</v>
      </c>
      <c r="E47" s="123"/>
      <c r="F47" s="123"/>
      <c r="G47" s="123"/>
      <c r="H47" s="12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119" t="s">
        <v>81</v>
      </c>
      <c r="E48" s="120"/>
      <c r="F48" s="120"/>
      <c r="G48" s="120"/>
      <c r="H48" s="121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122" t="s">
        <v>82</v>
      </c>
      <c r="E49" s="123"/>
      <c r="F49" s="123"/>
      <c r="G49" s="123"/>
      <c r="H49" s="124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03" priority="7" operator="greaterThan">
      <formula>$AA$28</formula>
    </cfRule>
    <cfRule type="cellIs" dxfId="302" priority="8" operator="lessThan">
      <formula>$AA$29</formula>
    </cfRule>
  </conditionalFormatting>
  <conditionalFormatting sqref="I32:X33">
    <cfRule type="cellIs" dxfId="301" priority="5" operator="greaterThan">
      <formula>$AA$32</formula>
    </cfRule>
    <cfRule type="cellIs" dxfId="300" priority="6" operator="lessThan">
      <formula>$AA$33</formula>
    </cfRule>
  </conditionalFormatting>
  <conditionalFormatting sqref="I30:X31">
    <cfRule type="cellIs" dxfId="299" priority="3" operator="greaterThan">
      <formula>$AA$30</formula>
    </cfRule>
    <cfRule type="cellIs" dxfId="298" priority="4" operator="lessThan">
      <formula>$AA$31</formula>
    </cfRule>
  </conditionalFormatting>
  <conditionalFormatting sqref="I26:X27">
    <cfRule type="cellIs" dxfId="297" priority="1" operator="greaterThan">
      <formula>$AA$26</formula>
    </cfRule>
    <cfRule type="cellIs" dxfId="2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18"/>
  <dimension ref="A1:AB80"/>
  <sheetViews>
    <sheetView showGridLines="0" topLeftCell="A19" zoomScale="145" zoomScaleNormal="145" workbookViewId="0">
      <selection activeCell="S28" sqref="S28:T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127" t="s">
        <v>2</v>
      </c>
      <c r="E2" s="42"/>
      <c r="F2" s="286" t="s">
        <v>93</v>
      </c>
      <c r="G2" s="286"/>
      <c r="H2" s="286"/>
      <c r="I2" s="286"/>
      <c r="J2" s="286"/>
      <c r="K2" s="340"/>
      <c r="L2" s="127" t="s">
        <v>4</v>
      </c>
      <c r="M2" s="286">
        <v>9</v>
      </c>
      <c r="N2" s="287"/>
      <c r="O2" s="127" t="s">
        <v>6</v>
      </c>
      <c r="P2" s="290" t="s">
        <v>83</v>
      </c>
      <c r="Q2" s="291"/>
      <c r="R2" s="291"/>
      <c r="S2" s="291"/>
      <c r="T2" s="291"/>
      <c r="U2" s="291"/>
      <c r="V2" s="292"/>
      <c r="W2" s="127" t="s">
        <v>34</v>
      </c>
      <c r="X2" s="32">
        <v>2</v>
      </c>
      <c r="Z2" s="34" t="s">
        <v>48</v>
      </c>
    </row>
    <row r="3" spans="1:26" ht="10" customHeight="1">
      <c r="A3" s="284" t="s">
        <v>1</v>
      </c>
      <c r="B3" s="285"/>
      <c r="C3" s="219"/>
      <c r="D3" s="128" t="s">
        <v>3</v>
      </c>
      <c r="E3" s="43"/>
      <c r="F3" s="341"/>
      <c r="G3" s="341"/>
      <c r="H3" s="341"/>
      <c r="I3" s="341"/>
      <c r="J3" s="341"/>
      <c r="K3" s="342"/>
      <c r="L3" s="128" t="s">
        <v>5</v>
      </c>
      <c r="M3" s="288"/>
      <c r="N3" s="289"/>
      <c r="O3" s="128" t="s">
        <v>7</v>
      </c>
      <c r="P3" s="293"/>
      <c r="Q3" s="293"/>
      <c r="R3" s="293"/>
      <c r="S3" s="293"/>
      <c r="T3" s="293"/>
      <c r="U3" s="293"/>
      <c r="V3" s="294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295" t="s">
        <v>108</v>
      </c>
      <c r="R4" s="296"/>
      <c r="S4" s="296"/>
      <c r="T4" s="297"/>
      <c r="U4" s="127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128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9</v>
      </c>
      <c r="J24" s="248"/>
      <c r="K24" s="248">
        <v>10</v>
      </c>
      <c r="L24" s="248"/>
      <c r="M24" s="248">
        <v>11</v>
      </c>
      <c r="N24" s="248"/>
      <c r="O24" s="248">
        <v>12</v>
      </c>
      <c r="P24" s="248"/>
      <c r="Q24" s="248">
        <v>13</v>
      </c>
      <c r="R24" s="248"/>
      <c r="S24" s="248">
        <v>14</v>
      </c>
      <c r="T24" s="248"/>
      <c r="U24" s="248">
        <v>15</v>
      </c>
      <c r="V24" s="248"/>
      <c r="W24" s="248">
        <v>16</v>
      </c>
      <c r="X24" s="248"/>
      <c r="Z24" s="50"/>
    </row>
    <row r="25" spans="1:28">
      <c r="A25" s="251" t="s">
        <v>15</v>
      </c>
      <c r="B25" s="252"/>
      <c r="C25" s="125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2.101</v>
      </c>
      <c r="J26" s="229"/>
      <c r="K26" s="229">
        <v>2.0939999999999999</v>
      </c>
      <c r="L26" s="229"/>
      <c r="M26" s="229">
        <v>2.1</v>
      </c>
      <c r="N26" s="229"/>
      <c r="O26" s="229">
        <v>2.1030000000000002</v>
      </c>
      <c r="P26" s="229"/>
      <c r="Q26" s="229">
        <v>2.105</v>
      </c>
      <c r="R26" s="229"/>
      <c r="S26" s="229">
        <v>2.0960000000000001</v>
      </c>
      <c r="T26" s="229"/>
      <c r="U26" s="229">
        <v>2.1</v>
      </c>
      <c r="V26" s="229"/>
      <c r="W26" s="229">
        <v>2.0910000000000002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1.98</v>
      </c>
      <c r="J28" s="229"/>
      <c r="K28" s="229">
        <v>1.99</v>
      </c>
      <c r="L28" s="229"/>
      <c r="M28" s="229">
        <v>1.99</v>
      </c>
      <c r="N28" s="229"/>
      <c r="O28" s="229">
        <v>1.99</v>
      </c>
      <c r="P28" s="229"/>
      <c r="Q28" s="229">
        <v>1.98</v>
      </c>
      <c r="R28" s="229"/>
      <c r="S28" s="229">
        <v>1.99</v>
      </c>
      <c r="T28" s="229"/>
      <c r="U28" s="229">
        <v>1.99</v>
      </c>
      <c r="V28" s="229"/>
      <c r="W28" s="229">
        <v>1.98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2.0819999999999999</v>
      </c>
      <c r="J30" s="229"/>
      <c r="K30" s="229">
        <v>2.0859999999999999</v>
      </c>
      <c r="L30" s="229"/>
      <c r="M30" s="229">
        <v>2.0920000000000001</v>
      </c>
      <c r="N30" s="229"/>
      <c r="O30" s="229">
        <v>2.0950000000000002</v>
      </c>
      <c r="P30" s="229"/>
      <c r="Q30" s="229">
        <v>2.0990000000000002</v>
      </c>
      <c r="R30" s="229"/>
      <c r="S30" s="229">
        <v>2.0939999999999999</v>
      </c>
      <c r="T30" s="229"/>
      <c r="U30" s="229">
        <v>2.085</v>
      </c>
      <c r="V30" s="229"/>
      <c r="W30" s="229">
        <v>2.089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11</v>
      </c>
      <c r="J32" s="269"/>
      <c r="K32" s="269">
        <v>11</v>
      </c>
      <c r="L32" s="269"/>
      <c r="M32" s="269">
        <v>11.01</v>
      </c>
      <c r="N32" s="269"/>
      <c r="O32" s="269">
        <v>11.03</v>
      </c>
      <c r="P32" s="269"/>
      <c r="Q32" s="269">
        <v>11.02</v>
      </c>
      <c r="R32" s="269"/>
      <c r="S32" s="269">
        <v>11.01</v>
      </c>
      <c r="T32" s="269"/>
      <c r="U32" s="269">
        <v>10.99</v>
      </c>
      <c r="V32" s="269"/>
      <c r="W32" s="269">
        <v>10.99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119" t="s">
        <v>89</v>
      </c>
      <c r="E34" s="120"/>
      <c r="F34" s="120"/>
      <c r="G34" s="120"/>
      <c r="H34" s="121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122" t="s">
        <v>90</v>
      </c>
      <c r="E35" s="123"/>
      <c r="F35" s="123"/>
      <c r="G35" s="123"/>
      <c r="H35" s="124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122" t="s">
        <v>69</v>
      </c>
      <c r="E37" s="123"/>
      <c r="F37" s="123"/>
      <c r="G37" s="123"/>
      <c r="H37" s="124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119" t="s">
        <v>71</v>
      </c>
      <c r="E38" s="120"/>
      <c r="F38" s="120"/>
      <c r="G38" s="120"/>
      <c r="H38" s="121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122" t="s">
        <v>72</v>
      </c>
      <c r="E39" s="123"/>
      <c r="F39" s="123"/>
      <c r="G39" s="123"/>
      <c r="H39" s="124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119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122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119" t="s">
        <v>75</v>
      </c>
      <c r="E42" s="126"/>
      <c r="F42" s="130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122" t="s">
        <v>76</v>
      </c>
      <c r="E43" s="131"/>
      <c r="F43" s="131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119" t="s">
        <v>77</v>
      </c>
      <c r="E44" s="126"/>
      <c r="F44" s="130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122" t="s">
        <v>78</v>
      </c>
      <c r="E45" s="131"/>
      <c r="F45" s="131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119" t="s">
        <v>79</v>
      </c>
      <c r="E46" s="120"/>
      <c r="F46" s="120"/>
      <c r="G46" s="120"/>
      <c r="H46" s="121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122" t="s">
        <v>80</v>
      </c>
      <c r="E47" s="123"/>
      <c r="F47" s="123"/>
      <c r="G47" s="123"/>
      <c r="H47" s="12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119" t="s">
        <v>81</v>
      </c>
      <c r="E48" s="120"/>
      <c r="F48" s="120"/>
      <c r="G48" s="120"/>
      <c r="H48" s="121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122" t="s">
        <v>82</v>
      </c>
      <c r="E49" s="123"/>
      <c r="F49" s="123"/>
      <c r="G49" s="123"/>
      <c r="H49" s="124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95" priority="7" operator="greaterThan">
      <formula>$AA$28</formula>
    </cfRule>
    <cfRule type="cellIs" dxfId="294" priority="8" operator="lessThan">
      <formula>$AA$29</formula>
    </cfRule>
  </conditionalFormatting>
  <conditionalFormatting sqref="I32:X33">
    <cfRule type="cellIs" dxfId="293" priority="5" operator="greaterThan">
      <formula>$AA$32</formula>
    </cfRule>
    <cfRule type="cellIs" dxfId="292" priority="6" operator="lessThan">
      <formula>$AA$33</formula>
    </cfRule>
  </conditionalFormatting>
  <conditionalFormatting sqref="I30:X31">
    <cfRule type="cellIs" dxfId="291" priority="3" operator="greaterThan">
      <formula>$AA$30</formula>
    </cfRule>
    <cfRule type="cellIs" dxfId="290" priority="4" operator="lessThan">
      <formula>$AA$31</formula>
    </cfRule>
  </conditionalFormatting>
  <conditionalFormatting sqref="I26:X27">
    <cfRule type="cellIs" dxfId="289" priority="1" operator="greaterThan">
      <formula>$AA$26</formula>
    </cfRule>
    <cfRule type="cellIs" dxfId="2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19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142" t="s">
        <v>2</v>
      </c>
      <c r="E2" s="42"/>
      <c r="F2" s="286" t="s">
        <v>93</v>
      </c>
      <c r="G2" s="286"/>
      <c r="H2" s="286"/>
      <c r="I2" s="286"/>
      <c r="J2" s="286"/>
      <c r="K2" s="340"/>
      <c r="L2" s="142" t="s">
        <v>4</v>
      </c>
      <c r="M2" s="286">
        <v>9</v>
      </c>
      <c r="N2" s="287"/>
      <c r="O2" s="142" t="s">
        <v>6</v>
      </c>
      <c r="P2" s="290" t="s">
        <v>83</v>
      </c>
      <c r="Q2" s="291"/>
      <c r="R2" s="291"/>
      <c r="S2" s="291"/>
      <c r="T2" s="291"/>
      <c r="U2" s="291"/>
      <c r="V2" s="292"/>
      <c r="W2" s="142" t="s">
        <v>34</v>
      </c>
      <c r="X2" s="32">
        <v>1</v>
      </c>
      <c r="Z2" s="34" t="s">
        <v>48</v>
      </c>
    </row>
    <row r="3" spans="1:26" ht="10" customHeight="1">
      <c r="A3" s="284" t="s">
        <v>1</v>
      </c>
      <c r="B3" s="285"/>
      <c r="C3" s="219"/>
      <c r="D3" s="143" t="s">
        <v>3</v>
      </c>
      <c r="E3" s="43"/>
      <c r="F3" s="341"/>
      <c r="G3" s="341"/>
      <c r="H3" s="341"/>
      <c r="I3" s="341"/>
      <c r="J3" s="341"/>
      <c r="K3" s="342"/>
      <c r="L3" s="143" t="s">
        <v>5</v>
      </c>
      <c r="M3" s="288"/>
      <c r="N3" s="289"/>
      <c r="O3" s="143" t="s">
        <v>7</v>
      </c>
      <c r="P3" s="293"/>
      <c r="Q3" s="293"/>
      <c r="R3" s="293"/>
      <c r="S3" s="293"/>
      <c r="T3" s="293"/>
      <c r="U3" s="293"/>
      <c r="V3" s="294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95" t="s">
        <v>110</v>
      </c>
      <c r="R4" s="296"/>
      <c r="S4" s="296"/>
      <c r="T4" s="297"/>
      <c r="U4" s="142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143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1</v>
      </c>
      <c r="J24" s="248"/>
      <c r="K24" s="248">
        <v>2</v>
      </c>
      <c r="L24" s="248"/>
      <c r="M24" s="248">
        <v>3</v>
      </c>
      <c r="N24" s="248"/>
      <c r="O24" s="248">
        <v>4</v>
      </c>
      <c r="P24" s="248"/>
      <c r="Q24" s="248">
        <v>5</v>
      </c>
      <c r="R24" s="248"/>
      <c r="S24" s="248">
        <v>6</v>
      </c>
      <c r="T24" s="248"/>
      <c r="U24" s="248">
        <v>7</v>
      </c>
      <c r="V24" s="248"/>
      <c r="W24" s="248">
        <v>8</v>
      </c>
      <c r="X24" s="248"/>
      <c r="Z24" s="50"/>
    </row>
    <row r="25" spans="1:28">
      <c r="A25" s="251" t="s">
        <v>15</v>
      </c>
      <c r="B25" s="252"/>
      <c r="C25" s="144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2.0979999999999999</v>
      </c>
      <c r="J26" s="229"/>
      <c r="K26" s="229">
        <v>2.0979999999999999</v>
      </c>
      <c r="L26" s="229"/>
      <c r="M26" s="229">
        <v>2.0979999999999999</v>
      </c>
      <c r="N26" s="229"/>
      <c r="O26" s="229">
        <v>2.1040000000000001</v>
      </c>
      <c r="P26" s="229"/>
      <c r="Q26" s="229">
        <v>2.0960000000000001</v>
      </c>
      <c r="R26" s="229"/>
      <c r="S26" s="229">
        <v>2.097</v>
      </c>
      <c r="T26" s="229"/>
      <c r="U26" s="229">
        <v>2.101</v>
      </c>
      <c r="V26" s="229"/>
      <c r="W26" s="229">
        <v>2.0990000000000002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1.98</v>
      </c>
      <c r="J28" s="229"/>
      <c r="K28" s="229">
        <v>1.97</v>
      </c>
      <c r="L28" s="229"/>
      <c r="M28" s="229">
        <v>1.99</v>
      </c>
      <c r="N28" s="229"/>
      <c r="O28" s="229">
        <v>1.99</v>
      </c>
      <c r="P28" s="229"/>
      <c r="Q28" s="229">
        <v>1.99</v>
      </c>
      <c r="R28" s="229"/>
      <c r="S28" s="229">
        <v>1.99</v>
      </c>
      <c r="T28" s="229"/>
      <c r="U28" s="229">
        <v>1.99</v>
      </c>
      <c r="V28" s="229"/>
      <c r="W28" s="229">
        <v>2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2.0880000000000001</v>
      </c>
      <c r="J30" s="229"/>
      <c r="K30" s="229">
        <v>2.089</v>
      </c>
      <c r="L30" s="229"/>
      <c r="M30" s="229">
        <v>2.0910000000000002</v>
      </c>
      <c r="N30" s="229"/>
      <c r="O30" s="229">
        <v>2.0950000000000002</v>
      </c>
      <c r="P30" s="229"/>
      <c r="Q30" s="229">
        <v>2.097</v>
      </c>
      <c r="R30" s="229"/>
      <c r="S30" s="229">
        <v>2.093</v>
      </c>
      <c r="T30" s="229"/>
      <c r="U30" s="229">
        <v>2.0859999999999999</v>
      </c>
      <c r="V30" s="229"/>
      <c r="W30" s="229">
        <v>2.0830000000000002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10.99</v>
      </c>
      <c r="J32" s="269"/>
      <c r="K32" s="269">
        <v>10.99</v>
      </c>
      <c r="L32" s="269"/>
      <c r="M32" s="269">
        <v>11.01</v>
      </c>
      <c r="N32" s="269"/>
      <c r="O32" s="269">
        <v>11.01</v>
      </c>
      <c r="P32" s="269"/>
      <c r="Q32" s="269">
        <v>11.01</v>
      </c>
      <c r="R32" s="269"/>
      <c r="S32" s="269">
        <v>11</v>
      </c>
      <c r="T32" s="269"/>
      <c r="U32" s="269">
        <v>10.99</v>
      </c>
      <c r="V32" s="269"/>
      <c r="W32" s="269">
        <v>10.99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136" t="s">
        <v>89</v>
      </c>
      <c r="E34" s="137"/>
      <c r="F34" s="137"/>
      <c r="G34" s="137"/>
      <c r="H34" s="138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139" t="s">
        <v>90</v>
      </c>
      <c r="E35" s="140"/>
      <c r="F35" s="140"/>
      <c r="G35" s="140"/>
      <c r="H35" s="141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139" t="s">
        <v>69</v>
      </c>
      <c r="E37" s="140"/>
      <c r="F37" s="140"/>
      <c r="G37" s="140"/>
      <c r="H37" s="141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136" t="s">
        <v>71</v>
      </c>
      <c r="E38" s="137"/>
      <c r="F38" s="137"/>
      <c r="G38" s="137"/>
      <c r="H38" s="138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139" t="s">
        <v>72</v>
      </c>
      <c r="E39" s="140"/>
      <c r="F39" s="140"/>
      <c r="G39" s="140"/>
      <c r="H39" s="141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136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139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136" t="s">
        <v>75</v>
      </c>
      <c r="E42" s="133"/>
      <c r="F42" s="134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139" t="s">
        <v>76</v>
      </c>
      <c r="E43" s="135"/>
      <c r="F43" s="135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136" t="s">
        <v>77</v>
      </c>
      <c r="E44" s="133"/>
      <c r="F44" s="134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139" t="s">
        <v>78</v>
      </c>
      <c r="E45" s="135"/>
      <c r="F45" s="135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136" t="s">
        <v>79</v>
      </c>
      <c r="E46" s="137"/>
      <c r="F46" s="137"/>
      <c r="G46" s="137"/>
      <c r="H46" s="138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139" t="s">
        <v>80</v>
      </c>
      <c r="E47" s="140"/>
      <c r="F47" s="140"/>
      <c r="G47" s="140"/>
      <c r="H47" s="141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136" t="s">
        <v>81</v>
      </c>
      <c r="E48" s="137"/>
      <c r="F48" s="137"/>
      <c r="G48" s="137"/>
      <c r="H48" s="138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139" t="s">
        <v>82</v>
      </c>
      <c r="E49" s="140"/>
      <c r="F49" s="140"/>
      <c r="G49" s="140"/>
      <c r="H49" s="141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87" priority="7" operator="greaterThan">
      <formula>$AA$28</formula>
    </cfRule>
    <cfRule type="cellIs" dxfId="286" priority="8" operator="lessThan">
      <formula>$AA$29</formula>
    </cfRule>
  </conditionalFormatting>
  <conditionalFormatting sqref="I32:X33">
    <cfRule type="cellIs" dxfId="285" priority="5" operator="greaterThan">
      <formula>$AA$32</formula>
    </cfRule>
    <cfRule type="cellIs" dxfId="284" priority="6" operator="lessThan">
      <formula>$AA$33</formula>
    </cfRule>
  </conditionalFormatting>
  <conditionalFormatting sqref="I30:X31">
    <cfRule type="cellIs" dxfId="283" priority="3" operator="greaterThan">
      <formula>$AA$30</formula>
    </cfRule>
    <cfRule type="cellIs" dxfId="282" priority="4" operator="lessThan">
      <formula>$AA$31</formula>
    </cfRule>
  </conditionalFormatting>
  <conditionalFormatting sqref="I26:X27">
    <cfRule type="cellIs" dxfId="281" priority="1" operator="greaterThan">
      <formula>$AA$26</formula>
    </cfRule>
    <cfRule type="cellIs" dxfId="2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20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142" t="s">
        <v>2</v>
      </c>
      <c r="E2" s="42"/>
      <c r="F2" s="286" t="s">
        <v>93</v>
      </c>
      <c r="G2" s="286"/>
      <c r="H2" s="286"/>
      <c r="I2" s="286"/>
      <c r="J2" s="286"/>
      <c r="K2" s="340"/>
      <c r="L2" s="142" t="s">
        <v>4</v>
      </c>
      <c r="M2" s="286">
        <v>9</v>
      </c>
      <c r="N2" s="287"/>
      <c r="O2" s="142" t="s">
        <v>6</v>
      </c>
      <c r="P2" s="290" t="s">
        <v>83</v>
      </c>
      <c r="Q2" s="291"/>
      <c r="R2" s="291"/>
      <c r="S2" s="291"/>
      <c r="T2" s="291"/>
      <c r="U2" s="291"/>
      <c r="V2" s="292"/>
      <c r="W2" s="142" t="s">
        <v>34</v>
      </c>
      <c r="X2" s="32">
        <v>2</v>
      </c>
      <c r="Z2" s="34" t="s">
        <v>48</v>
      </c>
    </row>
    <row r="3" spans="1:26" ht="10" customHeight="1">
      <c r="A3" s="284" t="s">
        <v>1</v>
      </c>
      <c r="B3" s="285"/>
      <c r="C3" s="219"/>
      <c r="D3" s="143" t="s">
        <v>3</v>
      </c>
      <c r="E3" s="43"/>
      <c r="F3" s="341"/>
      <c r="G3" s="341"/>
      <c r="H3" s="341"/>
      <c r="I3" s="341"/>
      <c r="J3" s="341"/>
      <c r="K3" s="342"/>
      <c r="L3" s="143" t="s">
        <v>5</v>
      </c>
      <c r="M3" s="288"/>
      <c r="N3" s="289"/>
      <c r="O3" s="143" t="s">
        <v>7</v>
      </c>
      <c r="P3" s="293"/>
      <c r="Q3" s="293"/>
      <c r="R3" s="293"/>
      <c r="S3" s="293"/>
      <c r="T3" s="293"/>
      <c r="U3" s="293"/>
      <c r="V3" s="294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295" t="s">
        <v>110</v>
      </c>
      <c r="R4" s="296"/>
      <c r="S4" s="296"/>
      <c r="T4" s="297"/>
      <c r="U4" s="142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143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9</v>
      </c>
      <c r="J24" s="248"/>
      <c r="K24" s="248">
        <v>10</v>
      </c>
      <c r="L24" s="248"/>
      <c r="M24" s="248">
        <v>11</v>
      </c>
      <c r="N24" s="248"/>
      <c r="O24" s="248">
        <v>12</v>
      </c>
      <c r="P24" s="248"/>
      <c r="Q24" s="248">
        <v>13</v>
      </c>
      <c r="R24" s="248"/>
      <c r="S24" s="248">
        <v>14</v>
      </c>
      <c r="T24" s="248"/>
      <c r="U24" s="248">
        <v>15</v>
      </c>
      <c r="V24" s="248"/>
      <c r="W24" s="248">
        <v>16</v>
      </c>
      <c r="X24" s="248"/>
      <c r="Z24" s="50"/>
    </row>
    <row r="25" spans="1:28">
      <c r="A25" s="251" t="s">
        <v>15</v>
      </c>
      <c r="B25" s="252"/>
      <c r="C25" s="144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2.0979999999999999</v>
      </c>
      <c r="J26" s="229"/>
      <c r="K26" s="229">
        <v>2.0990000000000002</v>
      </c>
      <c r="L26" s="229"/>
      <c r="M26" s="229">
        <v>2.0979999999999999</v>
      </c>
      <c r="N26" s="229"/>
      <c r="O26" s="229">
        <v>2.097</v>
      </c>
      <c r="P26" s="229"/>
      <c r="Q26" s="229">
        <v>2.109</v>
      </c>
      <c r="R26" s="229"/>
      <c r="S26" s="229">
        <v>2.097</v>
      </c>
      <c r="T26" s="229"/>
      <c r="U26" s="229">
        <v>2.093</v>
      </c>
      <c r="V26" s="229"/>
      <c r="W26" s="229">
        <v>2.093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1.98</v>
      </c>
      <c r="J28" s="229"/>
      <c r="K28" s="229">
        <v>1.99</v>
      </c>
      <c r="L28" s="229"/>
      <c r="M28" s="229">
        <v>1.99</v>
      </c>
      <c r="N28" s="229"/>
      <c r="O28" s="229">
        <v>1.99</v>
      </c>
      <c r="P28" s="229"/>
      <c r="Q28" s="229">
        <v>1.98</v>
      </c>
      <c r="R28" s="229"/>
      <c r="S28" s="229">
        <v>1.99</v>
      </c>
      <c r="T28" s="229"/>
      <c r="U28" s="229">
        <v>1.99</v>
      </c>
      <c r="V28" s="229"/>
      <c r="W28" s="229">
        <v>1.98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2.08</v>
      </c>
      <c r="J30" s="229"/>
      <c r="K30" s="229">
        <v>2.085</v>
      </c>
      <c r="L30" s="229"/>
      <c r="M30" s="229">
        <v>2.0939999999999999</v>
      </c>
      <c r="N30" s="229"/>
      <c r="O30" s="229">
        <v>2.1019999999999999</v>
      </c>
      <c r="P30" s="229"/>
      <c r="Q30" s="229">
        <v>2.0990000000000002</v>
      </c>
      <c r="R30" s="229"/>
      <c r="S30" s="229">
        <v>2.0939999999999999</v>
      </c>
      <c r="T30" s="229"/>
      <c r="U30" s="229">
        <v>2.089</v>
      </c>
      <c r="V30" s="229"/>
      <c r="W30" s="229">
        <v>2.0830000000000002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10.99</v>
      </c>
      <c r="J32" s="269"/>
      <c r="K32" s="269">
        <v>11</v>
      </c>
      <c r="L32" s="269"/>
      <c r="M32" s="269">
        <v>11.01</v>
      </c>
      <c r="N32" s="269"/>
      <c r="O32" s="269">
        <v>11.03</v>
      </c>
      <c r="P32" s="269"/>
      <c r="Q32" s="269">
        <v>11.03</v>
      </c>
      <c r="R32" s="269"/>
      <c r="S32" s="269">
        <v>11.01</v>
      </c>
      <c r="T32" s="269"/>
      <c r="U32" s="269">
        <v>10.99</v>
      </c>
      <c r="V32" s="269"/>
      <c r="W32" s="269">
        <v>10.99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136" t="s">
        <v>89</v>
      </c>
      <c r="E34" s="137"/>
      <c r="F34" s="137"/>
      <c r="G34" s="137"/>
      <c r="H34" s="138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139" t="s">
        <v>90</v>
      </c>
      <c r="E35" s="140"/>
      <c r="F35" s="140"/>
      <c r="G35" s="140"/>
      <c r="H35" s="141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139" t="s">
        <v>69</v>
      </c>
      <c r="E37" s="140"/>
      <c r="F37" s="140"/>
      <c r="G37" s="140"/>
      <c r="H37" s="141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136" t="s">
        <v>71</v>
      </c>
      <c r="E38" s="137"/>
      <c r="F38" s="137"/>
      <c r="G38" s="137"/>
      <c r="H38" s="138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139" t="s">
        <v>72</v>
      </c>
      <c r="E39" s="140"/>
      <c r="F39" s="140"/>
      <c r="G39" s="140"/>
      <c r="H39" s="141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136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139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136" t="s">
        <v>75</v>
      </c>
      <c r="E42" s="133"/>
      <c r="F42" s="134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139" t="s">
        <v>76</v>
      </c>
      <c r="E43" s="135"/>
      <c r="F43" s="135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136" t="s">
        <v>77</v>
      </c>
      <c r="E44" s="133"/>
      <c r="F44" s="134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139" t="s">
        <v>78</v>
      </c>
      <c r="E45" s="135"/>
      <c r="F45" s="135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136" t="s">
        <v>79</v>
      </c>
      <c r="E46" s="137"/>
      <c r="F46" s="137"/>
      <c r="G46" s="137"/>
      <c r="H46" s="138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139" t="s">
        <v>80</v>
      </c>
      <c r="E47" s="140"/>
      <c r="F47" s="140"/>
      <c r="G47" s="140"/>
      <c r="H47" s="141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136" t="s">
        <v>81</v>
      </c>
      <c r="E48" s="137"/>
      <c r="F48" s="137"/>
      <c r="G48" s="137"/>
      <c r="H48" s="138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139" t="s">
        <v>82</v>
      </c>
      <c r="E49" s="140"/>
      <c r="F49" s="140"/>
      <c r="G49" s="140"/>
      <c r="H49" s="141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79" priority="7" operator="greaterThan">
      <formula>$AA$28</formula>
    </cfRule>
    <cfRule type="cellIs" dxfId="278" priority="8" operator="lessThan">
      <formula>$AA$29</formula>
    </cfRule>
  </conditionalFormatting>
  <conditionalFormatting sqref="I32:X33">
    <cfRule type="cellIs" dxfId="277" priority="5" operator="greaterThan">
      <formula>$AA$32</formula>
    </cfRule>
    <cfRule type="cellIs" dxfId="276" priority="6" operator="lessThan">
      <formula>$AA$33</formula>
    </cfRule>
  </conditionalFormatting>
  <conditionalFormatting sqref="I30:X31">
    <cfRule type="cellIs" dxfId="275" priority="3" operator="greaterThan">
      <formula>$AA$30</formula>
    </cfRule>
    <cfRule type="cellIs" dxfId="274" priority="4" operator="lessThan">
      <formula>$AA$31</formula>
    </cfRule>
  </conditionalFormatting>
  <conditionalFormatting sqref="I26:X27">
    <cfRule type="cellIs" dxfId="273" priority="1" operator="greaterThan">
      <formula>$AA$26</formula>
    </cfRule>
    <cfRule type="cellIs" dxfId="2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153" t="s">
        <v>2</v>
      </c>
      <c r="E2" s="42"/>
      <c r="F2" s="286" t="s">
        <v>93</v>
      </c>
      <c r="G2" s="286"/>
      <c r="H2" s="286"/>
      <c r="I2" s="286"/>
      <c r="J2" s="286"/>
      <c r="K2" s="340"/>
      <c r="L2" s="153" t="s">
        <v>4</v>
      </c>
      <c r="M2" s="286">
        <v>9</v>
      </c>
      <c r="N2" s="287"/>
      <c r="O2" s="153" t="s">
        <v>6</v>
      </c>
      <c r="P2" s="290" t="s">
        <v>83</v>
      </c>
      <c r="Q2" s="291"/>
      <c r="R2" s="291"/>
      <c r="S2" s="291"/>
      <c r="T2" s="291"/>
      <c r="U2" s="291"/>
      <c r="V2" s="292"/>
      <c r="W2" s="153" t="s">
        <v>34</v>
      </c>
      <c r="X2" s="32">
        <v>1</v>
      </c>
      <c r="Z2" s="34" t="s">
        <v>48</v>
      </c>
    </row>
    <row r="3" spans="1:26" ht="10" customHeight="1">
      <c r="A3" s="284" t="s">
        <v>1</v>
      </c>
      <c r="B3" s="285"/>
      <c r="C3" s="219"/>
      <c r="D3" s="154" t="s">
        <v>3</v>
      </c>
      <c r="E3" s="43"/>
      <c r="F3" s="341"/>
      <c r="G3" s="341"/>
      <c r="H3" s="341"/>
      <c r="I3" s="341"/>
      <c r="J3" s="341"/>
      <c r="K3" s="342"/>
      <c r="L3" s="154" t="s">
        <v>5</v>
      </c>
      <c r="M3" s="288"/>
      <c r="N3" s="289"/>
      <c r="O3" s="154" t="s">
        <v>7</v>
      </c>
      <c r="P3" s="293"/>
      <c r="Q3" s="293"/>
      <c r="R3" s="293"/>
      <c r="S3" s="293"/>
      <c r="T3" s="293"/>
      <c r="U3" s="293"/>
      <c r="V3" s="294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295" t="s">
        <v>111</v>
      </c>
      <c r="R4" s="296"/>
      <c r="S4" s="296"/>
      <c r="T4" s="297"/>
      <c r="U4" s="153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154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1</v>
      </c>
      <c r="J24" s="248"/>
      <c r="K24" s="248">
        <v>2</v>
      </c>
      <c r="L24" s="248"/>
      <c r="M24" s="248">
        <v>3</v>
      </c>
      <c r="N24" s="248"/>
      <c r="O24" s="248">
        <v>4</v>
      </c>
      <c r="P24" s="248"/>
      <c r="Q24" s="248">
        <v>5</v>
      </c>
      <c r="R24" s="248"/>
      <c r="S24" s="248">
        <v>6</v>
      </c>
      <c r="T24" s="248"/>
      <c r="U24" s="248">
        <v>7</v>
      </c>
      <c r="V24" s="248"/>
      <c r="W24" s="248">
        <v>8</v>
      </c>
      <c r="X24" s="248"/>
      <c r="Z24" s="50"/>
    </row>
    <row r="25" spans="1:28">
      <c r="A25" s="251" t="s">
        <v>15</v>
      </c>
      <c r="B25" s="252"/>
      <c r="C25" s="151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2.1040000000000001</v>
      </c>
      <c r="J26" s="229"/>
      <c r="K26" s="229">
        <v>2.1059999999999999</v>
      </c>
      <c r="L26" s="229"/>
      <c r="M26" s="229">
        <v>2.097</v>
      </c>
      <c r="N26" s="229"/>
      <c r="O26" s="229">
        <v>2.1040000000000001</v>
      </c>
      <c r="P26" s="229"/>
      <c r="Q26" s="229">
        <v>2.0990000000000002</v>
      </c>
      <c r="R26" s="229"/>
      <c r="S26" s="229">
        <v>2.0990000000000002</v>
      </c>
      <c r="T26" s="229"/>
      <c r="U26" s="229">
        <v>2.0960000000000001</v>
      </c>
      <c r="V26" s="229"/>
      <c r="W26" s="229">
        <v>2.1040000000000001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2.0099999999999998</v>
      </c>
      <c r="J28" s="229"/>
      <c r="K28" s="229">
        <v>1.97</v>
      </c>
      <c r="L28" s="229"/>
      <c r="M28" s="229">
        <v>1.99</v>
      </c>
      <c r="N28" s="229"/>
      <c r="O28" s="229">
        <v>1.99</v>
      </c>
      <c r="P28" s="229"/>
      <c r="Q28" s="229">
        <v>1.99</v>
      </c>
      <c r="R28" s="229"/>
      <c r="S28" s="229">
        <v>1.99</v>
      </c>
      <c r="T28" s="229"/>
      <c r="U28" s="229">
        <v>1.99</v>
      </c>
      <c r="V28" s="229"/>
      <c r="W28" s="229">
        <v>2.0099999999999998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2.0910000000000002</v>
      </c>
      <c r="J30" s="229"/>
      <c r="K30" s="229">
        <v>2.0920000000000001</v>
      </c>
      <c r="L30" s="229"/>
      <c r="M30" s="229">
        <v>2.09</v>
      </c>
      <c r="N30" s="229"/>
      <c r="O30" s="229">
        <v>2.0950000000000002</v>
      </c>
      <c r="P30" s="229"/>
      <c r="Q30" s="229">
        <v>2.101</v>
      </c>
      <c r="R30" s="229"/>
      <c r="S30" s="229">
        <v>2.0979999999999999</v>
      </c>
      <c r="T30" s="229"/>
      <c r="U30" s="229">
        <v>2.0859999999999999</v>
      </c>
      <c r="V30" s="229"/>
      <c r="W30" s="229">
        <v>2.0920000000000001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11</v>
      </c>
      <c r="J32" s="269"/>
      <c r="K32" s="269">
        <v>11</v>
      </c>
      <c r="L32" s="269"/>
      <c r="M32" s="269">
        <v>11.01</v>
      </c>
      <c r="N32" s="269"/>
      <c r="O32" s="269">
        <v>11.03</v>
      </c>
      <c r="P32" s="269"/>
      <c r="Q32" s="269">
        <v>11.02</v>
      </c>
      <c r="R32" s="269"/>
      <c r="S32" s="269">
        <v>11.02</v>
      </c>
      <c r="T32" s="269"/>
      <c r="U32" s="269">
        <v>10.99</v>
      </c>
      <c r="V32" s="269"/>
      <c r="W32" s="269">
        <v>10.99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145" t="s">
        <v>89</v>
      </c>
      <c r="E34" s="146"/>
      <c r="F34" s="146"/>
      <c r="G34" s="146"/>
      <c r="H34" s="147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148" t="s">
        <v>90</v>
      </c>
      <c r="E35" s="149"/>
      <c r="F35" s="149"/>
      <c r="G35" s="149"/>
      <c r="H35" s="150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148" t="s">
        <v>69</v>
      </c>
      <c r="E37" s="149"/>
      <c r="F37" s="149"/>
      <c r="G37" s="149"/>
      <c r="H37" s="150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145" t="s">
        <v>71</v>
      </c>
      <c r="E38" s="146"/>
      <c r="F38" s="146"/>
      <c r="G38" s="146"/>
      <c r="H38" s="147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148" t="s">
        <v>72</v>
      </c>
      <c r="E39" s="149"/>
      <c r="F39" s="149"/>
      <c r="G39" s="149"/>
      <c r="H39" s="150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145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148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145" t="s">
        <v>75</v>
      </c>
      <c r="E42" s="152"/>
      <c r="F42" s="156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148" t="s">
        <v>76</v>
      </c>
      <c r="E43" s="157"/>
      <c r="F43" s="157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145" t="s">
        <v>77</v>
      </c>
      <c r="E44" s="152"/>
      <c r="F44" s="156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148" t="s">
        <v>78</v>
      </c>
      <c r="E45" s="157"/>
      <c r="F45" s="157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145" t="s">
        <v>79</v>
      </c>
      <c r="E46" s="146"/>
      <c r="F46" s="146"/>
      <c r="G46" s="146"/>
      <c r="H46" s="147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148" t="s">
        <v>80</v>
      </c>
      <c r="E47" s="149"/>
      <c r="F47" s="149"/>
      <c r="G47" s="149"/>
      <c r="H47" s="150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145" t="s">
        <v>81</v>
      </c>
      <c r="E48" s="146"/>
      <c r="F48" s="146"/>
      <c r="G48" s="146"/>
      <c r="H48" s="147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148" t="s">
        <v>82</v>
      </c>
      <c r="E49" s="149"/>
      <c r="F49" s="149"/>
      <c r="G49" s="149"/>
      <c r="H49" s="150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71" priority="7" operator="greaterThan">
      <formula>$AA$28</formula>
    </cfRule>
    <cfRule type="cellIs" dxfId="270" priority="8" operator="lessThan">
      <formula>$AA$29</formula>
    </cfRule>
  </conditionalFormatting>
  <conditionalFormatting sqref="I32:X33">
    <cfRule type="cellIs" dxfId="269" priority="5" operator="greaterThan">
      <formula>$AA$32</formula>
    </cfRule>
    <cfRule type="cellIs" dxfId="268" priority="6" operator="lessThan">
      <formula>$AA$33</formula>
    </cfRule>
  </conditionalFormatting>
  <conditionalFormatting sqref="I30:X31">
    <cfRule type="cellIs" dxfId="267" priority="3" operator="greaterThan">
      <formula>$AA$30</formula>
    </cfRule>
    <cfRule type="cellIs" dxfId="266" priority="4" operator="lessThan">
      <formula>$AA$31</formula>
    </cfRule>
  </conditionalFormatting>
  <conditionalFormatting sqref="I26:X27">
    <cfRule type="cellIs" dxfId="265" priority="1" operator="greaterThan">
      <formula>$AA$26</formula>
    </cfRule>
    <cfRule type="cellIs" dxfId="2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153" t="s">
        <v>2</v>
      </c>
      <c r="E2" s="42"/>
      <c r="F2" s="286" t="s">
        <v>93</v>
      </c>
      <c r="G2" s="286"/>
      <c r="H2" s="286"/>
      <c r="I2" s="286"/>
      <c r="J2" s="286"/>
      <c r="K2" s="340"/>
      <c r="L2" s="153" t="s">
        <v>4</v>
      </c>
      <c r="M2" s="286">
        <v>9</v>
      </c>
      <c r="N2" s="287"/>
      <c r="O2" s="153" t="s">
        <v>6</v>
      </c>
      <c r="P2" s="290" t="s">
        <v>83</v>
      </c>
      <c r="Q2" s="291"/>
      <c r="R2" s="291"/>
      <c r="S2" s="291"/>
      <c r="T2" s="291"/>
      <c r="U2" s="291"/>
      <c r="V2" s="292"/>
      <c r="W2" s="153" t="s">
        <v>34</v>
      </c>
      <c r="X2" s="32">
        <v>2</v>
      </c>
      <c r="Z2" s="34" t="s">
        <v>48</v>
      </c>
    </row>
    <row r="3" spans="1:26" ht="10" customHeight="1">
      <c r="A3" s="284" t="s">
        <v>1</v>
      </c>
      <c r="B3" s="285"/>
      <c r="C3" s="219"/>
      <c r="D3" s="154" t="s">
        <v>3</v>
      </c>
      <c r="E3" s="43"/>
      <c r="F3" s="341"/>
      <c r="G3" s="341"/>
      <c r="H3" s="341"/>
      <c r="I3" s="341"/>
      <c r="J3" s="341"/>
      <c r="K3" s="342"/>
      <c r="L3" s="154" t="s">
        <v>5</v>
      </c>
      <c r="M3" s="288"/>
      <c r="N3" s="289"/>
      <c r="O3" s="154" t="s">
        <v>7</v>
      </c>
      <c r="P3" s="293"/>
      <c r="Q3" s="293"/>
      <c r="R3" s="293"/>
      <c r="S3" s="293"/>
      <c r="T3" s="293"/>
      <c r="U3" s="293"/>
      <c r="V3" s="294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295" t="s">
        <v>111</v>
      </c>
      <c r="R4" s="296"/>
      <c r="S4" s="296"/>
      <c r="T4" s="297"/>
      <c r="U4" s="153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154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9</v>
      </c>
      <c r="J24" s="248"/>
      <c r="K24" s="248">
        <v>10</v>
      </c>
      <c r="L24" s="248"/>
      <c r="M24" s="248">
        <v>11</v>
      </c>
      <c r="N24" s="248"/>
      <c r="O24" s="248">
        <v>12</v>
      </c>
      <c r="P24" s="248"/>
      <c r="Q24" s="248">
        <v>13</v>
      </c>
      <c r="R24" s="248"/>
      <c r="S24" s="248">
        <v>14</v>
      </c>
      <c r="T24" s="248"/>
      <c r="U24" s="248">
        <v>15</v>
      </c>
      <c r="V24" s="248"/>
      <c r="W24" s="248">
        <v>16</v>
      </c>
      <c r="X24" s="248"/>
      <c r="Z24" s="50"/>
    </row>
    <row r="25" spans="1:28">
      <c r="A25" s="251" t="s">
        <v>15</v>
      </c>
      <c r="B25" s="252"/>
      <c r="C25" s="151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2.105</v>
      </c>
      <c r="J26" s="229"/>
      <c r="K26" s="229">
        <v>2.0920000000000001</v>
      </c>
      <c r="L26" s="229"/>
      <c r="M26" s="229">
        <v>2.097</v>
      </c>
      <c r="N26" s="229"/>
      <c r="O26" s="229">
        <v>2.101</v>
      </c>
      <c r="P26" s="229"/>
      <c r="Q26" s="229">
        <v>2.109</v>
      </c>
      <c r="R26" s="229"/>
      <c r="S26" s="229">
        <v>2.0979999999999999</v>
      </c>
      <c r="T26" s="229"/>
      <c r="U26" s="229">
        <v>2.0979999999999999</v>
      </c>
      <c r="V26" s="229"/>
      <c r="W26" s="229">
        <v>2.0950000000000002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1.98</v>
      </c>
      <c r="J28" s="229"/>
      <c r="K28" s="229">
        <v>1.99</v>
      </c>
      <c r="L28" s="229"/>
      <c r="M28" s="229">
        <v>1.99</v>
      </c>
      <c r="N28" s="229"/>
      <c r="O28" s="229">
        <v>1.99</v>
      </c>
      <c r="P28" s="229"/>
      <c r="Q28" s="229">
        <v>1.98</v>
      </c>
      <c r="R28" s="229"/>
      <c r="S28" s="229">
        <v>1.99</v>
      </c>
      <c r="T28" s="229"/>
      <c r="U28" s="229">
        <v>1.99</v>
      </c>
      <c r="V28" s="229"/>
      <c r="W28" s="229">
        <v>1.98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2.0790000000000002</v>
      </c>
      <c r="J30" s="229"/>
      <c r="K30" s="229">
        <v>2.0840000000000001</v>
      </c>
      <c r="L30" s="229"/>
      <c r="M30" s="229">
        <v>2.085</v>
      </c>
      <c r="N30" s="229"/>
      <c r="O30" s="229">
        <v>2.0950000000000002</v>
      </c>
      <c r="P30" s="229"/>
      <c r="Q30" s="229">
        <v>2.0990000000000002</v>
      </c>
      <c r="R30" s="229"/>
      <c r="S30" s="229">
        <v>2.0920000000000001</v>
      </c>
      <c r="T30" s="229"/>
      <c r="U30" s="229">
        <v>2.09</v>
      </c>
      <c r="V30" s="229"/>
      <c r="W30" s="229">
        <v>2.0830000000000002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11</v>
      </c>
      <c r="J32" s="269"/>
      <c r="K32" s="269">
        <v>10.99</v>
      </c>
      <c r="L32" s="269"/>
      <c r="M32" s="269">
        <v>11.01</v>
      </c>
      <c r="N32" s="269"/>
      <c r="O32" s="269">
        <v>11.02</v>
      </c>
      <c r="P32" s="269"/>
      <c r="Q32" s="269">
        <v>11.03</v>
      </c>
      <c r="R32" s="269"/>
      <c r="S32" s="269">
        <v>11.01</v>
      </c>
      <c r="T32" s="269"/>
      <c r="U32" s="269">
        <v>10.99</v>
      </c>
      <c r="V32" s="269"/>
      <c r="W32" s="269">
        <v>10.99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145" t="s">
        <v>89</v>
      </c>
      <c r="E34" s="146"/>
      <c r="F34" s="146"/>
      <c r="G34" s="146"/>
      <c r="H34" s="147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148" t="s">
        <v>90</v>
      </c>
      <c r="E35" s="149"/>
      <c r="F35" s="149"/>
      <c r="G35" s="149"/>
      <c r="H35" s="150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148" t="s">
        <v>69</v>
      </c>
      <c r="E37" s="149"/>
      <c r="F37" s="149"/>
      <c r="G37" s="149"/>
      <c r="H37" s="150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145" t="s">
        <v>71</v>
      </c>
      <c r="E38" s="146"/>
      <c r="F38" s="146"/>
      <c r="G38" s="146"/>
      <c r="H38" s="147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148" t="s">
        <v>72</v>
      </c>
      <c r="E39" s="149"/>
      <c r="F39" s="149"/>
      <c r="G39" s="149"/>
      <c r="H39" s="150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145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148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145" t="s">
        <v>75</v>
      </c>
      <c r="E42" s="152"/>
      <c r="F42" s="156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148" t="s">
        <v>76</v>
      </c>
      <c r="E43" s="157"/>
      <c r="F43" s="157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145" t="s">
        <v>77</v>
      </c>
      <c r="E44" s="152"/>
      <c r="F44" s="156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148" t="s">
        <v>78</v>
      </c>
      <c r="E45" s="157"/>
      <c r="F45" s="157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145" t="s">
        <v>79</v>
      </c>
      <c r="E46" s="146"/>
      <c r="F46" s="146"/>
      <c r="G46" s="146"/>
      <c r="H46" s="147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148" t="s">
        <v>80</v>
      </c>
      <c r="E47" s="149"/>
      <c r="F47" s="149"/>
      <c r="G47" s="149"/>
      <c r="H47" s="150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145" t="s">
        <v>81</v>
      </c>
      <c r="E48" s="146"/>
      <c r="F48" s="146"/>
      <c r="G48" s="146"/>
      <c r="H48" s="147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148" t="s">
        <v>82</v>
      </c>
      <c r="E49" s="149"/>
      <c r="F49" s="149"/>
      <c r="G49" s="149"/>
      <c r="H49" s="150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63" priority="7" operator="greaterThan">
      <formula>$AA$28</formula>
    </cfRule>
    <cfRule type="cellIs" dxfId="262" priority="8" operator="lessThan">
      <formula>$AA$29</formula>
    </cfRule>
  </conditionalFormatting>
  <conditionalFormatting sqref="I32:X33">
    <cfRule type="cellIs" dxfId="261" priority="5" operator="greaterThan">
      <formula>$AA$32</formula>
    </cfRule>
    <cfRule type="cellIs" dxfId="260" priority="6" operator="lessThan">
      <formula>$AA$33</formula>
    </cfRule>
  </conditionalFormatting>
  <conditionalFormatting sqref="I30:X31">
    <cfRule type="cellIs" dxfId="259" priority="3" operator="greaterThan">
      <formula>$AA$30</formula>
    </cfRule>
    <cfRule type="cellIs" dxfId="258" priority="4" operator="lessThan">
      <formula>$AA$31</formula>
    </cfRule>
  </conditionalFormatting>
  <conditionalFormatting sqref="I26:X27">
    <cfRule type="cellIs" dxfId="257" priority="1" operator="greaterThan">
      <formula>$AA$26</formula>
    </cfRule>
    <cfRule type="cellIs" dxfId="2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7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153" t="s">
        <v>2</v>
      </c>
      <c r="E2" s="42"/>
      <c r="F2" s="286" t="s">
        <v>93</v>
      </c>
      <c r="G2" s="286"/>
      <c r="H2" s="286"/>
      <c r="I2" s="286"/>
      <c r="J2" s="286"/>
      <c r="K2" s="340"/>
      <c r="L2" s="153" t="s">
        <v>4</v>
      </c>
      <c r="M2" s="286">
        <v>9</v>
      </c>
      <c r="N2" s="287"/>
      <c r="O2" s="153" t="s">
        <v>6</v>
      </c>
      <c r="P2" s="290" t="s">
        <v>83</v>
      </c>
      <c r="Q2" s="291"/>
      <c r="R2" s="291"/>
      <c r="S2" s="291"/>
      <c r="T2" s="291"/>
      <c r="U2" s="291"/>
      <c r="V2" s="292"/>
      <c r="W2" s="153" t="s">
        <v>34</v>
      </c>
      <c r="X2" s="32">
        <v>1</v>
      </c>
      <c r="Z2" s="34" t="s">
        <v>48</v>
      </c>
    </row>
    <row r="3" spans="1:26" ht="10" customHeight="1">
      <c r="A3" s="284" t="s">
        <v>1</v>
      </c>
      <c r="B3" s="285"/>
      <c r="C3" s="219"/>
      <c r="D3" s="154" t="s">
        <v>3</v>
      </c>
      <c r="E3" s="43"/>
      <c r="F3" s="341"/>
      <c r="G3" s="341"/>
      <c r="H3" s="341"/>
      <c r="I3" s="341"/>
      <c r="J3" s="341"/>
      <c r="K3" s="342"/>
      <c r="L3" s="154" t="s">
        <v>5</v>
      </c>
      <c r="M3" s="288"/>
      <c r="N3" s="289"/>
      <c r="O3" s="154" t="s">
        <v>7</v>
      </c>
      <c r="P3" s="293"/>
      <c r="Q3" s="293"/>
      <c r="R3" s="293"/>
      <c r="S3" s="293"/>
      <c r="T3" s="293"/>
      <c r="U3" s="293"/>
      <c r="V3" s="294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295" t="s">
        <v>112</v>
      </c>
      <c r="R4" s="296"/>
      <c r="S4" s="296"/>
      <c r="T4" s="297"/>
      <c r="U4" s="153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154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1</v>
      </c>
      <c r="J24" s="248"/>
      <c r="K24" s="248">
        <v>2</v>
      </c>
      <c r="L24" s="248"/>
      <c r="M24" s="248">
        <v>3</v>
      </c>
      <c r="N24" s="248"/>
      <c r="O24" s="248">
        <v>4</v>
      </c>
      <c r="P24" s="248"/>
      <c r="Q24" s="248">
        <v>5</v>
      </c>
      <c r="R24" s="248"/>
      <c r="S24" s="248">
        <v>6</v>
      </c>
      <c r="T24" s="248"/>
      <c r="U24" s="248">
        <v>7</v>
      </c>
      <c r="V24" s="248"/>
      <c r="W24" s="248">
        <v>8</v>
      </c>
      <c r="X24" s="248"/>
      <c r="Z24" s="50"/>
    </row>
    <row r="25" spans="1:28">
      <c r="A25" s="251" t="s">
        <v>15</v>
      </c>
      <c r="B25" s="252"/>
      <c r="C25" s="151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2.1019999999999999</v>
      </c>
      <c r="J26" s="229"/>
      <c r="K26" s="229">
        <v>2.1030000000000002</v>
      </c>
      <c r="L26" s="229"/>
      <c r="M26" s="229">
        <v>2.097</v>
      </c>
      <c r="N26" s="229"/>
      <c r="O26" s="229">
        <v>2.0990000000000002</v>
      </c>
      <c r="P26" s="229"/>
      <c r="Q26" s="229">
        <v>2.101</v>
      </c>
      <c r="R26" s="229"/>
      <c r="S26" s="229">
        <v>2.0979999999999999</v>
      </c>
      <c r="T26" s="229"/>
      <c r="U26" s="229">
        <v>2.0950000000000002</v>
      </c>
      <c r="V26" s="229"/>
      <c r="W26" s="229">
        <v>2.1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2</v>
      </c>
      <c r="J28" s="229"/>
      <c r="K28" s="229">
        <v>1.97</v>
      </c>
      <c r="L28" s="229"/>
      <c r="M28" s="229">
        <v>1.99</v>
      </c>
      <c r="N28" s="229"/>
      <c r="O28" s="229">
        <v>1.99</v>
      </c>
      <c r="P28" s="229"/>
      <c r="Q28" s="229">
        <v>1.99</v>
      </c>
      <c r="R28" s="229"/>
      <c r="S28" s="229">
        <v>1.99</v>
      </c>
      <c r="T28" s="229"/>
      <c r="U28" s="229">
        <v>1.99</v>
      </c>
      <c r="V28" s="229"/>
      <c r="W28" s="229">
        <v>2.0099999999999998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2.0859999999999999</v>
      </c>
      <c r="J30" s="229"/>
      <c r="K30" s="229">
        <v>2.0920000000000001</v>
      </c>
      <c r="L30" s="229"/>
      <c r="M30" s="229">
        <v>2.09</v>
      </c>
      <c r="N30" s="229"/>
      <c r="O30" s="229">
        <v>2.0880000000000001</v>
      </c>
      <c r="P30" s="229"/>
      <c r="Q30" s="229">
        <v>2.0920000000000001</v>
      </c>
      <c r="R30" s="229"/>
      <c r="S30" s="229">
        <v>2.0939999999999999</v>
      </c>
      <c r="T30" s="229"/>
      <c r="U30" s="229">
        <v>2.0819999999999999</v>
      </c>
      <c r="V30" s="229"/>
      <c r="W30" s="229">
        <v>2.081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11</v>
      </c>
      <c r="J32" s="269"/>
      <c r="K32" s="269">
        <v>11</v>
      </c>
      <c r="L32" s="269"/>
      <c r="M32" s="269">
        <v>11.01</v>
      </c>
      <c r="N32" s="269"/>
      <c r="O32" s="269">
        <v>11.02</v>
      </c>
      <c r="P32" s="269"/>
      <c r="Q32" s="269">
        <v>11.03</v>
      </c>
      <c r="R32" s="269"/>
      <c r="S32" s="269">
        <v>11.01</v>
      </c>
      <c r="T32" s="269"/>
      <c r="U32" s="269">
        <v>10.99</v>
      </c>
      <c r="V32" s="269"/>
      <c r="W32" s="269">
        <v>10.99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145" t="s">
        <v>89</v>
      </c>
      <c r="E34" s="146"/>
      <c r="F34" s="146"/>
      <c r="G34" s="146"/>
      <c r="H34" s="147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148" t="s">
        <v>90</v>
      </c>
      <c r="E35" s="149"/>
      <c r="F35" s="149"/>
      <c r="G35" s="149"/>
      <c r="H35" s="150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148" t="s">
        <v>69</v>
      </c>
      <c r="E37" s="149"/>
      <c r="F37" s="149"/>
      <c r="G37" s="149"/>
      <c r="H37" s="150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145" t="s">
        <v>71</v>
      </c>
      <c r="E38" s="146"/>
      <c r="F38" s="146"/>
      <c r="G38" s="146"/>
      <c r="H38" s="147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148" t="s">
        <v>72</v>
      </c>
      <c r="E39" s="149"/>
      <c r="F39" s="149"/>
      <c r="G39" s="149"/>
      <c r="H39" s="150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145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148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145" t="s">
        <v>75</v>
      </c>
      <c r="E42" s="152"/>
      <c r="F42" s="156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148" t="s">
        <v>76</v>
      </c>
      <c r="E43" s="157"/>
      <c r="F43" s="157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145" t="s">
        <v>77</v>
      </c>
      <c r="E44" s="152"/>
      <c r="F44" s="156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148" t="s">
        <v>78</v>
      </c>
      <c r="E45" s="157"/>
      <c r="F45" s="157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145" t="s">
        <v>79</v>
      </c>
      <c r="E46" s="146"/>
      <c r="F46" s="146"/>
      <c r="G46" s="146"/>
      <c r="H46" s="147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148" t="s">
        <v>80</v>
      </c>
      <c r="E47" s="149"/>
      <c r="F47" s="149"/>
      <c r="G47" s="149"/>
      <c r="H47" s="150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145" t="s">
        <v>81</v>
      </c>
      <c r="E48" s="146"/>
      <c r="F48" s="146"/>
      <c r="G48" s="146"/>
      <c r="H48" s="147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148" t="s">
        <v>82</v>
      </c>
      <c r="E49" s="149"/>
      <c r="F49" s="149"/>
      <c r="G49" s="149"/>
      <c r="H49" s="150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55" priority="7" operator="greaterThan">
      <formula>$AA$28</formula>
    </cfRule>
    <cfRule type="cellIs" dxfId="254" priority="8" operator="lessThan">
      <formula>$AA$29</formula>
    </cfRule>
  </conditionalFormatting>
  <conditionalFormatting sqref="I32:X33">
    <cfRule type="cellIs" dxfId="253" priority="5" operator="greaterThan">
      <formula>$AA$32</formula>
    </cfRule>
    <cfRule type="cellIs" dxfId="252" priority="6" operator="lessThan">
      <formula>$AA$33</formula>
    </cfRule>
  </conditionalFormatting>
  <conditionalFormatting sqref="I30:X31">
    <cfRule type="cellIs" dxfId="251" priority="3" operator="greaterThan">
      <formula>$AA$30</formula>
    </cfRule>
    <cfRule type="cellIs" dxfId="250" priority="4" operator="lessThan">
      <formula>$AA$31</formula>
    </cfRule>
  </conditionalFormatting>
  <conditionalFormatting sqref="I26:X27">
    <cfRule type="cellIs" dxfId="249" priority="1" operator="greaterThan">
      <formula>$AA$26</formula>
    </cfRule>
    <cfRule type="cellIs" dxfId="2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153" t="s">
        <v>2</v>
      </c>
      <c r="E2" s="42"/>
      <c r="F2" s="286" t="s">
        <v>93</v>
      </c>
      <c r="G2" s="286"/>
      <c r="H2" s="286"/>
      <c r="I2" s="286"/>
      <c r="J2" s="286"/>
      <c r="K2" s="340"/>
      <c r="L2" s="153" t="s">
        <v>4</v>
      </c>
      <c r="M2" s="286">
        <v>9</v>
      </c>
      <c r="N2" s="287"/>
      <c r="O2" s="153" t="s">
        <v>6</v>
      </c>
      <c r="P2" s="290" t="s">
        <v>83</v>
      </c>
      <c r="Q2" s="291"/>
      <c r="R2" s="291"/>
      <c r="S2" s="291"/>
      <c r="T2" s="291"/>
      <c r="U2" s="291"/>
      <c r="V2" s="292"/>
      <c r="W2" s="153" t="s">
        <v>34</v>
      </c>
      <c r="X2" s="32">
        <v>2</v>
      </c>
      <c r="Z2" s="34" t="s">
        <v>48</v>
      </c>
    </row>
    <row r="3" spans="1:26" ht="10" customHeight="1">
      <c r="A3" s="284" t="s">
        <v>1</v>
      </c>
      <c r="B3" s="285"/>
      <c r="C3" s="219"/>
      <c r="D3" s="154" t="s">
        <v>3</v>
      </c>
      <c r="E3" s="43"/>
      <c r="F3" s="341"/>
      <c r="G3" s="341"/>
      <c r="H3" s="341"/>
      <c r="I3" s="341"/>
      <c r="J3" s="341"/>
      <c r="K3" s="342"/>
      <c r="L3" s="154" t="s">
        <v>5</v>
      </c>
      <c r="M3" s="288"/>
      <c r="N3" s="289"/>
      <c r="O3" s="154" t="s">
        <v>7</v>
      </c>
      <c r="P3" s="293"/>
      <c r="Q3" s="293"/>
      <c r="R3" s="293"/>
      <c r="S3" s="293"/>
      <c r="T3" s="293"/>
      <c r="U3" s="293"/>
      <c r="V3" s="294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295" t="s">
        <v>112</v>
      </c>
      <c r="R4" s="296"/>
      <c r="S4" s="296"/>
      <c r="T4" s="297"/>
      <c r="U4" s="153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154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9</v>
      </c>
      <c r="J24" s="248"/>
      <c r="K24" s="248">
        <v>10</v>
      </c>
      <c r="L24" s="248"/>
      <c r="M24" s="248">
        <v>11</v>
      </c>
      <c r="N24" s="248"/>
      <c r="O24" s="248">
        <v>12</v>
      </c>
      <c r="P24" s="248"/>
      <c r="Q24" s="248">
        <v>13</v>
      </c>
      <c r="R24" s="248"/>
      <c r="S24" s="248">
        <v>14</v>
      </c>
      <c r="T24" s="248"/>
      <c r="U24" s="248">
        <v>15</v>
      </c>
      <c r="V24" s="248"/>
      <c r="W24" s="248">
        <v>16</v>
      </c>
      <c r="X24" s="248"/>
      <c r="Z24" s="50"/>
    </row>
    <row r="25" spans="1:28">
      <c r="A25" s="251" t="s">
        <v>15</v>
      </c>
      <c r="B25" s="252"/>
      <c r="C25" s="151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2.101</v>
      </c>
      <c r="J26" s="229"/>
      <c r="K26" s="229">
        <v>2.0979999999999999</v>
      </c>
      <c r="L26" s="229"/>
      <c r="M26" s="229">
        <v>2.1</v>
      </c>
      <c r="N26" s="229"/>
      <c r="O26" s="229">
        <v>2.0990000000000002</v>
      </c>
      <c r="P26" s="229"/>
      <c r="Q26" s="229">
        <v>2.1019999999999999</v>
      </c>
      <c r="R26" s="229"/>
      <c r="S26" s="229">
        <v>2.0920000000000001</v>
      </c>
      <c r="T26" s="229"/>
      <c r="U26" s="229">
        <v>2.0910000000000002</v>
      </c>
      <c r="V26" s="229"/>
      <c r="W26" s="229">
        <v>2.0960000000000001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1.98</v>
      </c>
      <c r="J28" s="229"/>
      <c r="K28" s="229">
        <v>1.99</v>
      </c>
      <c r="L28" s="229"/>
      <c r="M28" s="229">
        <v>1.99</v>
      </c>
      <c r="N28" s="229"/>
      <c r="O28" s="229">
        <v>1.99</v>
      </c>
      <c r="P28" s="229"/>
      <c r="Q28" s="229">
        <v>1.98</v>
      </c>
      <c r="R28" s="229"/>
      <c r="S28" s="229">
        <v>1.99</v>
      </c>
      <c r="T28" s="229"/>
      <c r="U28" s="229">
        <v>1.99</v>
      </c>
      <c r="V28" s="229"/>
      <c r="W28" s="229">
        <v>1.98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2.073</v>
      </c>
      <c r="J30" s="229"/>
      <c r="K30" s="229">
        <v>2.08</v>
      </c>
      <c r="L30" s="229"/>
      <c r="M30" s="229">
        <v>2.0870000000000002</v>
      </c>
      <c r="N30" s="229"/>
      <c r="O30" s="229">
        <v>2.0920000000000001</v>
      </c>
      <c r="P30" s="229"/>
      <c r="Q30" s="229">
        <v>2.0950000000000002</v>
      </c>
      <c r="R30" s="229"/>
      <c r="S30" s="229">
        <v>2.0870000000000002</v>
      </c>
      <c r="T30" s="229"/>
      <c r="U30" s="229">
        <v>2.0830000000000002</v>
      </c>
      <c r="V30" s="229"/>
      <c r="W30" s="229">
        <v>2.077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10.99</v>
      </c>
      <c r="J32" s="269"/>
      <c r="K32" s="269">
        <v>10.99</v>
      </c>
      <c r="L32" s="269"/>
      <c r="M32" s="269">
        <v>11.01</v>
      </c>
      <c r="N32" s="269"/>
      <c r="O32" s="269">
        <v>11.03</v>
      </c>
      <c r="P32" s="269"/>
      <c r="Q32" s="269">
        <v>11.02</v>
      </c>
      <c r="R32" s="269"/>
      <c r="S32" s="269">
        <v>11.01</v>
      </c>
      <c r="T32" s="269"/>
      <c r="U32" s="269">
        <v>10.99</v>
      </c>
      <c r="V32" s="269"/>
      <c r="W32" s="269">
        <v>11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145" t="s">
        <v>89</v>
      </c>
      <c r="E34" s="146"/>
      <c r="F34" s="146"/>
      <c r="G34" s="146"/>
      <c r="H34" s="147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148" t="s">
        <v>90</v>
      </c>
      <c r="E35" s="149"/>
      <c r="F35" s="149"/>
      <c r="G35" s="149"/>
      <c r="H35" s="150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148" t="s">
        <v>69</v>
      </c>
      <c r="E37" s="149"/>
      <c r="F37" s="149"/>
      <c r="G37" s="149"/>
      <c r="H37" s="150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145" t="s">
        <v>71</v>
      </c>
      <c r="E38" s="146"/>
      <c r="F38" s="146"/>
      <c r="G38" s="146"/>
      <c r="H38" s="147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148" t="s">
        <v>72</v>
      </c>
      <c r="E39" s="149"/>
      <c r="F39" s="149"/>
      <c r="G39" s="149"/>
      <c r="H39" s="150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145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148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145" t="s">
        <v>75</v>
      </c>
      <c r="E42" s="152"/>
      <c r="F42" s="156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148" t="s">
        <v>76</v>
      </c>
      <c r="E43" s="157"/>
      <c r="F43" s="157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145" t="s">
        <v>77</v>
      </c>
      <c r="E44" s="152"/>
      <c r="F44" s="156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148" t="s">
        <v>78</v>
      </c>
      <c r="E45" s="157"/>
      <c r="F45" s="157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145" t="s">
        <v>79</v>
      </c>
      <c r="E46" s="146"/>
      <c r="F46" s="146"/>
      <c r="G46" s="146"/>
      <c r="H46" s="147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148" t="s">
        <v>80</v>
      </c>
      <c r="E47" s="149"/>
      <c r="F47" s="149"/>
      <c r="G47" s="149"/>
      <c r="H47" s="150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145" t="s">
        <v>81</v>
      </c>
      <c r="E48" s="146"/>
      <c r="F48" s="146"/>
      <c r="G48" s="146"/>
      <c r="H48" s="147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148" t="s">
        <v>82</v>
      </c>
      <c r="E49" s="149"/>
      <c r="F49" s="149"/>
      <c r="G49" s="149"/>
      <c r="H49" s="150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47" priority="7" operator="greaterThan">
      <formula>$AA$28</formula>
    </cfRule>
    <cfRule type="cellIs" dxfId="246" priority="8" operator="lessThan">
      <formula>$AA$29</formula>
    </cfRule>
  </conditionalFormatting>
  <conditionalFormatting sqref="I32:X33">
    <cfRule type="cellIs" dxfId="245" priority="5" operator="greaterThan">
      <formula>$AA$32</formula>
    </cfRule>
    <cfRule type="cellIs" dxfId="244" priority="6" operator="lessThan">
      <formula>$AA$33</formula>
    </cfRule>
  </conditionalFormatting>
  <conditionalFormatting sqref="I30:X31">
    <cfRule type="cellIs" dxfId="243" priority="3" operator="greaterThan">
      <formula>$AA$30</formula>
    </cfRule>
    <cfRule type="cellIs" dxfId="242" priority="4" operator="lessThan">
      <formula>$AA$31</formula>
    </cfRule>
  </conditionalFormatting>
  <conditionalFormatting sqref="I26:X27">
    <cfRule type="cellIs" dxfId="241" priority="1" operator="greaterThan">
      <formula>$AA$26</formula>
    </cfRule>
    <cfRule type="cellIs" dxfId="2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153" t="s">
        <v>2</v>
      </c>
      <c r="E2" s="42"/>
      <c r="F2" s="286" t="s">
        <v>93</v>
      </c>
      <c r="G2" s="286"/>
      <c r="H2" s="286"/>
      <c r="I2" s="286"/>
      <c r="J2" s="286"/>
      <c r="K2" s="340"/>
      <c r="L2" s="153" t="s">
        <v>4</v>
      </c>
      <c r="M2" s="286">
        <v>9</v>
      </c>
      <c r="N2" s="287"/>
      <c r="O2" s="153" t="s">
        <v>6</v>
      </c>
      <c r="P2" s="290" t="s">
        <v>83</v>
      </c>
      <c r="Q2" s="291"/>
      <c r="R2" s="291"/>
      <c r="S2" s="291"/>
      <c r="T2" s="291"/>
      <c r="U2" s="291"/>
      <c r="V2" s="292"/>
      <c r="W2" s="153" t="s">
        <v>34</v>
      </c>
      <c r="X2" s="32">
        <v>1</v>
      </c>
      <c r="Z2" s="34" t="s">
        <v>48</v>
      </c>
    </row>
    <row r="3" spans="1:26" ht="10" customHeight="1">
      <c r="A3" s="284" t="s">
        <v>1</v>
      </c>
      <c r="B3" s="285"/>
      <c r="C3" s="219"/>
      <c r="D3" s="154" t="s">
        <v>3</v>
      </c>
      <c r="E3" s="43"/>
      <c r="F3" s="341"/>
      <c r="G3" s="341"/>
      <c r="H3" s="341"/>
      <c r="I3" s="341"/>
      <c r="J3" s="341"/>
      <c r="K3" s="342"/>
      <c r="L3" s="154" t="s">
        <v>5</v>
      </c>
      <c r="M3" s="288"/>
      <c r="N3" s="289"/>
      <c r="O3" s="154" t="s">
        <v>7</v>
      </c>
      <c r="P3" s="293"/>
      <c r="Q3" s="293"/>
      <c r="R3" s="293"/>
      <c r="S3" s="293"/>
      <c r="T3" s="293"/>
      <c r="U3" s="293"/>
      <c r="V3" s="294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295" t="s">
        <v>113</v>
      </c>
      <c r="R4" s="296"/>
      <c r="S4" s="296"/>
      <c r="T4" s="297"/>
      <c r="U4" s="153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154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1</v>
      </c>
      <c r="J24" s="248"/>
      <c r="K24" s="248">
        <v>2</v>
      </c>
      <c r="L24" s="248"/>
      <c r="M24" s="248">
        <v>3</v>
      </c>
      <c r="N24" s="248"/>
      <c r="O24" s="248">
        <v>4</v>
      </c>
      <c r="P24" s="248"/>
      <c r="Q24" s="248">
        <v>5</v>
      </c>
      <c r="R24" s="248"/>
      <c r="S24" s="248">
        <v>6</v>
      </c>
      <c r="T24" s="248"/>
      <c r="U24" s="248">
        <v>7</v>
      </c>
      <c r="V24" s="248"/>
      <c r="W24" s="248">
        <v>8</v>
      </c>
      <c r="X24" s="248"/>
      <c r="Z24" s="50"/>
    </row>
    <row r="25" spans="1:28">
      <c r="A25" s="251" t="s">
        <v>15</v>
      </c>
      <c r="B25" s="252"/>
      <c r="C25" s="151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2.1019999999999999</v>
      </c>
      <c r="J26" s="229"/>
      <c r="K26" s="229">
        <v>2.0990000000000002</v>
      </c>
      <c r="L26" s="229"/>
      <c r="M26" s="229">
        <v>2.0979999999999999</v>
      </c>
      <c r="N26" s="229"/>
      <c r="O26" s="229">
        <v>2.101</v>
      </c>
      <c r="P26" s="229"/>
      <c r="Q26" s="229">
        <v>2.1030000000000002</v>
      </c>
      <c r="R26" s="229"/>
      <c r="S26" s="229">
        <v>2.0990000000000002</v>
      </c>
      <c r="T26" s="229"/>
      <c r="U26" s="229">
        <v>2.0939999999999999</v>
      </c>
      <c r="V26" s="229"/>
      <c r="W26" s="229">
        <v>2.101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2</v>
      </c>
      <c r="J28" s="229"/>
      <c r="K28" s="229">
        <v>1.97</v>
      </c>
      <c r="L28" s="229"/>
      <c r="M28" s="229">
        <v>1.99</v>
      </c>
      <c r="N28" s="229"/>
      <c r="O28" s="229">
        <v>1.99</v>
      </c>
      <c r="P28" s="229"/>
      <c r="Q28" s="229">
        <v>1.99</v>
      </c>
      <c r="R28" s="229"/>
      <c r="S28" s="229">
        <v>1.99</v>
      </c>
      <c r="T28" s="229"/>
      <c r="U28" s="229">
        <v>1.99</v>
      </c>
      <c r="V28" s="229"/>
      <c r="W28" s="229">
        <v>2.0099999999999998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2.0880000000000001</v>
      </c>
      <c r="J30" s="229"/>
      <c r="K30" s="229">
        <v>2.093</v>
      </c>
      <c r="L30" s="229"/>
      <c r="M30" s="229">
        <v>2.0939999999999999</v>
      </c>
      <c r="N30" s="229"/>
      <c r="O30" s="229">
        <v>2.09</v>
      </c>
      <c r="P30" s="229"/>
      <c r="Q30" s="229">
        <v>2.0990000000000002</v>
      </c>
      <c r="R30" s="229"/>
      <c r="S30" s="229">
        <v>2.0960000000000001</v>
      </c>
      <c r="T30" s="229"/>
      <c r="U30" s="229">
        <v>2.0710000000000002</v>
      </c>
      <c r="V30" s="229"/>
      <c r="W30" s="229">
        <v>2.085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10.98</v>
      </c>
      <c r="J32" s="269"/>
      <c r="K32" s="269">
        <v>10.98</v>
      </c>
      <c r="L32" s="269"/>
      <c r="M32" s="269">
        <v>10.99</v>
      </c>
      <c r="N32" s="269"/>
      <c r="O32" s="269">
        <v>11.02</v>
      </c>
      <c r="P32" s="269"/>
      <c r="Q32" s="269">
        <v>11.02</v>
      </c>
      <c r="R32" s="269"/>
      <c r="S32" s="269">
        <v>11.01</v>
      </c>
      <c r="T32" s="269"/>
      <c r="U32" s="269">
        <v>10.99</v>
      </c>
      <c r="V32" s="269"/>
      <c r="W32" s="269">
        <v>10.99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145" t="s">
        <v>89</v>
      </c>
      <c r="E34" s="146"/>
      <c r="F34" s="146"/>
      <c r="G34" s="146"/>
      <c r="H34" s="147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148" t="s">
        <v>90</v>
      </c>
      <c r="E35" s="149"/>
      <c r="F35" s="149"/>
      <c r="G35" s="149"/>
      <c r="H35" s="150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148" t="s">
        <v>69</v>
      </c>
      <c r="E37" s="149"/>
      <c r="F37" s="149"/>
      <c r="G37" s="149"/>
      <c r="H37" s="150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145" t="s">
        <v>71</v>
      </c>
      <c r="E38" s="146"/>
      <c r="F38" s="146"/>
      <c r="G38" s="146"/>
      <c r="H38" s="147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148" t="s">
        <v>72</v>
      </c>
      <c r="E39" s="149"/>
      <c r="F39" s="149"/>
      <c r="G39" s="149"/>
      <c r="H39" s="150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145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148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145" t="s">
        <v>75</v>
      </c>
      <c r="E42" s="152"/>
      <c r="F42" s="156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148" t="s">
        <v>76</v>
      </c>
      <c r="E43" s="157"/>
      <c r="F43" s="157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145" t="s">
        <v>77</v>
      </c>
      <c r="E44" s="152"/>
      <c r="F44" s="156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148" t="s">
        <v>78</v>
      </c>
      <c r="E45" s="157"/>
      <c r="F45" s="157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145" t="s">
        <v>79</v>
      </c>
      <c r="E46" s="146"/>
      <c r="F46" s="146"/>
      <c r="G46" s="146"/>
      <c r="H46" s="147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148" t="s">
        <v>80</v>
      </c>
      <c r="E47" s="149"/>
      <c r="F47" s="149"/>
      <c r="G47" s="149"/>
      <c r="H47" s="150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145" t="s">
        <v>81</v>
      </c>
      <c r="E48" s="146"/>
      <c r="F48" s="146"/>
      <c r="G48" s="146"/>
      <c r="H48" s="147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148" t="s">
        <v>82</v>
      </c>
      <c r="E49" s="149"/>
      <c r="F49" s="149"/>
      <c r="G49" s="149"/>
      <c r="H49" s="150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9" priority="7" operator="greaterThan">
      <formula>$AA$28</formula>
    </cfRule>
    <cfRule type="cellIs" dxfId="238" priority="8" operator="lessThan">
      <formula>$AA$29</formula>
    </cfRule>
  </conditionalFormatting>
  <conditionalFormatting sqref="I32:X33">
    <cfRule type="cellIs" dxfId="237" priority="5" operator="greaterThan">
      <formula>$AA$32</formula>
    </cfRule>
    <cfRule type="cellIs" dxfId="236" priority="6" operator="lessThan">
      <formula>$AA$33</formula>
    </cfRule>
  </conditionalFormatting>
  <conditionalFormatting sqref="I30:X31">
    <cfRule type="cellIs" dxfId="235" priority="3" operator="greaterThan">
      <formula>$AA$30</formula>
    </cfRule>
    <cfRule type="cellIs" dxfId="234" priority="4" operator="lessThan">
      <formula>$AA$31</formula>
    </cfRule>
  </conditionalFormatting>
  <conditionalFormatting sqref="I26:X27">
    <cfRule type="cellIs" dxfId="233" priority="1" operator="greaterThan">
      <formula>$AA$26</formula>
    </cfRule>
    <cfRule type="cellIs" dxfId="2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153" t="s">
        <v>2</v>
      </c>
      <c r="E2" s="42"/>
      <c r="F2" s="286" t="s">
        <v>93</v>
      </c>
      <c r="G2" s="286"/>
      <c r="H2" s="286"/>
      <c r="I2" s="286"/>
      <c r="J2" s="286"/>
      <c r="K2" s="340"/>
      <c r="L2" s="153" t="s">
        <v>4</v>
      </c>
      <c r="M2" s="286">
        <v>9</v>
      </c>
      <c r="N2" s="287"/>
      <c r="O2" s="153" t="s">
        <v>6</v>
      </c>
      <c r="P2" s="290" t="s">
        <v>83</v>
      </c>
      <c r="Q2" s="291"/>
      <c r="R2" s="291"/>
      <c r="S2" s="291"/>
      <c r="T2" s="291"/>
      <c r="U2" s="291"/>
      <c r="V2" s="292"/>
      <c r="W2" s="153" t="s">
        <v>34</v>
      </c>
      <c r="X2" s="32">
        <v>2</v>
      </c>
      <c r="Z2" s="34" t="s">
        <v>48</v>
      </c>
    </row>
    <row r="3" spans="1:26" ht="10" customHeight="1">
      <c r="A3" s="284" t="s">
        <v>1</v>
      </c>
      <c r="B3" s="285"/>
      <c r="C3" s="219"/>
      <c r="D3" s="154" t="s">
        <v>3</v>
      </c>
      <c r="E3" s="43"/>
      <c r="F3" s="341"/>
      <c r="G3" s="341"/>
      <c r="H3" s="341"/>
      <c r="I3" s="341"/>
      <c r="J3" s="341"/>
      <c r="K3" s="342"/>
      <c r="L3" s="154" t="s">
        <v>5</v>
      </c>
      <c r="M3" s="288"/>
      <c r="N3" s="289"/>
      <c r="O3" s="154" t="s">
        <v>7</v>
      </c>
      <c r="P3" s="293"/>
      <c r="Q3" s="293"/>
      <c r="R3" s="293"/>
      <c r="S3" s="293"/>
      <c r="T3" s="293"/>
      <c r="U3" s="293"/>
      <c r="V3" s="294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295" t="s">
        <v>113</v>
      </c>
      <c r="R4" s="296"/>
      <c r="S4" s="296"/>
      <c r="T4" s="297"/>
      <c r="U4" s="153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154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9</v>
      </c>
      <c r="J24" s="248"/>
      <c r="K24" s="248">
        <v>10</v>
      </c>
      <c r="L24" s="248"/>
      <c r="M24" s="248">
        <v>11</v>
      </c>
      <c r="N24" s="248"/>
      <c r="O24" s="248">
        <v>12</v>
      </c>
      <c r="P24" s="248"/>
      <c r="Q24" s="248">
        <v>13</v>
      </c>
      <c r="R24" s="248"/>
      <c r="S24" s="248">
        <v>14</v>
      </c>
      <c r="T24" s="248"/>
      <c r="U24" s="248">
        <v>15</v>
      </c>
      <c r="V24" s="248"/>
      <c r="W24" s="248">
        <v>16</v>
      </c>
      <c r="X24" s="248"/>
      <c r="Z24" s="50"/>
    </row>
    <row r="25" spans="1:28">
      <c r="A25" s="251" t="s">
        <v>15</v>
      </c>
      <c r="B25" s="252"/>
      <c r="C25" s="151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2.1040000000000001</v>
      </c>
      <c r="J26" s="229"/>
      <c r="K26" s="229">
        <v>2.0990000000000002</v>
      </c>
      <c r="L26" s="229"/>
      <c r="M26" s="229">
        <v>2.0960000000000001</v>
      </c>
      <c r="N26" s="229"/>
      <c r="O26" s="229">
        <v>2.0979999999999999</v>
      </c>
      <c r="P26" s="229"/>
      <c r="Q26" s="229">
        <v>2.1019999999999999</v>
      </c>
      <c r="R26" s="229"/>
      <c r="S26" s="229">
        <v>2.0950000000000002</v>
      </c>
      <c r="T26" s="229"/>
      <c r="U26" s="229">
        <v>2.0979999999999999</v>
      </c>
      <c r="V26" s="229"/>
      <c r="W26" s="229">
        <v>2.0960000000000001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1.98</v>
      </c>
      <c r="J28" s="229"/>
      <c r="K28" s="229">
        <v>1.99</v>
      </c>
      <c r="L28" s="229"/>
      <c r="M28" s="229">
        <v>1.99</v>
      </c>
      <c r="N28" s="229"/>
      <c r="O28" s="229">
        <v>1.99</v>
      </c>
      <c r="P28" s="229"/>
      <c r="Q28" s="229">
        <v>1.98</v>
      </c>
      <c r="R28" s="229"/>
      <c r="S28" s="229">
        <v>1.99</v>
      </c>
      <c r="T28" s="229"/>
      <c r="U28" s="229">
        <v>1.99</v>
      </c>
      <c r="V28" s="229"/>
      <c r="W28" s="229">
        <v>1.98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2.0720000000000001</v>
      </c>
      <c r="J30" s="229"/>
      <c r="K30" s="229">
        <v>2.0840000000000001</v>
      </c>
      <c r="L30" s="229"/>
      <c r="M30" s="229">
        <v>2.0840000000000001</v>
      </c>
      <c r="N30" s="229"/>
      <c r="O30" s="229">
        <v>2.0840000000000001</v>
      </c>
      <c r="P30" s="229"/>
      <c r="Q30" s="229">
        <v>2.0990000000000002</v>
      </c>
      <c r="R30" s="229"/>
      <c r="S30" s="229">
        <v>2.0870000000000002</v>
      </c>
      <c r="T30" s="229"/>
      <c r="U30" s="229">
        <v>2.0840000000000001</v>
      </c>
      <c r="V30" s="229"/>
      <c r="W30" s="229">
        <v>2.0779999999999998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10.98</v>
      </c>
      <c r="J32" s="269"/>
      <c r="K32" s="269">
        <v>10.99</v>
      </c>
      <c r="L32" s="269"/>
      <c r="M32" s="269">
        <v>11</v>
      </c>
      <c r="N32" s="269"/>
      <c r="O32" s="269">
        <v>11.03</v>
      </c>
      <c r="P32" s="269"/>
      <c r="Q32" s="269">
        <v>11.02</v>
      </c>
      <c r="R32" s="269"/>
      <c r="S32" s="269">
        <v>11</v>
      </c>
      <c r="T32" s="269"/>
      <c r="U32" s="269">
        <v>10.98</v>
      </c>
      <c r="V32" s="269"/>
      <c r="W32" s="269">
        <v>10.98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145" t="s">
        <v>89</v>
      </c>
      <c r="E34" s="146"/>
      <c r="F34" s="146"/>
      <c r="G34" s="146"/>
      <c r="H34" s="147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148" t="s">
        <v>90</v>
      </c>
      <c r="E35" s="149"/>
      <c r="F35" s="149"/>
      <c r="G35" s="149"/>
      <c r="H35" s="150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148" t="s">
        <v>69</v>
      </c>
      <c r="E37" s="149"/>
      <c r="F37" s="149"/>
      <c r="G37" s="149"/>
      <c r="H37" s="150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145" t="s">
        <v>71</v>
      </c>
      <c r="E38" s="146"/>
      <c r="F38" s="146"/>
      <c r="G38" s="146"/>
      <c r="H38" s="147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148" t="s">
        <v>72</v>
      </c>
      <c r="E39" s="149"/>
      <c r="F39" s="149"/>
      <c r="G39" s="149"/>
      <c r="H39" s="150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145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148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145" t="s">
        <v>75</v>
      </c>
      <c r="E42" s="152"/>
      <c r="F42" s="156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148" t="s">
        <v>76</v>
      </c>
      <c r="E43" s="157"/>
      <c r="F43" s="157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145" t="s">
        <v>77</v>
      </c>
      <c r="E44" s="152"/>
      <c r="F44" s="156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148" t="s">
        <v>78</v>
      </c>
      <c r="E45" s="157"/>
      <c r="F45" s="157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145" t="s">
        <v>79</v>
      </c>
      <c r="E46" s="146"/>
      <c r="F46" s="146"/>
      <c r="G46" s="146"/>
      <c r="H46" s="147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148" t="s">
        <v>80</v>
      </c>
      <c r="E47" s="149"/>
      <c r="F47" s="149"/>
      <c r="G47" s="149"/>
      <c r="H47" s="150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145" t="s">
        <v>81</v>
      </c>
      <c r="E48" s="146"/>
      <c r="F48" s="146"/>
      <c r="G48" s="146"/>
      <c r="H48" s="147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148" t="s">
        <v>82</v>
      </c>
      <c r="E49" s="149"/>
      <c r="F49" s="149"/>
      <c r="G49" s="149"/>
      <c r="H49" s="150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1" priority="7" operator="greaterThan">
      <formula>$AA$28</formula>
    </cfRule>
    <cfRule type="cellIs" dxfId="230" priority="8" operator="lessThan">
      <formula>$AA$29</formula>
    </cfRule>
  </conditionalFormatting>
  <conditionalFormatting sqref="I32:X33">
    <cfRule type="cellIs" dxfId="229" priority="5" operator="greaterThan">
      <formula>$AA$32</formula>
    </cfRule>
    <cfRule type="cellIs" dxfId="228" priority="6" operator="lessThan">
      <formula>$AA$33</formula>
    </cfRule>
  </conditionalFormatting>
  <conditionalFormatting sqref="I30:X31">
    <cfRule type="cellIs" dxfId="227" priority="3" operator="greaterThan">
      <formula>$AA$30</formula>
    </cfRule>
    <cfRule type="cellIs" dxfId="226" priority="4" operator="lessThan">
      <formula>$AA$31</formula>
    </cfRule>
  </conditionalFormatting>
  <conditionalFormatting sqref="I26:X27">
    <cfRule type="cellIs" dxfId="225" priority="1" operator="greaterThan">
      <formula>$AA$26</formula>
    </cfRule>
    <cfRule type="cellIs" dxfId="2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153" t="s">
        <v>2</v>
      </c>
      <c r="E2" s="42"/>
      <c r="F2" s="286" t="s">
        <v>93</v>
      </c>
      <c r="G2" s="286"/>
      <c r="H2" s="286"/>
      <c r="I2" s="286"/>
      <c r="J2" s="286"/>
      <c r="K2" s="340"/>
      <c r="L2" s="153" t="s">
        <v>4</v>
      </c>
      <c r="M2" s="286">
        <v>9</v>
      </c>
      <c r="N2" s="287"/>
      <c r="O2" s="153" t="s">
        <v>6</v>
      </c>
      <c r="P2" s="290" t="s">
        <v>83</v>
      </c>
      <c r="Q2" s="291"/>
      <c r="R2" s="291"/>
      <c r="S2" s="291"/>
      <c r="T2" s="291"/>
      <c r="U2" s="291"/>
      <c r="V2" s="292"/>
      <c r="W2" s="153" t="s">
        <v>34</v>
      </c>
      <c r="X2" s="32">
        <v>1</v>
      </c>
      <c r="Z2" s="34" t="s">
        <v>48</v>
      </c>
    </row>
    <row r="3" spans="1:26" ht="10" customHeight="1">
      <c r="A3" s="284" t="s">
        <v>1</v>
      </c>
      <c r="B3" s="285"/>
      <c r="C3" s="219"/>
      <c r="D3" s="154" t="s">
        <v>3</v>
      </c>
      <c r="E3" s="43"/>
      <c r="F3" s="341"/>
      <c r="G3" s="341"/>
      <c r="H3" s="341"/>
      <c r="I3" s="341"/>
      <c r="J3" s="341"/>
      <c r="K3" s="342"/>
      <c r="L3" s="154" t="s">
        <v>5</v>
      </c>
      <c r="M3" s="288"/>
      <c r="N3" s="289"/>
      <c r="O3" s="154" t="s">
        <v>7</v>
      </c>
      <c r="P3" s="293"/>
      <c r="Q3" s="293"/>
      <c r="R3" s="293"/>
      <c r="S3" s="293"/>
      <c r="T3" s="293"/>
      <c r="U3" s="293"/>
      <c r="V3" s="294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295" t="s">
        <v>114</v>
      </c>
      <c r="R4" s="296"/>
      <c r="S4" s="296"/>
      <c r="T4" s="297"/>
      <c r="U4" s="153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154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1</v>
      </c>
      <c r="J24" s="248"/>
      <c r="K24" s="248">
        <v>2</v>
      </c>
      <c r="L24" s="248"/>
      <c r="M24" s="248">
        <v>3</v>
      </c>
      <c r="N24" s="248"/>
      <c r="O24" s="248">
        <v>4</v>
      </c>
      <c r="P24" s="248"/>
      <c r="Q24" s="248">
        <v>5</v>
      </c>
      <c r="R24" s="248"/>
      <c r="S24" s="248">
        <v>6</v>
      </c>
      <c r="T24" s="248"/>
      <c r="U24" s="248">
        <v>7</v>
      </c>
      <c r="V24" s="248"/>
      <c r="W24" s="248">
        <v>8</v>
      </c>
      <c r="X24" s="248"/>
      <c r="Z24" s="50"/>
    </row>
    <row r="25" spans="1:28">
      <c r="A25" s="251" t="s">
        <v>15</v>
      </c>
      <c r="B25" s="252"/>
      <c r="C25" s="151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2.0960000000000001</v>
      </c>
      <c r="J26" s="229"/>
      <c r="K26" s="229">
        <v>2.0960000000000001</v>
      </c>
      <c r="L26" s="229"/>
      <c r="M26" s="229">
        <v>2.097</v>
      </c>
      <c r="N26" s="229"/>
      <c r="O26" s="229">
        <v>2.1</v>
      </c>
      <c r="P26" s="229"/>
      <c r="Q26" s="229">
        <v>2.0950000000000002</v>
      </c>
      <c r="R26" s="229"/>
      <c r="S26" s="229">
        <v>2.0979999999999999</v>
      </c>
      <c r="T26" s="229"/>
      <c r="U26" s="229">
        <v>2.0920000000000001</v>
      </c>
      <c r="V26" s="229"/>
      <c r="W26" s="229">
        <v>2.0960000000000001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1.98</v>
      </c>
      <c r="J28" s="229"/>
      <c r="K28" s="229">
        <v>1.97</v>
      </c>
      <c r="L28" s="229"/>
      <c r="M28" s="229">
        <v>1.99</v>
      </c>
      <c r="N28" s="229"/>
      <c r="O28" s="229">
        <v>1.99</v>
      </c>
      <c r="P28" s="229"/>
      <c r="Q28" s="229">
        <v>1.99</v>
      </c>
      <c r="R28" s="229"/>
      <c r="S28" s="229">
        <v>1.99</v>
      </c>
      <c r="T28" s="229"/>
      <c r="U28" s="229">
        <v>1.99</v>
      </c>
      <c r="V28" s="229"/>
      <c r="W28" s="229">
        <v>2.0099999999999998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2.085</v>
      </c>
      <c r="J30" s="229"/>
      <c r="K30" s="229">
        <v>2.093</v>
      </c>
      <c r="L30" s="229"/>
      <c r="M30" s="229">
        <v>2.09</v>
      </c>
      <c r="N30" s="229"/>
      <c r="O30" s="229">
        <v>2.093</v>
      </c>
      <c r="P30" s="229"/>
      <c r="Q30" s="229">
        <v>2.0960000000000001</v>
      </c>
      <c r="R30" s="229"/>
      <c r="S30" s="229">
        <v>2.0960000000000001</v>
      </c>
      <c r="T30" s="229"/>
      <c r="U30" s="229">
        <v>2.077</v>
      </c>
      <c r="V30" s="229"/>
      <c r="W30" s="229">
        <v>2.0859999999999999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10.97</v>
      </c>
      <c r="J32" s="269"/>
      <c r="K32" s="269">
        <v>10.99</v>
      </c>
      <c r="L32" s="269"/>
      <c r="M32" s="269">
        <v>11.01</v>
      </c>
      <c r="N32" s="269"/>
      <c r="O32" s="269">
        <v>11.01</v>
      </c>
      <c r="P32" s="269"/>
      <c r="Q32" s="269">
        <v>11.01</v>
      </c>
      <c r="R32" s="269"/>
      <c r="S32" s="269">
        <v>11</v>
      </c>
      <c r="T32" s="269"/>
      <c r="U32" s="269">
        <v>10.99</v>
      </c>
      <c r="V32" s="269"/>
      <c r="W32" s="269">
        <v>10.98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145" t="s">
        <v>89</v>
      </c>
      <c r="E34" s="146"/>
      <c r="F34" s="146"/>
      <c r="G34" s="146"/>
      <c r="H34" s="147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148" t="s">
        <v>90</v>
      </c>
      <c r="E35" s="149"/>
      <c r="F35" s="149"/>
      <c r="G35" s="149"/>
      <c r="H35" s="150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148" t="s">
        <v>69</v>
      </c>
      <c r="E37" s="149"/>
      <c r="F37" s="149"/>
      <c r="G37" s="149"/>
      <c r="H37" s="150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145" t="s">
        <v>71</v>
      </c>
      <c r="E38" s="146"/>
      <c r="F38" s="146"/>
      <c r="G38" s="146"/>
      <c r="H38" s="147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148" t="s">
        <v>72</v>
      </c>
      <c r="E39" s="149"/>
      <c r="F39" s="149"/>
      <c r="G39" s="149"/>
      <c r="H39" s="150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145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148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145" t="s">
        <v>75</v>
      </c>
      <c r="E42" s="152"/>
      <c r="F42" s="156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148" t="s">
        <v>76</v>
      </c>
      <c r="E43" s="157"/>
      <c r="F43" s="157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145" t="s">
        <v>77</v>
      </c>
      <c r="E44" s="152"/>
      <c r="F44" s="156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148" t="s">
        <v>78</v>
      </c>
      <c r="E45" s="157"/>
      <c r="F45" s="157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145" t="s">
        <v>79</v>
      </c>
      <c r="E46" s="146"/>
      <c r="F46" s="146"/>
      <c r="G46" s="146"/>
      <c r="H46" s="147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148" t="s">
        <v>80</v>
      </c>
      <c r="E47" s="149"/>
      <c r="F47" s="149"/>
      <c r="G47" s="149"/>
      <c r="H47" s="150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145" t="s">
        <v>81</v>
      </c>
      <c r="E48" s="146"/>
      <c r="F48" s="146"/>
      <c r="G48" s="146"/>
      <c r="H48" s="147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148" t="s">
        <v>82</v>
      </c>
      <c r="E49" s="149"/>
      <c r="F49" s="149"/>
      <c r="G49" s="149"/>
      <c r="H49" s="150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23" priority="7" operator="greaterThan">
      <formula>$AA$28</formula>
    </cfRule>
    <cfRule type="cellIs" dxfId="222" priority="8" operator="lessThan">
      <formula>$AA$29</formula>
    </cfRule>
  </conditionalFormatting>
  <conditionalFormatting sqref="I32:X33">
    <cfRule type="cellIs" dxfId="221" priority="5" operator="greaterThan">
      <formula>$AA$32</formula>
    </cfRule>
    <cfRule type="cellIs" dxfId="220" priority="6" operator="lessThan">
      <formula>$AA$33</formula>
    </cfRule>
  </conditionalFormatting>
  <conditionalFormatting sqref="I30:X31">
    <cfRule type="cellIs" dxfId="219" priority="3" operator="greaterThan">
      <formula>$AA$30</formula>
    </cfRule>
    <cfRule type="cellIs" dxfId="218" priority="4" operator="lessThan">
      <formula>$AA$31</formula>
    </cfRule>
  </conditionalFormatting>
  <conditionalFormatting sqref="I26:X27">
    <cfRule type="cellIs" dxfId="217" priority="1" operator="greaterThan">
      <formula>$AA$26</formula>
    </cfRule>
    <cfRule type="cellIs" dxfId="2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153" t="s">
        <v>2</v>
      </c>
      <c r="E2" s="42"/>
      <c r="F2" s="286" t="s">
        <v>93</v>
      </c>
      <c r="G2" s="286"/>
      <c r="H2" s="286"/>
      <c r="I2" s="286"/>
      <c r="J2" s="286"/>
      <c r="K2" s="340"/>
      <c r="L2" s="153" t="s">
        <v>4</v>
      </c>
      <c r="M2" s="286">
        <v>9</v>
      </c>
      <c r="N2" s="287"/>
      <c r="O2" s="153" t="s">
        <v>6</v>
      </c>
      <c r="P2" s="290" t="s">
        <v>83</v>
      </c>
      <c r="Q2" s="291"/>
      <c r="R2" s="291"/>
      <c r="S2" s="291"/>
      <c r="T2" s="291"/>
      <c r="U2" s="291"/>
      <c r="V2" s="292"/>
      <c r="W2" s="153" t="s">
        <v>34</v>
      </c>
      <c r="X2" s="32">
        <v>2</v>
      </c>
      <c r="Z2" s="34" t="s">
        <v>48</v>
      </c>
    </row>
    <row r="3" spans="1:26" ht="10" customHeight="1">
      <c r="A3" s="284" t="s">
        <v>1</v>
      </c>
      <c r="B3" s="285"/>
      <c r="C3" s="219"/>
      <c r="D3" s="154" t="s">
        <v>3</v>
      </c>
      <c r="E3" s="43"/>
      <c r="F3" s="341"/>
      <c r="G3" s="341"/>
      <c r="H3" s="341"/>
      <c r="I3" s="341"/>
      <c r="J3" s="341"/>
      <c r="K3" s="342"/>
      <c r="L3" s="154" t="s">
        <v>5</v>
      </c>
      <c r="M3" s="288"/>
      <c r="N3" s="289"/>
      <c r="O3" s="154" t="s">
        <v>7</v>
      </c>
      <c r="P3" s="293"/>
      <c r="Q3" s="293"/>
      <c r="R3" s="293"/>
      <c r="S3" s="293"/>
      <c r="T3" s="293"/>
      <c r="U3" s="293"/>
      <c r="V3" s="294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295" t="s">
        <v>114</v>
      </c>
      <c r="R4" s="296"/>
      <c r="S4" s="296"/>
      <c r="T4" s="297"/>
      <c r="U4" s="153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154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9</v>
      </c>
      <c r="J24" s="248"/>
      <c r="K24" s="248">
        <v>10</v>
      </c>
      <c r="L24" s="248"/>
      <c r="M24" s="248">
        <v>11</v>
      </c>
      <c r="N24" s="248"/>
      <c r="O24" s="248">
        <v>12</v>
      </c>
      <c r="P24" s="248"/>
      <c r="Q24" s="248">
        <v>13</v>
      </c>
      <c r="R24" s="248"/>
      <c r="S24" s="248">
        <v>14</v>
      </c>
      <c r="T24" s="248"/>
      <c r="U24" s="248">
        <v>15</v>
      </c>
      <c r="V24" s="248"/>
      <c r="W24" s="248">
        <v>16</v>
      </c>
      <c r="X24" s="248"/>
      <c r="Z24" s="50"/>
    </row>
    <row r="25" spans="1:28">
      <c r="A25" s="251" t="s">
        <v>15</v>
      </c>
      <c r="B25" s="252"/>
      <c r="C25" s="151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2.101</v>
      </c>
      <c r="J26" s="229"/>
      <c r="K26" s="229">
        <v>2.0950000000000002</v>
      </c>
      <c r="L26" s="229"/>
      <c r="M26" s="229">
        <v>2.0939999999999999</v>
      </c>
      <c r="N26" s="229"/>
      <c r="O26" s="229">
        <v>2.0979999999999999</v>
      </c>
      <c r="P26" s="229"/>
      <c r="Q26" s="229">
        <v>2.1019999999999999</v>
      </c>
      <c r="R26" s="229"/>
      <c r="S26" s="229">
        <v>2.09</v>
      </c>
      <c r="T26" s="229"/>
      <c r="U26" s="229">
        <v>2.1019999999999999</v>
      </c>
      <c r="V26" s="229"/>
      <c r="W26" s="229">
        <v>2.0950000000000002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1.98</v>
      </c>
      <c r="J28" s="229"/>
      <c r="K28" s="229">
        <v>1.99</v>
      </c>
      <c r="L28" s="229"/>
      <c r="M28" s="229">
        <v>1.99</v>
      </c>
      <c r="N28" s="229"/>
      <c r="O28" s="229">
        <v>1.99</v>
      </c>
      <c r="P28" s="229"/>
      <c r="Q28" s="229">
        <v>1.98</v>
      </c>
      <c r="R28" s="229"/>
      <c r="S28" s="229">
        <v>1.99</v>
      </c>
      <c r="T28" s="229"/>
      <c r="U28" s="229">
        <v>1.99</v>
      </c>
      <c r="V28" s="229"/>
      <c r="W28" s="229">
        <v>1.98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2.0720000000000001</v>
      </c>
      <c r="J30" s="229"/>
      <c r="K30" s="229">
        <v>2.0760000000000001</v>
      </c>
      <c r="L30" s="229"/>
      <c r="M30" s="229">
        <v>2.0939999999999999</v>
      </c>
      <c r="N30" s="229"/>
      <c r="O30" s="229">
        <v>2.0939999999999999</v>
      </c>
      <c r="P30" s="229"/>
      <c r="Q30" s="229">
        <v>2.0979999999999999</v>
      </c>
      <c r="R30" s="229"/>
      <c r="S30" s="229">
        <v>2.089</v>
      </c>
      <c r="T30" s="229"/>
      <c r="U30" s="229">
        <v>2.0870000000000002</v>
      </c>
      <c r="V30" s="229"/>
      <c r="W30" s="229">
        <v>2.0760000000000001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10.98</v>
      </c>
      <c r="J32" s="269"/>
      <c r="K32" s="269">
        <v>10.99</v>
      </c>
      <c r="L32" s="269"/>
      <c r="M32" s="269">
        <v>11.01</v>
      </c>
      <c r="N32" s="269"/>
      <c r="O32" s="269">
        <v>11.03</v>
      </c>
      <c r="P32" s="269"/>
      <c r="Q32" s="269">
        <v>11.01</v>
      </c>
      <c r="R32" s="269"/>
      <c r="S32" s="269">
        <v>11.02</v>
      </c>
      <c r="T32" s="269"/>
      <c r="U32" s="269">
        <v>10.99</v>
      </c>
      <c r="V32" s="269"/>
      <c r="W32" s="269">
        <v>10.99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145" t="s">
        <v>89</v>
      </c>
      <c r="E34" s="146"/>
      <c r="F34" s="146"/>
      <c r="G34" s="146"/>
      <c r="H34" s="147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148" t="s">
        <v>90</v>
      </c>
      <c r="E35" s="149"/>
      <c r="F35" s="149"/>
      <c r="G35" s="149"/>
      <c r="H35" s="150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148" t="s">
        <v>69</v>
      </c>
      <c r="E37" s="149"/>
      <c r="F37" s="149"/>
      <c r="G37" s="149"/>
      <c r="H37" s="150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145" t="s">
        <v>71</v>
      </c>
      <c r="E38" s="146"/>
      <c r="F38" s="146"/>
      <c r="G38" s="146"/>
      <c r="H38" s="147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148" t="s">
        <v>72</v>
      </c>
      <c r="E39" s="149"/>
      <c r="F39" s="149"/>
      <c r="G39" s="149"/>
      <c r="H39" s="150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145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148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145" t="s">
        <v>75</v>
      </c>
      <c r="E42" s="152"/>
      <c r="F42" s="156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148" t="s">
        <v>76</v>
      </c>
      <c r="E43" s="157"/>
      <c r="F43" s="157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145" t="s">
        <v>77</v>
      </c>
      <c r="E44" s="152"/>
      <c r="F44" s="156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148" t="s">
        <v>78</v>
      </c>
      <c r="E45" s="157"/>
      <c r="F45" s="157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145" t="s">
        <v>79</v>
      </c>
      <c r="E46" s="146"/>
      <c r="F46" s="146"/>
      <c r="G46" s="146"/>
      <c r="H46" s="147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148" t="s">
        <v>80</v>
      </c>
      <c r="E47" s="149"/>
      <c r="F47" s="149"/>
      <c r="G47" s="149"/>
      <c r="H47" s="150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145" t="s">
        <v>81</v>
      </c>
      <c r="E48" s="146"/>
      <c r="F48" s="146"/>
      <c r="G48" s="146"/>
      <c r="H48" s="147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148" t="s">
        <v>82</v>
      </c>
      <c r="E49" s="149"/>
      <c r="F49" s="149"/>
      <c r="G49" s="149"/>
      <c r="H49" s="150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15" priority="7" operator="greaterThan">
      <formula>$AA$28</formula>
    </cfRule>
    <cfRule type="cellIs" dxfId="214" priority="8" operator="lessThan">
      <formula>$AA$29</formula>
    </cfRule>
  </conditionalFormatting>
  <conditionalFormatting sqref="I32:X33">
    <cfRule type="cellIs" dxfId="213" priority="5" operator="greaterThan">
      <formula>$AA$32</formula>
    </cfRule>
    <cfRule type="cellIs" dxfId="212" priority="6" operator="lessThan">
      <formula>$AA$33</formula>
    </cfRule>
  </conditionalFormatting>
  <conditionalFormatting sqref="I30:X31">
    <cfRule type="cellIs" dxfId="211" priority="3" operator="greaterThan">
      <formula>$AA$30</formula>
    </cfRule>
    <cfRule type="cellIs" dxfId="210" priority="4" operator="lessThan">
      <formula>$AA$31</formula>
    </cfRule>
  </conditionalFormatting>
  <conditionalFormatting sqref="I26:X27">
    <cfRule type="cellIs" dxfId="209" priority="1" operator="greaterThan">
      <formula>$AA$26</formula>
    </cfRule>
    <cfRule type="cellIs" dxfId="2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153" t="s">
        <v>2</v>
      </c>
      <c r="E2" s="42"/>
      <c r="F2" s="286" t="s">
        <v>93</v>
      </c>
      <c r="G2" s="286"/>
      <c r="H2" s="286"/>
      <c r="I2" s="286"/>
      <c r="J2" s="286"/>
      <c r="K2" s="340"/>
      <c r="L2" s="153" t="s">
        <v>4</v>
      </c>
      <c r="M2" s="286">
        <v>9</v>
      </c>
      <c r="N2" s="287"/>
      <c r="O2" s="153" t="s">
        <v>6</v>
      </c>
      <c r="P2" s="290" t="s">
        <v>83</v>
      </c>
      <c r="Q2" s="291"/>
      <c r="R2" s="291"/>
      <c r="S2" s="291"/>
      <c r="T2" s="291"/>
      <c r="U2" s="291"/>
      <c r="V2" s="292"/>
      <c r="W2" s="153" t="s">
        <v>34</v>
      </c>
      <c r="X2" s="32">
        <v>1</v>
      </c>
      <c r="Z2" s="34" t="s">
        <v>48</v>
      </c>
    </row>
    <row r="3" spans="1:26" ht="10" customHeight="1">
      <c r="A3" s="284" t="s">
        <v>1</v>
      </c>
      <c r="B3" s="285"/>
      <c r="C3" s="219"/>
      <c r="D3" s="154" t="s">
        <v>3</v>
      </c>
      <c r="E3" s="43"/>
      <c r="F3" s="341"/>
      <c r="G3" s="341"/>
      <c r="H3" s="341"/>
      <c r="I3" s="341"/>
      <c r="J3" s="341"/>
      <c r="K3" s="342"/>
      <c r="L3" s="154" t="s">
        <v>5</v>
      </c>
      <c r="M3" s="288"/>
      <c r="N3" s="289"/>
      <c r="O3" s="154" t="s">
        <v>7</v>
      </c>
      <c r="P3" s="293"/>
      <c r="Q3" s="293"/>
      <c r="R3" s="293"/>
      <c r="S3" s="293"/>
      <c r="T3" s="293"/>
      <c r="U3" s="293"/>
      <c r="V3" s="294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295" t="s">
        <v>115</v>
      </c>
      <c r="R4" s="296"/>
      <c r="S4" s="296"/>
      <c r="T4" s="297"/>
      <c r="U4" s="153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154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1</v>
      </c>
      <c r="J24" s="248"/>
      <c r="K24" s="248">
        <v>2</v>
      </c>
      <c r="L24" s="248"/>
      <c r="M24" s="248">
        <v>3</v>
      </c>
      <c r="N24" s="248"/>
      <c r="O24" s="248">
        <v>4</v>
      </c>
      <c r="P24" s="248"/>
      <c r="Q24" s="248">
        <v>5</v>
      </c>
      <c r="R24" s="248"/>
      <c r="S24" s="248">
        <v>6</v>
      </c>
      <c r="T24" s="248"/>
      <c r="U24" s="248">
        <v>7</v>
      </c>
      <c r="V24" s="248"/>
      <c r="W24" s="248">
        <v>8</v>
      </c>
      <c r="X24" s="248"/>
      <c r="Z24" s="50"/>
    </row>
    <row r="25" spans="1:28">
      <c r="A25" s="251" t="s">
        <v>15</v>
      </c>
      <c r="B25" s="252"/>
      <c r="C25" s="151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2.105</v>
      </c>
      <c r="J26" s="229"/>
      <c r="K26" s="229">
        <v>2.1</v>
      </c>
      <c r="L26" s="229"/>
      <c r="M26" s="229">
        <v>2.1</v>
      </c>
      <c r="N26" s="229"/>
      <c r="O26" s="229">
        <v>2.0979999999999999</v>
      </c>
      <c r="P26" s="229"/>
      <c r="Q26" s="229">
        <v>2.1</v>
      </c>
      <c r="R26" s="229"/>
      <c r="S26" s="229">
        <v>2.101</v>
      </c>
      <c r="T26" s="229"/>
      <c r="U26" s="229">
        <v>2.1</v>
      </c>
      <c r="V26" s="229"/>
      <c r="W26" s="229">
        <v>2.0939999999999999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2</v>
      </c>
      <c r="J28" s="229"/>
      <c r="K28" s="229">
        <v>1.97</v>
      </c>
      <c r="L28" s="229"/>
      <c r="M28" s="229">
        <v>1.99</v>
      </c>
      <c r="N28" s="229"/>
      <c r="O28" s="229">
        <v>1.99</v>
      </c>
      <c r="P28" s="229"/>
      <c r="Q28" s="229">
        <v>1.99</v>
      </c>
      <c r="R28" s="229"/>
      <c r="S28" s="229">
        <v>1.99</v>
      </c>
      <c r="T28" s="229"/>
      <c r="U28" s="229">
        <v>1.9990000000000001</v>
      </c>
      <c r="V28" s="229"/>
      <c r="W28" s="229">
        <v>2.0099999999999998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2.0859999999999999</v>
      </c>
      <c r="J30" s="229"/>
      <c r="K30" s="229">
        <v>2.093</v>
      </c>
      <c r="L30" s="229"/>
      <c r="M30" s="229">
        <v>2.0920000000000001</v>
      </c>
      <c r="N30" s="229"/>
      <c r="O30" s="229">
        <v>2.0910000000000002</v>
      </c>
      <c r="P30" s="229"/>
      <c r="Q30" s="229">
        <v>2.0979999999999999</v>
      </c>
      <c r="R30" s="229"/>
      <c r="S30" s="229">
        <v>2.0990000000000002</v>
      </c>
      <c r="T30" s="229"/>
      <c r="U30" s="229">
        <v>2.0830000000000002</v>
      </c>
      <c r="V30" s="229"/>
      <c r="W30" s="229">
        <v>2.09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11</v>
      </c>
      <c r="J32" s="269"/>
      <c r="K32" s="269">
        <v>11</v>
      </c>
      <c r="L32" s="269"/>
      <c r="M32" s="269">
        <v>11.01</v>
      </c>
      <c r="N32" s="269"/>
      <c r="O32" s="269">
        <v>11.02</v>
      </c>
      <c r="P32" s="269"/>
      <c r="Q32" s="269">
        <v>11.02</v>
      </c>
      <c r="R32" s="269"/>
      <c r="S32" s="269">
        <v>11.01</v>
      </c>
      <c r="T32" s="269"/>
      <c r="U32" s="269">
        <v>10.99</v>
      </c>
      <c r="V32" s="269"/>
      <c r="W32" s="269">
        <v>11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145" t="s">
        <v>89</v>
      </c>
      <c r="E34" s="146"/>
      <c r="F34" s="146"/>
      <c r="G34" s="146"/>
      <c r="H34" s="147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148" t="s">
        <v>90</v>
      </c>
      <c r="E35" s="149"/>
      <c r="F35" s="149"/>
      <c r="G35" s="149"/>
      <c r="H35" s="150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148" t="s">
        <v>69</v>
      </c>
      <c r="E37" s="149"/>
      <c r="F37" s="149"/>
      <c r="G37" s="149"/>
      <c r="H37" s="150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145" t="s">
        <v>71</v>
      </c>
      <c r="E38" s="146"/>
      <c r="F38" s="146"/>
      <c r="G38" s="146"/>
      <c r="H38" s="147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148" t="s">
        <v>72</v>
      </c>
      <c r="E39" s="149"/>
      <c r="F39" s="149"/>
      <c r="G39" s="149"/>
      <c r="H39" s="150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145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148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145" t="s">
        <v>75</v>
      </c>
      <c r="E42" s="152"/>
      <c r="F42" s="156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148" t="s">
        <v>76</v>
      </c>
      <c r="E43" s="157"/>
      <c r="F43" s="157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145" t="s">
        <v>77</v>
      </c>
      <c r="E44" s="152"/>
      <c r="F44" s="156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148" t="s">
        <v>78</v>
      </c>
      <c r="E45" s="157"/>
      <c r="F45" s="157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145" t="s">
        <v>79</v>
      </c>
      <c r="E46" s="146"/>
      <c r="F46" s="146"/>
      <c r="G46" s="146"/>
      <c r="H46" s="147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148" t="s">
        <v>80</v>
      </c>
      <c r="E47" s="149"/>
      <c r="F47" s="149"/>
      <c r="G47" s="149"/>
      <c r="H47" s="150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145" t="s">
        <v>81</v>
      </c>
      <c r="E48" s="146"/>
      <c r="F48" s="146"/>
      <c r="G48" s="146"/>
      <c r="H48" s="147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148" t="s">
        <v>82</v>
      </c>
      <c r="E49" s="149"/>
      <c r="F49" s="149"/>
      <c r="G49" s="149"/>
      <c r="H49" s="150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07" priority="7" operator="greaterThan">
      <formula>$AA$28</formula>
    </cfRule>
    <cfRule type="cellIs" dxfId="206" priority="8" operator="lessThan">
      <formula>$AA$29</formula>
    </cfRule>
  </conditionalFormatting>
  <conditionalFormatting sqref="I32:X33">
    <cfRule type="cellIs" dxfId="205" priority="5" operator="greaterThan">
      <formula>$AA$32</formula>
    </cfRule>
    <cfRule type="cellIs" dxfId="204" priority="6" operator="lessThan">
      <formula>$AA$33</formula>
    </cfRule>
  </conditionalFormatting>
  <conditionalFormatting sqref="I30:X31">
    <cfRule type="cellIs" dxfId="203" priority="3" operator="greaterThan">
      <formula>$AA$30</formula>
    </cfRule>
    <cfRule type="cellIs" dxfId="202" priority="4" operator="lessThan">
      <formula>$AA$31</formula>
    </cfRule>
  </conditionalFormatting>
  <conditionalFormatting sqref="I26:X27">
    <cfRule type="cellIs" dxfId="201" priority="1" operator="greaterThan">
      <formula>$AA$26</formula>
    </cfRule>
    <cfRule type="cellIs" dxfId="2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153" t="s">
        <v>2</v>
      </c>
      <c r="E2" s="42"/>
      <c r="F2" s="286" t="s">
        <v>93</v>
      </c>
      <c r="G2" s="286"/>
      <c r="H2" s="286"/>
      <c r="I2" s="286"/>
      <c r="J2" s="286"/>
      <c r="K2" s="340"/>
      <c r="L2" s="153" t="s">
        <v>4</v>
      </c>
      <c r="M2" s="286">
        <v>9</v>
      </c>
      <c r="N2" s="287"/>
      <c r="O2" s="153" t="s">
        <v>6</v>
      </c>
      <c r="P2" s="290" t="s">
        <v>83</v>
      </c>
      <c r="Q2" s="291"/>
      <c r="R2" s="291"/>
      <c r="S2" s="291"/>
      <c r="T2" s="291"/>
      <c r="U2" s="291"/>
      <c r="V2" s="292"/>
      <c r="W2" s="153" t="s">
        <v>34</v>
      </c>
      <c r="X2" s="32">
        <v>2</v>
      </c>
      <c r="Z2" s="34" t="s">
        <v>48</v>
      </c>
    </row>
    <row r="3" spans="1:26" ht="10" customHeight="1">
      <c r="A3" s="284" t="s">
        <v>1</v>
      </c>
      <c r="B3" s="285"/>
      <c r="C3" s="219"/>
      <c r="D3" s="154" t="s">
        <v>3</v>
      </c>
      <c r="E3" s="43"/>
      <c r="F3" s="341"/>
      <c r="G3" s="341"/>
      <c r="H3" s="341"/>
      <c r="I3" s="341"/>
      <c r="J3" s="341"/>
      <c r="K3" s="342"/>
      <c r="L3" s="154" t="s">
        <v>5</v>
      </c>
      <c r="M3" s="288"/>
      <c r="N3" s="289"/>
      <c r="O3" s="154" t="s">
        <v>7</v>
      </c>
      <c r="P3" s="293"/>
      <c r="Q3" s="293"/>
      <c r="R3" s="293"/>
      <c r="S3" s="293"/>
      <c r="T3" s="293"/>
      <c r="U3" s="293"/>
      <c r="V3" s="294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295" t="s">
        <v>115</v>
      </c>
      <c r="R4" s="296"/>
      <c r="S4" s="296"/>
      <c r="T4" s="297"/>
      <c r="U4" s="153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154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9</v>
      </c>
      <c r="J24" s="248"/>
      <c r="K24" s="248">
        <v>10</v>
      </c>
      <c r="L24" s="248"/>
      <c r="M24" s="248">
        <v>11</v>
      </c>
      <c r="N24" s="248"/>
      <c r="O24" s="248">
        <v>12</v>
      </c>
      <c r="P24" s="248"/>
      <c r="Q24" s="248">
        <v>13</v>
      </c>
      <c r="R24" s="248"/>
      <c r="S24" s="248">
        <v>14</v>
      </c>
      <c r="T24" s="248"/>
      <c r="U24" s="248">
        <v>15</v>
      </c>
      <c r="V24" s="248"/>
      <c r="W24" s="248">
        <v>16</v>
      </c>
      <c r="X24" s="248"/>
      <c r="Z24" s="50"/>
    </row>
    <row r="25" spans="1:28">
      <c r="A25" s="251" t="s">
        <v>15</v>
      </c>
      <c r="B25" s="252"/>
      <c r="C25" s="151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2.097</v>
      </c>
      <c r="J26" s="229"/>
      <c r="K26" s="229">
        <v>2.097</v>
      </c>
      <c r="L26" s="229"/>
      <c r="M26" s="229">
        <v>2.1</v>
      </c>
      <c r="N26" s="229"/>
      <c r="O26" s="229">
        <v>2.1080000000000001</v>
      </c>
      <c r="P26" s="229"/>
      <c r="Q26" s="229">
        <v>2.097</v>
      </c>
      <c r="R26" s="229"/>
      <c r="S26" s="229">
        <v>2.097</v>
      </c>
      <c r="T26" s="229"/>
      <c r="U26" s="229">
        <v>2.093</v>
      </c>
      <c r="V26" s="229"/>
      <c r="W26" s="229">
        <v>2.0910000000000002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1.98</v>
      </c>
      <c r="J28" s="229"/>
      <c r="K28" s="229">
        <v>1.99</v>
      </c>
      <c r="L28" s="229"/>
      <c r="M28" s="229">
        <v>1.99</v>
      </c>
      <c r="N28" s="229"/>
      <c r="O28" s="229">
        <v>1.99</v>
      </c>
      <c r="P28" s="229"/>
      <c r="Q28" s="229">
        <v>1.98</v>
      </c>
      <c r="R28" s="229"/>
      <c r="S28" s="229">
        <v>1.99</v>
      </c>
      <c r="T28" s="229"/>
      <c r="U28" s="229">
        <v>1.99</v>
      </c>
      <c r="V28" s="229"/>
      <c r="W28" s="229">
        <v>1.98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2.073</v>
      </c>
      <c r="J30" s="229"/>
      <c r="K30" s="229">
        <v>2.0859999999999999</v>
      </c>
      <c r="L30" s="229"/>
      <c r="M30" s="229">
        <v>2.093</v>
      </c>
      <c r="N30" s="229"/>
      <c r="O30" s="229">
        <v>2.09</v>
      </c>
      <c r="P30" s="229"/>
      <c r="Q30" s="229">
        <v>2.0939999999999999</v>
      </c>
      <c r="R30" s="229"/>
      <c r="S30" s="229">
        <v>2.0870000000000002</v>
      </c>
      <c r="T30" s="229"/>
      <c r="U30" s="229">
        <v>2.093</v>
      </c>
      <c r="V30" s="229"/>
      <c r="W30" s="229">
        <v>2.08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10.99</v>
      </c>
      <c r="J32" s="269"/>
      <c r="K32" s="269">
        <v>10.99</v>
      </c>
      <c r="L32" s="269"/>
      <c r="M32" s="269">
        <v>11</v>
      </c>
      <c r="N32" s="269"/>
      <c r="O32" s="269">
        <v>11.02</v>
      </c>
      <c r="P32" s="269"/>
      <c r="Q32" s="269">
        <v>11.02</v>
      </c>
      <c r="R32" s="269"/>
      <c r="S32" s="269">
        <v>11.01</v>
      </c>
      <c r="T32" s="269"/>
      <c r="U32" s="269">
        <v>10.99</v>
      </c>
      <c r="V32" s="269"/>
      <c r="W32" s="269">
        <v>10.99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145" t="s">
        <v>89</v>
      </c>
      <c r="E34" s="146"/>
      <c r="F34" s="146"/>
      <c r="G34" s="146"/>
      <c r="H34" s="147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148" t="s">
        <v>90</v>
      </c>
      <c r="E35" s="149"/>
      <c r="F35" s="149"/>
      <c r="G35" s="149"/>
      <c r="H35" s="150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148" t="s">
        <v>69</v>
      </c>
      <c r="E37" s="149"/>
      <c r="F37" s="149"/>
      <c r="G37" s="149"/>
      <c r="H37" s="150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145" t="s">
        <v>71</v>
      </c>
      <c r="E38" s="146"/>
      <c r="F38" s="146"/>
      <c r="G38" s="146"/>
      <c r="H38" s="147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148" t="s">
        <v>72</v>
      </c>
      <c r="E39" s="149"/>
      <c r="F39" s="149"/>
      <c r="G39" s="149"/>
      <c r="H39" s="150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145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148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145" t="s">
        <v>75</v>
      </c>
      <c r="E42" s="152"/>
      <c r="F42" s="156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148" t="s">
        <v>76</v>
      </c>
      <c r="E43" s="157"/>
      <c r="F43" s="157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145" t="s">
        <v>77</v>
      </c>
      <c r="E44" s="152"/>
      <c r="F44" s="156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148" t="s">
        <v>78</v>
      </c>
      <c r="E45" s="157"/>
      <c r="F45" s="157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145" t="s">
        <v>79</v>
      </c>
      <c r="E46" s="146"/>
      <c r="F46" s="146"/>
      <c r="G46" s="146"/>
      <c r="H46" s="147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148" t="s">
        <v>80</v>
      </c>
      <c r="E47" s="149"/>
      <c r="F47" s="149"/>
      <c r="G47" s="149"/>
      <c r="H47" s="150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145" t="s">
        <v>81</v>
      </c>
      <c r="E48" s="146"/>
      <c r="F48" s="146"/>
      <c r="G48" s="146"/>
      <c r="H48" s="147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148" t="s">
        <v>82</v>
      </c>
      <c r="E49" s="149"/>
      <c r="F49" s="149"/>
      <c r="G49" s="149"/>
      <c r="H49" s="150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99" priority="7" operator="greaterThan">
      <formula>$AA$28</formula>
    </cfRule>
    <cfRule type="cellIs" dxfId="198" priority="8" operator="lessThan">
      <formula>$AA$29</formula>
    </cfRule>
  </conditionalFormatting>
  <conditionalFormatting sqref="I32:X33">
    <cfRule type="cellIs" dxfId="197" priority="5" operator="greaterThan">
      <formula>$AA$32</formula>
    </cfRule>
    <cfRule type="cellIs" dxfId="196" priority="6" operator="lessThan">
      <formula>$AA$33</formula>
    </cfRule>
  </conditionalFormatting>
  <conditionalFormatting sqref="I30:X31">
    <cfRule type="cellIs" dxfId="195" priority="3" operator="greaterThan">
      <formula>$AA$30</formula>
    </cfRule>
    <cfRule type="cellIs" dxfId="194" priority="4" operator="lessThan">
      <formula>$AA$31</formula>
    </cfRule>
  </conditionalFormatting>
  <conditionalFormatting sqref="I26:X27">
    <cfRule type="cellIs" dxfId="193" priority="1" operator="greaterThan">
      <formula>$AA$26</formula>
    </cfRule>
    <cfRule type="cellIs" dxfId="1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168" t="s">
        <v>2</v>
      </c>
      <c r="E2" s="42"/>
      <c r="F2" s="286" t="s">
        <v>93</v>
      </c>
      <c r="G2" s="286"/>
      <c r="H2" s="286"/>
      <c r="I2" s="286"/>
      <c r="J2" s="286"/>
      <c r="K2" s="340"/>
      <c r="L2" s="168" t="s">
        <v>4</v>
      </c>
      <c r="M2" s="286">
        <v>9</v>
      </c>
      <c r="N2" s="287"/>
      <c r="O2" s="168" t="s">
        <v>6</v>
      </c>
      <c r="P2" s="290" t="s">
        <v>83</v>
      </c>
      <c r="Q2" s="291"/>
      <c r="R2" s="291"/>
      <c r="S2" s="291"/>
      <c r="T2" s="291"/>
      <c r="U2" s="291"/>
      <c r="V2" s="292"/>
      <c r="W2" s="168" t="s">
        <v>34</v>
      </c>
      <c r="X2" s="32">
        <v>1</v>
      </c>
      <c r="Z2" s="34" t="s">
        <v>48</v>
      </c>
    </row>
    <row r="3" spans="1:26" ht="10" customHeight="1">
      <c r="A3" s="284" t="s">
        <v>1</v>
      </c>
      <c r="B3" s="285"/>
      <c r="C3" s="219"/>
      <c r="D3" s="169" t="s">
        <v>3</v>
      </c>
      <c r="E3" s="43"/>
      <c r="F3" s="341"/>
      <c r="G3" s="341"/>
      <c r="H3" s="341"/>
      <c r="I3" s="341"/>
      <c r="J3" s="341"/>
      <c r="K3" s="342"/>
      <c r="L3" s="169" t="s">
        <v>5</v>
      </c>
      <c r="M3" s="288"/>
      <c r="N3" s="289"/>
      <c r="O3" s="169" t="s">
        <v>7</v>
      </c>
      <c r="P3" s="293"/>
      <c r="Q3" s="293"/>
      <c r="R3" s="293"/>
      <c r="S3" s="293"/>
      <c r="T3" s="293"/>
      <c r="U3" s="293"/>
      <c r="V3" s="294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95" t="s">
        <v>119</v>
      </c>
      <c r="R4" s="296"/>
      <c r="S4" s="296"/>
      <c r="T4" s="297"/>
      <c r="U4" s="168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169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1</v>
      </c>
      <c r="J24" s="248"/>
      <c r="K24" s="248">
        <v>2</v>
      </c>
      <c r="L24" s="248"/>
      <c r="M24" s="248">
        <v>3</v>
      </c>
      <c r="N24" s="248"/>
      <c r="O24" s="248">
        <v>4</v>
      </c>
      <c r="P24" s="248"/>
      <c r="Q24" s="248">
        <v>5</v>
      </c>
      <c r="R24" s="248"/>
      <c r="S24" s="248">
        <v>6</v>
      </c>
      <c r="T24" s="248"/>
      <c r="U24" s="248">
        <v>7</v>
      </c>
      <c r="V24" s="248"/>
      <c r="W24" s="248">
        <v>8</v>
      </c>
      <c r="X24" s="248"/>
      <c r="Z24" s="50"/>
    </row>
    <row r="25" spans="1:28">
      <c r="A25" s="251" t="s">
        <v>15</v>
      </c>
      <c r="B25" s="252"/>
      <c r="C25" s="170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2.1030000000000002</v>
      </c>
      <c r="J26" s="229"/>
      <c r="K26" s="229">
        <v>2.1030000000000002</v>
      </c>
      <c r="L26" s="229"/>
      <c r="M26" s="229">
        <v>2.1019999999999999</v>
      </c>
      <c r="N26" s="229"/>
      <c r="O26" s="229">
        <v>2.0990000000000002</v>
      </c>
      <c r="P26" s="229"/>
      <c r="Q26" s="229">
        <v>2.0990000000000002</v>
      </c>
      <c r="R26" s="229"/>
      <c r="S26" s="229">
        <v>2.101</v>
      </c>
      <c r="T26" s="229"/>
      <c r="U26" s="229">
        <v>2.1</v>
      </c>
      <c r="V26" s="229"/>
      <c r="W26" s="229">
        <v>2.097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2</v>
      </c>
      <c r="J28" s="229"/>
      <c r="K28" s="229">
        <v>1.97</v>
      </c>
      <c r="L28" s="229"/>
      <c r="M28" s="229">
        <v>1.99</v>
      </c>
      <c r="N28" s="229"/>
      <c r="O28" s="229">
        <v>1.99</v>
      </c>
      <c r="P28" s="229"/>
      <c r="Q28" s="229">
        <v>1.99</v>
      </c>
      <c r="R28" s="229"/>
      <c r="S28" s="229">
        <v>1.99</v>
      </c>
      <c r="T28" s="229"/>
      <c r="U28" s="229">
        <v>1.99</v>
      </c>
      <c r="V28" s="229"/>
      <c r="W28" s="229">
        <v>2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2.0920000000000001</v>
      </c>
      <c r="J30" s="229"/>
      <c r="K30" s="229">
        <v>2.093</v>
      </c>
      <c r="L30" s="229"/>
      <c r="M30" s="229">
        <v>2.0910000000000002</v>
      </c>
      <c r="N30" s="229"/>
      <c r="O30" s="229">
        <v>2.0950000000000002</v>
      </c>
      <c r="P30" s="229"/>
      <c r="Q30" s="229">
        <v>2.0979999999999999</v>
      </c>
      <c r="R30" s="229"/>
      <c r="S30" s="229">
        <v>2.0990000000000002</v>
      </c>
      <c r="T30" s="229"/>
      <c r="U30" s="229">
        <v>2.0880000000000001</v>
      </c>
      <c r="V30" s="229"/>
      <c r="W30" s="229">
        <v>2.0939999999999999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11</v>
      </c>
      <c r="J32" s="269"/>
      <c r="K32" s="269">
        <v>11</v>
      </c>
      <c r="L32" s="269"/>
      <c r="M32" s="269">
        <v>11.01</v>
      </c>
      <c r="N32" s="269"/>
      <c r="O32" s="269">
        <v>11.02</v>
      </c>
      <c r="P32" s="269"/>
      <c r="Q32" s="269">
        <v>11.02</v>
      </c>
      <c r="R32" s="269"/>
      <c r="S32" s="269">
        <v>11</v>
      </c>
      <c r="T32" s="269"/>
      <c r="U32" s="269">
        <v>10.99</v>
      </c>
      <c r="V32" s="269"/>
      <c r="W32" s="269">
        <v>10.98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162" t="s">
        <v>89</v>
      </c>
      <c r="E34" s="163"/>
      <c r="F34" s="163"/>
      <c r="G34" s="163"/>
      <c r="H34" s="164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165" t="s">
        <v>90</v>
      </c>
      <c r="E35" s="166"/>
      <c r="F35" s="166"/>
      <c r="G35" s="166"/>
      <c r="H35" s="167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165" t="s">
        <v>69</v>
      </c>
      <c r="E37" s="166"/>
      <c r="F37" s="166"/>
      <c r="G37" s="166"/>
      <c r="H37" s="167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162" t="s">
        <v>71</v>
      </c>
      <c r="E38" s="163"/>
      <c r="F38" s="163"/>
      <c r="G38" s="163"/>
      <c r="H38" s="164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165" t="s">
        <v>72</v>
      </c>
      <c r="E39" s="166"/>
      <c r="F39" s="166"/>
      <c r="G39" s="166"/>
      <c r="H39" s="167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162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165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162" t="s">
        <v>75</v>
      </c>
      <c r="E42" s="159"/>
      <c r="F42" s="160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165" t="s">
        <v>76</v>
      </c>
      <c r="E43" s="161"/>
      <c r="F43" s="161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162" t="s">
        <v>77</v>
      </c>
      <c r="E44" s="159"/>
      <c r="F44" s="160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165" t="s">
        <v>78</v>
      </c>
      <c r="E45" s="161"/>
      <c r="F45" s="161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162" t="s">
        <v>79</v>
      </c>
      <c r="E46" s="163"/>
      <c r="F46" s="163"/>
      <c r="G46" s="163"/>
      <c r="H46" s="164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165" t="s">
        <v>80</v>
      </c>
      <c r="E47" s="166"/>
      <c r="F47" s="166"/>
      <c r="G47" s="166"/>
      <c r="H47" s="167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162" t="s">
        <v>81</v>
      </c>
      <c r="E48" s="163"/>
      <c r="F48" s="163"/>
      <c r="G48" s="163"/>
      <c r="H48" s="164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165" t="s">
        <v>82</v>
      </c>
      <c r="E49" s="166"/>
      <c r="F49" s="166"/>
      <c r="G49" s="166"/>
      <c r="H49" s="167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91" priority="7" operator="greaterThan">
      <formula>$AA$28</formula>
    </cfRule>
    <cfRule type="cellIs" dxfId="190" priority="8" operator="lessThan">
      <formula>$AA$29</formula>
    </cfRule>
  </conditionalFormatting>
  <conditionalFormatting sqref="I32:X33">
    <cfRule type="cellIs" dxfId="189" priority="5" operator="greaterThan">
      <formula>$AA$32</formula>
    </cfRule>
    <cfRule type="cellIs" dxfId="188" priority="6" operator="lessThan">
      <formula>$AA$33</formula>
    </cfRule>
  </conditionalFormatting>
  <conditionalFormatting sqref="I30:X31">
    <cfRule type="cellIs" dxfId="187" priority="3" operator="greaterThan">
      <formula>$AA$30</formula>
    </cfRule>
    <cfRule type="cellIs" dxfId="186" priority="4" operator="lessThan">
      <formula>$AA$31</formula>
    </cfRule>
  </conditionalFormatting>
  <conditionalFormatting sqref="I26:X27">
    <cfRule type="cellIs" dxfId="185" priority="1" operator="greaterThan">
      <formula>$AA$26</formula>
    </cfRule>
    <cfRule type="cellIs" dxfId="1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168" t="s">
        <v>2</v>
      </c>
      <c r="E2" s="42"/>
      <c r="F2" s="286" t="s">
        <v>93</v>
      </c>
      <c r="G2" s="286"/>
      <c r="H2" s="286"/>
      <c r="I2" s="286"/>
      <c r="J2" s="286"/>
      <c r="K2" s="340"/>
      <c r="L2" s="168" t="s">
        <v>4</v>
      </c>
      <c r="M2" s="286">
        <v>9</v>
      </c>
      <c r="N2" s="287"/>
      <c r="O2" s="168" t="s">
        <v>6</v>
      </c>
      <c r="P2" s="290" t="s">
        <v>83</v>
      </c>
      <c r="Q2" s="291"/>
      <c r="R2" s="291"/>
      <c r="S2" s="291"/>
      <c r="T2" s="291"/>
      <c r="U2" s="291"/>
      <c r="V2" s="292"/>
      <c r="W2" s="168" t="s">
        <v>34</v>
      </c>
      <c r="X2" s="32">
        <v>2</v>
      </c>
      <c r="Z2" s="34" t="s">
        <v>48</v>
      </c>
    </row>
    <row r="3" spans="1:26" ht="10" customHeight="1">
      <c r="A3" s="284" t="s">
        <v>1</v>
      </c>
      <c r="B3" s="285"/>
      <c r="C3" s="219"/>
      <c r="D3" s="169" t="s">
        <v>3</v>
      </c>
      <c r="E3" s="43"/>
      <c r="F3" s="341"/>
      <c r="G3" s="341"/>
      <c r="H3" s="341"/>
      <c r="I3" s="341"/>
      <c r="J3" s="341"/>
      <c r="K3" s="342"/>
      <c r="L3" s="169" t="s">
        <v>5</v>
      </c>
      <c r="M3" s="288"/>
      <c r="N3" s="289"/>
      <c r="O3" s="169" t="s">
        <v>7</v>
      </c>
      <c r="P3" s="293"/>
      <c r="Q3" s="293"/>
      <c r="R3" s="293"/>
      <c r="S3" s="293"/>
      <c r="T3" s="293"/>
      <c r="U3" s="293"/>
      <c r="V3" s="294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95" t="s">
        <v>118</v>
      </c>
      <c r="R4" s="296"/>
      <c r="S4" s="296"/>
      <c r="T4" s="297"/>
      <c r="U4" s="168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169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9</v>
      </c>
      <c r="J24" s="248"/>
      <c r="K24" s="248">
        <v>10</v>
      </c>
      <c r="L24" s="248"/>
      <c r="M24" s="248">
        <v>11</v>
      </c>
      <c r="N24" s="248"/>
      <c r="O24" s="248">
        <v>12</v>
      </c>
      <c r="P24" s="248"/>
      <c r="Q24" s="248">
        <v>13</v>
      </c>
      <c r="R24" s="248"/>
      <c r="S24" s="248">
        <v>14</v>
      </c>
      <c r="T24" s="248"/>
      <c r="U24" s="248">
        <v>15</v>
      </c>
      <c r="V24" s="248"/>
      <c r="W24" s="248">
        <v>16</v>
      </c>
      <c r="X24" s="248"/>
      <c r="Z24" s="50"/>
    </row>
    <row r="25" spans="1:28">
      <c r="A25" s="251" t="s">
        <v>15</v>
      </c>
      <c r="B25" s="252"/>
      <c r="C25" s="170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2.097</v>
      </c>
      <c r="J26" s="229"/>
      <c r="K26" s="229">
        <v>2.101</v>
      </c>
      <c r="L26" s="229"/>
      <c r="M26" s="229">
        <v>2.0979999999999999</v>
      </c>
      <c r="N26" s="229"/>
      <c r="O26" s="229">
        <v>2.101</v>
      </c>
      <c r="P26" s="229"/>
      <c r="Q26" s="229">
        <v>2.1030000000000002</v>
      </c>
      <c r="R26" s="229"/>
      <c r="S26" s="229">
        <v>2.1030000000000002</v>
      </c>
      <c r="T26" s="229"/>
      <c r="U26" s="229">
        <v>2.0910000000000002</v>
      </c>
      <c r="V26" s="229"/>
      <c r="W26" s="229">
        <v>2.0910000000000002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1.98</v>
      </c>
      <c r="J28" s="229"/>
      <c r="K28" s="229">
        <v>1.99</v>
      </c>
      <c r="L28" s="229"/>
      <c r="M28" s="229">
        <v>1.99</v>
      </c>
      <c r="N28" s="229"/>
      <c r="O28" s="229">
        <v>1.99</v>
      </c>
      <c r="P28" s="229"/>
      <c r="Q28" s="229">
        <v>1.98</v>
      </c>
      <c r="R28" s="229"/>
      <c r="S28" s="229">
        <v>1.99</v>
      </c>
      <c r="T28" s="229"/>
      <c r="U28" s="229">
        <v>1.99</v>
      </c>
      <c r="V28" s="229"/>
      <c r="W28" s="229">
        <v>1.98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2.0870000000000002</v>
      </c>
      <c r="J30" s="229"/>
      <c r="K30" s="229">
        <v>2.0880000000000001</v>
      </c>
      <c r="L30" s="229"/>
      <c r="M30" s="229">
        <v>2.0910000000000002</v>
      </c>
      <c r="N30" s="229"/>
      <c r="O30" s="229">
        <v>2.0939999999999999</v>
      </c>
      <c r="P30" s="229"/>
      <c r="Q30" s="229">
        <v>2.101</v>
      </c>
      <c r="R30" s="229"/>
      <c r="S30" s="229">
        <v>2.093</v>
      </c>
      <c r="T30" s="229"/>
      <c r="U30" s="229">
        <v>2.089</v>
      </c>
      <c r="V30" s="229"/>
      <c r="W30" s="229">
        <v>2.0750000000000002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10.99</v>
      </c>
      <c r="J32" s="269"/>
      <c r="K32" s="269">
        <v>10.99</v>
      </c>
      <c r="L32" s="269"/>
      <c r="M32" s="269">
        <v>11.01</v>
      </c>
      <c r="N32" s="269"/>
      <c r="O32" s="269">
        <v>11.02</v>
      </c>
      <c r="P32" s="269"/>
      <c r="Q32" s="269">
        <v>11.02</v>
      </c>
      <c r="R32" s="269"/>
      <c r="S32" s="269">
        <v>11</v>
      </c>
      <c r="T32" s="269"/>
      <c r="U32" s="269">
        <v>10.99</v>
      </c>
      <c r="V32" s="269"/>
      <c r="W32" s="269">
        <v>10.98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162" t="s">
        <v>89</v>
      </c>
      <c r="E34" s="163"/>
      <c r="F34" s="163"/>
      <c r="G34" s="163"/>
      <c r="H34" s="164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165" t="s">
        <v>90</v>
      </c>
      <c r="E35" s="166"/>
      <c r="F35" s="166"/>
      <c r="G35" s="166"/>
      <c r="H35" s="167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165" t="s">
        <v>69</v>
      </c>
      <c r="E37" s="166"/>
      <c r="F37" s="166"/>
      <c r="G37" s="166"/>
      <c r="H37" s="167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162" t="s">
        <v>71</v>
      </c>
      <c r="E38" s="163"/>
      <c r="F38" s="163"/>
      <c r="G38" s="163"/>
      <c r="H38" s="164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165" t="s">
        <v>72</v>
      </c>
      <c r="E39" s="166"/>
      <c r="F39" s="166"/>
      <c r="G39" s="166"/>
      <c r="H39" s="167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162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165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162" t="s">
        <v>75</v>
      </c>
      <c r="E42" s="159"/>
      <c r="F42" s="160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165" t="s">
        <v>76</v>
      </c>
      <c r="E43" s="161"/>
      <c r="F43" s="161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162" t="s">
        <v>77</v>
      </c>
      <c r="E44" s="159"/>
      <c r="F44" s="160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165" t="s">
        <v>78</v>
      </c>
      <c r="E45" s="161"/>
      <c r="F45" s="161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162" t="s">
        <v>79</v>
      </c>
      <c r="E46" s="163"/>
      <c r="F46" s="163"/>
      <c r="G46" s="163"/>
      <c r="H46" s="164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165" t="s">
        <v>80</v>
      </c>
      <c r="E47" s="166"/>
      <c r="F47" s="166"/>
      <c r="G47" s="166"/>
      <c r="H47" s="167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162" t="s">
        <v>81</v>
      </c>
      <c r="E48" s="163"/>
      <c r="F48" s="163"/>
      <c r="G48" s="163"/>
      <c r="H48" s="164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165" t="s">
        <v>82</v>
      </c>
      <c r="E49" s="166"/>
      <c r="F49" s="166"/>
      <c r="G49" s="166"/>
      <c r="H49" s="167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83" priority="7" operator="greaterThan">
      <formula>$AA$28</formula>
    </cfRule>
    <cfRule type="cellIs" dxfId="182" priority="8" operator="lessThan">
      <formula>$AA$29</formula>
    </cfRule>
  </conditionalFormatting>
  <conditionalFormatting sqref="I32:X33">
    <cfRule type="cellIs" dxfId="181" priority="5" operator="greaterThan">
      <formula>$AA$32</formula>
    </cfRule>
    <cfRule type="cellIs" dxfId="180" priority="6" operator="lessThan">
      <formula>$AA$33</formula>
    </cfRule>
  </conditionalFormatting>
  <conditionalFormatting sqref="I30:X31">
    <cfRule type="cellIs" dxfId="179" priority="3" operator="greaterThan">
      <formula>$AA$30</formula>
    </cfRule>
    <cfRule type="cellIs" dxfId="178" priority="4" operator="lessThan">
      <formula>$AA$31</formula>
    </cfRule>
  </conditionalFormatting>
  <conditionalFormatting sqref="I26:X27">
    <cfRule type="cellIs" dxfId="177" priority="1" operator="greaterThan">
      <formula>$AA$26</formula>
    </cfRule>
    <cfRule type="cellIs" dxfId="1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168" t="s">
        <v>2</v>
      </c>
      <c r="E2" s="42"/>
      <c r="F2" s="286" t="s">
        <v>93</v>
      </c>
      <c r="G2" s="286"/>
      <c r="H2" s="286"/>
      <c r="I2" s="286"/>
      <c r="J2" s="286"/>
      <c r="K2" s="340"/>
      <c r="L2" s="168" t="s">
        <v>4</v>
      </c>
      <c r="M2" s="286">
        <v>9</v>
      </c>
      <c r="N2" s="287"/>
      <c r="O2" s="168" t="s">
        <v>6</v>
      </c>
      <c r="P2" s="290" t="s">
        <v>83</v>
      </c>
      <c r="Q2" s="291"/>
      <c r="R2" s="291"/>
      <c r="S2" s="291"/>
      <c r="T2" s="291"/>
      <c r="U2" s="291"/>
      <c r="V2" s="292"/>
      <c r="W2" s="168" t="s">
        <v>34</v>
      </c>
      <c r="X2" s="32">
        <v>1</v>
      </c>
      <c r="Z2" s="34" t="s">
        <v>48</v>
      </c>
    </row>
    <row r="3" spans="1:26" ht="10" customHeight="1">
      <c r="A3" s="284" t="s">
        <v>1</v>
      </c>
      <c r="B3" s="285"/>
      <c r="C3" s="219"/>
      <c r="D3" s="169" t="s">
        <v>3</v>
      </c>
      <c r="E3" s="43"/>
      <c r="F3" s="341"/>
      <c r="G3" s="341"/>
      <c r="H3" s="341"/>
      <c r="I3" s="341"/>
      <c r="J3" s="341"/>
      <c r="K3" s="342"/>
      <c r="L3" s="169" t="s">
        <v>5</v>
      </c>
      <c r="M3" s="288"/>
      <c r="N3" s="289"/>
      <c r="O3" s="169" t="s">
        <v>7</v>
      </c>
      <c r="P3" s="293"/>
      <c r="Q3" s="293"/>
      <c r="R3" s="293"/>
      <c r="S3" s="293"/>
      <c r="T3" s="293"/>
      <c r="U3" s="293"/>
      <c r="V3" s="294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95" t="s">
        <v>117</v>
      </c>
      <c r="R4" s="296"/>
      <c r="S4" s="296"/>
      <c r="T4" s="297"/>
      <c r="U4" s="168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169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1</v>
      </c>
      <c r="J24" s="248"/>
      <c r="K24" s="248">
        <v>2</v>
      </c>
      <c r="L24" s="248"/>
      <c r="M24" s="248">
        <v>3</v>
      </c>
      <c r="N24" s="248"/>
      <c r="O24" s="248">
        <v>4</v>
      </c>
      <c r="P24" s="248"/>
      <c r="Q24" s="248">
        <v>5</v>
      </c>
      <c r="R24" s="248"/>
      <c r="S24" s="248">
        <v>6</v>
      </c>
      <c r="T24" s="248"/>
      <c r="U24" s="248">
        <v>7</v>
      </c>
      <c r="V24" s="248"/>
      <c r="W24" s="248">
        <v>8</v>
      </c>
      <c r="X24" s="248"/>
      <c r="Z24" s="50"/>
    </row>
    <row r="25" spans="1:28">
      <c r="A25" s="251" t="s">
        <v>15</v>
      </c>
      <c r="B25" s="252"/>
      <c r="C25" s="170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2.1030000000000002</v>
      </c>
      <c r="J26" s="229"/>
      <c r="K26" s="229">
        <v>2.0990000000000002</v>
      </c>
      <c r="L26" s="229"/>
      <c r="M26" s="229">
        <v>2.0990000000000002</v>
      </c>
      <c r="N26" s="229"/>
      <c r="O26" s="229">
        <v>2.1019999999999999</v>
      </c>
      <c r="P26" s="229"/>
      <c r="Q26" s="229">
        <v>2.0990000000000002</v>
      </c>
      <c r="R26" s="229"/>
      <c r="S26" s="229">
        <v>2.1</v>
      </c>
      <c r="T26" s="229"/>
      <c r="U26" s="229">
        <v>2.0979999999999999</v>
      </c>
      <c r="V26" s="229"/>
      <c r="W26" s="229">
        <v>2.1030000000000002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2</v>
      </c>
      <c r="J28" s="229"/>
      <c r="K28" s="229">
        <v>1.97</v>
      </c>
      <c r="L28" s="229"/>
      <c r="M28" s="229">
        <v>1.99</v>
      </c>
      <c r="N28" s="229"/>
      <c r="O28" s="229">
        <v>1.99</v>
      </c>
      <c r="P28" s="229"/>
      <c r="Q28" s="229">
        <v>1.99</v>
      </c>
      <c r="R28" s="229"/>
      <c r="S28" s="229">
        <v>1.99</v>
      </c>
      <c r="T28" s="229"/>
      <c r="U28" s="229">
        <v>1.99</v>
      </c>
      <c r="V28" s="229"/>
      <c r="W28" s="229">
        <v>2.0099999999999998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2.0870000000000002</v>
      </c>
      <c r="J30" s="229"/>
      <c r="K30" s="229">
        <v>2.0960000000000001</v>
      </c>
      <c r="L30" s="229"/>
      <c r="M30" s="229">
        <v>2.0939999999999999</v>
      </c>
      <c r="N30" s="229"/>
      <c r="O30" s="229">
        <v>2.097</v>
      </c>
      <c r="P30" s="229"/>
      <c r="Q30" s="229">
        <v>2.0979999999999999</v>
      </c>
      <c r="R30" s="229"/>
      <c r="S30" s="229">
        <v>2.097</v>
      </c>
      <c r="T30" s="229"/>
      <c r="U30" s="229">
        <v>2.089</v>
      </c>
      <c r="V30" s="229"/>
      <c r="W30" s="229">
        <v>2.0880000000000001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10.99</v>
      </c>
      <c r="J32" s="269"/>
      <c r="K32" s="269">
        <v>11</v>
      </c>
      <c r="L32" s="269"/>
      <c r="M32" s="269">
        <v>11.01</v>
      </c>
      <c r="N32" s="269"/>
      <c r="O32" s="269">
        <v>11.02</v>
      </c>
      <c r="P32" s="269"/>
      <c r="Q32" s="269">
        <v>11.01</v>
      </c>
      <c r="R32" s="269"/>
      <c r="S32" s="269">
        <v>11.01</v>
      </c>
      <c r="T32" s="269"/>
      <c r="U32" s="269">
        <v>10.99</v>
      </c>
      <c r="V32" s="269"/>
      <c r="W32" s="269">
        <v>10.99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162" t="s">
        <v>89</v>
      </c>
      <c r="E34" s="163"/>
      <c r="F34" s="163"/>
      <c r="G34" s="163"/>
      <c r="H34" s="164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165" t="s">
        <v>90</v>
      </c>
      <c r="E35" s="166"/>
      <c r="F35" s="166"/>
      <c r="G35" s="166"/>
      <c r="H35" s="167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165" t="s">
        <v>69</v>
      </c>
      <c r="E37" s="166"/>
      <c r="F37" s="166"/>
      <c r="G37" s="166"/>
      <c r="H37" s="167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162" t="s">
        <v>71</v>
      </c>
      <c r="E38" s="163"/>
      <c r="F38" s="163"/>
      <c r="G38" s="163"/>
      <c r="H38" s="164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165" t="s">
        <v>72</v>
      </c>
      <c r="E39" s="166"/>
      <c r="F39" s="166"/>
      <c r="G39" s="166"/>
      <c r="H39" s="167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162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165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162" t="s">
        <v>75</v>
      </c>
      <c r="E42" s="159"/>
      <c r="F42" s="160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165" t="s">
        <v>76</v>
      </c>
      <c r="E43" s="161"/>
      <c r="F43" s="161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162" t="s">
        <v>77</v>
      </c>
      <c r="E44" s="159"/>
      <c r="F44" s="160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165" t="s">
        <v>78</v>
      </c>
      <c r="E45" s="161"/>
      <c r="F45" s="161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162" t="s">
        <v>79</v>
      </c>
      <c r="E46" s="163"/>
      <c r="F46" s="163"/>
      <c r="G46" s="163"/>
      <c r="H46" s="164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165" t="s">
        <v>80</v>
      </c>
      <c r="E47" s="166"/>
      <c r="F47" s="166"/>
      <c r="G47" s="166"/>
      <c r="H47" s="167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162" t="s">
        <v>81</v>
      </c>
      <c r="E48" s="163"/>
      <c r="F48" s="163"/>
      <c r="G48" s="163"/>
      <c r="H48" s="164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165" t="s">
        <v>82</v>
      </c>
      <c r="E49" s="166"/>
      <c r="F49" s="166"/>
      <c r="G49" s="166"/>
      <c r="H49" s="167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75" priority="7" operator="greaterThan">
      <formula>$AA$28</formula>
    </cfRule>
    <cfRule type="cellIs" dxfId="174" priority="8" operator="lessThan">
      <formula>$AA$29</formula>
    </cfRule>
  </conditionalFormatting>
  <conditionalFormatting sqref="I32:X33">
    <cfRule type="cellIs" dxfId="173" priority="5" operator="greaterThan">
      <formula>$AA$32</formula>
    </cfRule>
    <cfRule type="cellIs" dxfId="172" priority="6" operator="lessThan">
      <formula>$AA$33</formula>
    </cfRule>
  </conditionalFormatting>
  <conditionalFormatting sqref="I30:X31">
    <cfRule type="cellIs" dxfId="171" priority="3" operator="greaterThan">
      <formula>$AA$30</formula>
    </cfRule>
    <cfRule type="cellIs" dxfId="170" priority="4" operator="lessThan">
      <formula>$AA$31</formula>
    </cfRule>
  </conditionalFormatting>
  <conditionalFormatting sqref="I26:X27">
    <cfRule type="cellIs" dxfId="169" priority="1" operator="greaterThan">
      <formula>$AA$26</formula>
    </cfRule>
    <cfRule type="cellIs" dxfId="1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168" t="s">
        <v>2</v>
      </c>
      <c r="E2" s="42"/>
      <c r="F2" s="286" t="s">
        <v>93</v>
      </c>
      <c r="G2" s="286"/>
      <c r="H2" s="286"/>
      <c r="I2" s="286"/>
      <c r="J2" s="286"/>
      <c r="K2" s="340"/>
      <c r="L2" s="168" t="s">
        <v>4</v>
      </c>
      <c r="M2" s="286">
        <v>9</v>
      </c>
      <c r="N2" s="287"/>
      <c r="O2" s="168" t="s">
        <v>6</v>
      </c>
      <c r="P2" s="290" t="s">
        <v>83</v>
      </c>
      <c r="Q2" s="291"/>
      <c r="R2" s="291"/>
      <c r="S2" s="291"/>
      <c r="T2" s="291"/>
      <c r="U2" s="291"/>
      <c r="V2" s="292"/>
      <c r="W2" s="168" t="s">
        <v>34</v>
      </c>
      <c r="X2" s="32">
        <v>2</v>
      </c>
      <c r="Z2" s="34" t="s">
        <v>48</v>
      </c>
    </row>
    <row r="3" spans="1:26" ht="10" customHeight="1">
      <c r="A3" s="284" t="s">
        <v>1</v>
      </c>
      <c r="B3" s="285"/>
      <c r="C3" s="219"/>
      <c r="D3" s="169" t="s">
        <v>3</v>
      </c>
      <c r="E3" s="43"/>
      <c r="F3" s="341"/>
      <c r="G3" s="341"/>
      <c r="H3" s="341"/>
      <c r="I3" s="341"/>
      <c r="J3" s="341"/>
      <c r="K3" s="342"/>
      <c r="L3" s="169" t="s">
        <v>5</v>
      </c>
      <c r="M3" s="288"/>
      <c r="N3" s="289"/>
      <c r="O3" s="169" t="s">
        <v>7</v>
      </c>
      <c r="P3" s="293"/>
      <c r="Q3" s="293"/>
      <c r="R3" s="293"/>
      <c r="S3" s="293"/>
      <c r="T3" s="293"/>
      <c r="U3" s="293"/>
      <c r="V3" s="294"/>
      <c r="W3" s="169" t="s">
        <v>8</v>
      </c>
      <c r="X3" s="15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8" t="s">
        <v>9</v>
      </c>
      <c r="P4" s="6"/>
      <c r="Q4" s="295" t="s">
        <v>116</v>
      </c>
      <c r="R4" s="296"/>
      <c r="S4" s="296"/>
      <c r="T4" s="297"/>
      <c r="U4" s="168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169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9</v>
      </c>
      <c r="J24" s="248"/>
      <c r="K24" s="248">
        <v>10</v>
      </c>
      <c r="L24" s="248"/>
      <c r="M24" s="248">
        <v>11</v>
      </c>
      <c r="N24" s="248"/>
      <c r="O24" s="248">
        <v>12</v>
      </c>
      <c r="P24" s="248"/>
      <c r="Q24" s="248">
        <v>13</v>
      </c>
      <c r="R24" s="248"/>
      <c r="S24" s="248">
        <v>14</v>
      </c>
      <c r="T24" s="248"/>
      <c r="U24" s="248">
        <v>15</v>
      </c>
      <c r="V24" s="248"/>
      <c r="W24" s="248">
        <v>16</v>
      </c>
      <c r="X24" s="248"/>
      <c r="Z24" s="50"/>
    </row>
    <row r="25" spans="1:28">
      <c r="A25" s="251" t="s">
        <v>15</v>
      </c>
      <c r="B25" s="252"/>
      <c r="C25" s="170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2.0990000000000002</v>
      </c>
      <c r="J26" s="229"/>
      <c r="K26" s="229">
        <v>2.0979999999999999</v>
      </c>
      <c r="L26" s="229"/>
      <c r="M26" s="229">
        <v>2.097</v>
      </c>
      <c r="N26" s="229"/>
      <c r="O26" s="229">
        <v>2.1019999999999999</v>
      </c>
      <c r="P26" s="229"/>
      <c r="Q26" s="229">
        <v>2.1040000000000001</v>
      </c>
      <c r="R26" s="229"/>
      <c r="S26" s="229">
        <v>2.0990000000000002</v>
      </c>
      <c r="T26" s="229"/>
      <c r="U26" s="229">
        <v>2.0950000000000002</v>
      </c>
      <c r="V26" s="229"/>
      <c r="W26" s="229">
        <v>2.0920000000000001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1.98</v>
      </c>
      <c r="J28" s="229"/>
      <c r="K28" s="229">
        <v>1.99</v>
      </c>
      <c r="L28" s="229"/>
      <c r="M28" s="229">
        <v>1.99</v>
      </c>
      <c r="N28" s="229"/>
      <c r="O28" s="229">
        <v>1.99</v>
      </c>
      <c r="P28" s="229"/>
      <c r="Q28" s="229">
        <v>1.98</v>
      </c>
      <c r="R28" s="229"/>
      <c r="S28" s="229">
        <v>1.99</v>
      </c>
      <c r="T28" s="229"/>
      <c r="U28" s="229">
        <v>1.99</v>
      </c>
      <c r="V28" s="229"/>
      <c r="W28" s="229">
        <v>1.98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2.0790000000000002</v>
      </c>
      <c r="J30" s="229"/>
      <c r="K30" s="229">
        <v>2.089</v>
      </c>
      <c r="L30" s="229"/>
      <c r="M30" s="229">
        <v>2.093</v>
      </c>
      <c r="N30" s="229"/>
      <c r="O30" s="229">
        <v>2.0960000000000001</v>
      </c>
      <c r="P30" s="229"/>
      <c r="Q30" s="229">
        <v>2.1</v>
      </c>
      <c r="R30" s="229"/>
      <c r="S30" s="229">
        <v>2.0920000000000001</v>
      </c>
      <c r="T30" s="229"/>
      <c r="U30" s="229">
        <v>2.0950000000000002</v>
      </c>
      <c r="V30" s="229"/>
      <c r="W30" s="229">
        <v>2.089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10.99</v>
      </c>
      <c r="J32" s="269"/>
      <c r="K32" s="269">
        <v>10.98</v>
      </c>
      <c r="L32" s="269"/>
      <c r="M32" s="269">
        <v>11</v>
      </c>
      <c r="N32" s="269"/>
      <c r="O32" s="269">
        <v>11.02</v>
      </c>
      <c r="P32" s="269"/>
      <c r="Q32" s="269">
        <v>11.02</v>
      </c>
      <c r="R32" s="269"/>
      <c r="S32" s="269">
        <v>11.01</v>
      </c>
      <c r="T32" s="269"/>
      <c r="U32" s="269">
        <v>11</v>
      </c>
      <c r="V32" s="269"/>
      <c r="W32" s="269">
        <v>10.99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162" t="s">
        <v>89</v>
      </c>
      <c r="E34" s="163"/>
      <c r="F34" s="163"/>
      <c r="G34" s="163"/>
      <c r="H34" s="164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165" t="s">
        <v>90</v>
      </c>
      <c r="E35" s="166"/>
      <c r="F35" s="166"/>
      <c r="G35" s="166"/>
      <c r="H35" s="167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165" t="s">
        <v>69</v>
      </c>
      <c r="E37" s="166"/>
      <c r="F37" s="166"/>
      <c r="G37" s="166"/>
      <c r="H37" s="167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162" t="s">
        <v>71</v>
      </c>
      <c r="E38" s="163"/>
      <c r="F38" s="163"/>
      <c r="G38" s="163"/>
      <c r="H38" s="164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165" t="s">
        <v>72</v>
      </c>
      <c r="E39" s="166"/>
      <c r="F39" s="166"/>
      <c r="G39" s="166"/>
      <c r="H39" s="167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162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165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162" t="s">
        <v>75</v>
      </c>
      <c r="E42" s="159"/>
      <c r="F42" s="160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165" t="s">
        <v>76</v>
      </c>
      <c r="E43" s="161"/>
      <c r="F43" s="161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162" t="s">
        <v>77</v>
      </c>
      <c r="E44" s="159"/>
      <c r="F44" s="160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165" t="s">
        <v>78</v>
      </c>
      <c r="E45" s="161"/>
      <c r="F45" s="161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162" t="s">
        <v>79</v>
      </c>
      <c r="E46" s="163"/>
      <c r="F46" s="163"/>
      <c r="G46" s="163"/>
      <c r="H46" s="164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165" t="s">
        <v>80</v>
      </c>
      <c r="E47" s="166"/>
      <c r="F47" s="166"/>
      <c r="G47" s="166"/>
      <c r="H47" s="167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162" t="s">
        <v>81</v>
      </c>
      <c r="E48" s="163"/>
      <c r="F48" s="163"/>
      <c r="G48" s="163"/>
      <c r="H48" s="164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165" t="s">
        <v>82</v>
      </c>
      <c r="E49" s="166"/>
      <c r="F49" s="166"/>
      <c r="G49" s="166"/>
      <c r="H49" s="167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67" priority="7" operator="greaterThan">
      <formula>$AA$28</formula>
    </cfRule>
    <cfRule type="cellIs" dxfId="166" priority="8" operator="lessThan">
      <formula>$AA$29</formula>
    </cfRule>
  </conditionalFormatting>
  <conditionalFormatting sqref="I32:X33">
    <cfRule type="cellIs" dxfId="165" priority="5" operator="greaterThan">
      <formula>$AA$32</formula>
    </cfRule>
    <cfRule type="cellIs" dxfId="164" priority="6" operator="lessThan">
      <formula>$AA$33</formula>
    </cfRule>
  </conditionalFormatting>
  <conditionalFormatting sqref="I30:X31">
    <cfRule type="cellIs" dxfId="163" priority="3" operator="greaterThan">
      <formula>$AA$30</formula>
    </cfRule>
    <cfRule type="cellIs" dxfId="162" priority="4" operator="lessThan">
      <formula>$AA$31</formula>
    </cfRule>
  </conditionalFormatting>
  <conditionalFormatting sqref="I26:X27">
    <cfRule type="cellIs" dxfId="161" priority="1" operator="greaterThan">
      <formula>$AA$26</formula>
    </cfRule>
    <cfRule type="cellIs" dxfId="1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179" t="s">
        <v>2</v>
      </c>
      <c r="E2" s="42"/>
      <c r="F2" s="286" t="s">
        <v>93</v>
      </c>
      <c r="G2" s="286"/>
      <c r="H2" s="286"/>
      <c r="I2" s="286"/>
      <c r="J2" s="286"/>
      <c r="K2" s="340"/>
      <c r="L2" s="179" t="s">
        <v>4</v>
      </c>
      <c r="M2" s="286">
        <v>9</v>
      </c>
      <c r="N2" s="287"/>
      <c r="O2" s="179" t="s">
        <v>6</v>
      </c>
      <c r="P2" s="290" t="s">
        <v>83</v>
      </c>
      <c r="Q2" s="291"/>
      <c r="R2" s="291"/>
      <c r="S2" s="291"/>
      <c r="T2" s="291"/>
      <c r="U2" s="291"/>
      <c r="V2" s="292"/>
      <c r="W2" s="179" t="s">
        <v>34</v>
      </c>
      <c r="X2" s="32">
        <v>1</v>
      </c>
      <c r="Z2" s="34" t="s">
        <v>48</v>
      </c>
    </row>
    <row r="3" spans="1:26" ht="10" customHeight="1">
      <c r="A3" s="284" t="s">
        <v>1</v>
      </c>
      <c r="B3" s="285"/>
      <c r="C3" s="219"/>
      <c r="D3" s="180" t="s">
        <v>3</v>
      </c>
      <c r="E3" s="43"/>
      <c r="F3" s="341"/>
      <c r="G3" s="341"/>
      <c r="H3" s="341"/>
      <c r="I3" s="341"/>
      <c r="J3" s="341"/>
      <c r="K3" s="342"/>
      <c r="L3" s="180" t="s">
        <v>5</v>
      </c>
      <c r="M3" s="288"/>
      <c r="N3" s="289"/>
      <c r="O3" s="180" t="s">
        <v>7</v>
      </c>
      <c r="P3" s="293"/>
      <c r="Q3" s="293"/>
      <c r="R3" s="293"/>
      <c r="S3" s="293"/>
      <c r="T3" s="293"/>
      <c r="U3" s="293"/>
      <c r="V3" s="294"/>
      <c r="W3" s="180" t="s">
        <v>8</v>
      </c>
      <c r="X3" s="18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79" t="s">
        <v>9</v>
      </c>
      <c r="P4" s="6"/>
      <c r="Q4" s="295" t="s">
        <v>126</v>
      </c>
      <c r="R4" s="296"/>
      <c r="S4" s="296"/>
      <c r="T4" s="297"/>
      <c r="U4" s="179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180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1</v>
      </c>
      <c r="J24" s="248"/>
      <c r="K24" s="248">
        <v>2</v>
      </c>
      <c r="L24" s="248"/>
      <c r="M24" s="248">
        <v>3</v>
      </c>
      <c r="N24" s="248"/>
      <c r="O24" s="248">
        <v>4</v>
      </c>
      <c r="P24" s="248"/>
      <c r="Q24" s="248">
        <v>5</v>
      </c>
      <c r="R24" s="248"/>
      <c r="S24" s="248">
        <v>6</v>
      </c>
      <c r="T24" s="248"/>
      <c r="U24" s="248">
        <v>7</v>
      </c>
      <c r="V24" s="248"/>
      <c r="W24" s="248">
        <v>8</v>
      </c>
      <c r="X24" s="248"/>
      <c r="Z24" s="50"/>
    </row>
    <row r="25" spans="1:28">
      <c r="A25" s="251" t="s">
        <v>15</v>
      </c>
      <c r="B25" s="252"/>
      <c r="C25" s="177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2.0979999999999999</v>
      </c>
      <c r="J26" s="229"/>
      <c r="K26" s="229">
        <v>2.0990000000000002</v>
      </c>
      <c r="L26" s="229"/>
      <c r="M26" s="229">
        <v>2.093</v>
      </c>
      <c r="N26" s="229"/>
      <c r="O26" s="229">
        <v>2.0990000000000002</v>
      </c>
      <c r="P26" s="229"/>
      <c r="Q26" s="229">
        <v>2.0960000000000001</v>
      </c>
      <c r="R26" s="229"/>
      <c r="S26" s="229">
        <v>2.097</v>
      </c>
      <c r="T26" s="229"/>
      <c r="U26" s="229">
        <v>2.0939999999999999</v>
      </c>
      <c r="V26" s="229"/>
      <c r="W26" s="229">
        <v>2.1030000000000002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1.99</v>
      </c>
      <c r="J28" s="229"/>
      <c r="K28" s="229">
        <v>1.97</v>
      </c>
      <c r="L28" s="229"/>
      <c r="M28" s="229">
        <v>1.99</v>
      </c>
      <c r="N28" s="229"/>
      <c r="O28" s="229">
        <v>1.99</v>
      </c>
      <c r="P28" s="229"/>
      <c r="Q28" s="229">
        <v>1.99</v>
      </c>
      <c r="R28" s="229"/>
      <c r="S28" s="229">
        <v>1.99</v>
      </c>
      <c r="T28" s="229"/>
      <c r="U28" s="229">
        <v>1.99</v>
      </c>
      <c r="V28" s="229"/>
      <c r="W28" s="229">
        <v>2.0099999999999998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2.085</v>
      </c>
      <c r="J30" s="229"/>
      <c r="K30" s="229">
        <v>2.089</v>
      </c>
      <c r="L30" s="229"/>
      <c r="M30" s="229">
        <v>2.0870000000000002</v>
      </c>
      <c r="N30" s="229"/>
      <c r="O30" s="229">
        <v>2.093</v>
      </c>
      <c r="P30" s="229"/>
      <c r="Q30" s="229">
        <v>2.0979999999999999</v>
      </c>
      <c r="R30" s="229"/>
      <c r="S30" s="229">
        <v>2.1040000000000001</v>
      </c>
      <c r="T30" s="229"/>
      <c r="U30" s="229">
        <v>2.09</v>
      </c>
      <c r="V30" s="229"/>
      <c r="W30" s="229">
        <v>2.0840000000000001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11</v>
      </c>
      <c r="J32" s="269"/>
      <c r="K32" s="269">
        <v>11.01</v>
      </c>
      <c r="L32" s="269"/>
      <c r="M32" s="269">
        <v>11.01</v>
      </c>
      <c r="N32" s="269"/>
      <c r="O32" s="269">
        <v>11.02</v>
      </c>
      <c r="P32" s="269"/>
      <c r="Q32" s="269">
        <v>11.01</v>
      </c>
      <c r="R32" s="269"/>
      <c r="S32" s="269">
        <v>11</v>
      </c>
      <c r="T32" s="269"/>
      <c r="U32" s="269">
        <v>10.99</v>
      </c>
      <c r="V32" s="269"/>
      <c r="W32" s="269">
        <v>10.98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171" t="s">
        <v>89</v>
      </c>
      <c r="E34" s="172"/>
      <c r="F34" s="172"/>
      <c r="G34" s="172"/>
      <c r="H34" s="173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174" t="s">
        <v>90</v>
      </c>
      <c r="E35" s="175"/>
      <c r="F35" s="175"/>
      <c r="G35" s="175"/>
      <c r="H35" s="176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174" t="s">
        <v>69</v>
      </c>
      <c r="E37" s="175"/>
      <c r="F37" s="175"/>
      <c r="G37" s="175"/>
      <c r="H37" s="176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171" t="s">
        <v>71</v>
      </c>
      <c r="E38" s="172"/>
      <c r="F38" s="172"/>
      <c r="G38" s="172"/>
      <c r="H38" s="173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174" t="s">
        <v>72</v>
      </c>
      <c r="E39" s="175"/>
      <c r="F39" s="175"/>
      <c r="G39" s="175"/>
      <c r="H39" s="176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171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174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171" t="s">
        <v>75</v>
      </c>
      <c r="E42" s="178"/>
      <c r="F42" s="182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174" t="s">
        <v>76</v>
      </c>
      <c r="E43" s="183"/>
      <c r="F43" s="183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171" t="s">
        <v>77</v>
      </c>
      <c r="E44" s="178"/>
      <c r="F44" s="182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174" t="s">
        <v>78</v>
      </c>
      <c r="E45" s="183"/>
      <c r="F45" s="183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171" t="s">
        <v>79</v>
      </c>
      <c r="E46" s="172"/>
      <c r="F46" s="172"/>
      <c r="G46" s="172"/>
      <c r="H46" s="173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174" t="s">
        <v>80</v>
      </c>
      <c r="E47" s="175"/>
      <c r="F47" s="175"/>
      <c r="G47" s="175"/>
      <c r="H47" s="176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171" t="s">
        <v>81</v>
      </c>
      <c r="E48" s="172"/>
      <c r="F48" s="172"/>
      <c r="G48" s="172"/>
      <c r="H48" s="173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174" t="s">
        <v>82</v>
      </c>
      <c r="E49" s="175"/>
      <c r="F49" s="175"/>
      <c r="G49" s="175"/>
      <c r="H49" s="176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9" priority="7" operator="greaterThan">
      <formula>$AA$28</formula>
    </cfRule>
    <cfRule type="cellIs" dxfId="158" priority="8" operator="lessThan">
      <formula>$AA$29</formula>
    </cfRule>
  </conditionalFormatting>
  <conditionalFormatting sqref="I32:X33">
    <cfRule type="cellIs" dxfId="157" priority="5" operator="greaterThan">
      <formula>$AA$32</formula>
    </cfRule>
    <cfRule type="cellIs" dxfId="156" priority="6" operator="lessThan">
      <formula>$AA$33</formula>
    </cfRule>
  </conditionalFormatting>
  <conditionalFormatting sqref="I30:X31">
    <cfRule type="cellIs" dxfId="155" priority="3" operator="greaterThan">
      <formula>$AA$30</formula>
    </cfRule>
    <cfRule type="cellIs" dxfId="154" priority="4" operator="lessThan">
      <formula>$AA$31</formula>
    </cfRule>
  </conditionalFormatting>
  <conditionalFormatting sqref="I26:X27">
    <cfRule type="cellIs" dxfId="153" priority="1" operator="greaterThan">
      <formula>$AA$26</formula>
    </cfRule>
    <cfRule type="cellIs" dxfId="1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179" t="s">
        <v>2</v>
      </c>
      <c r="E2" s="42"/>
      <c r="F2" s="286" t="s">
        <v>93</v>
      </c>
      <c r="G2" s="286"/>
      <c r="H2" s="286"/>
      <c r="I2" s="286"/>
      <c r="J2" s="286"/>
      <c r="K2" s="340"/>
      <c r="L2" s="179" t="s">
        <v>4</v>
      </c>
      <c r="M2" s="286">
        <v>9</v>
      </c>
      <c r="N2" s="287"/>
      <c r="O2" s="179" t="s">
        <v>6</v>
      </c>
      <c r="P2" s="290" t="s">
        <v>83</v>
      </c>
      <c r="Q2" s="291"/>
      <c r="R2" s="291"/>
      <c r="S2" s="291"/>
      <c r="T2" s="291"/>
      <c r="U2" s="291"/>
      <c r="V2" s="292"/>
      <c r="W2" s="179" t="s">
        <v>34</v>
      </c>
      <c r="X2" s="32">
        <v>2</v>
      </c>
      <c r="Z2" s="34" t="s">
        <v>48</v>
      </c>
    </row>
    <row r="3" spans="1:26" ht="10" customHeight="1">
      <c r="A3" s="284" t="s">
        <v>1</v>
      </c>
      <c r="B3" s="285"/>
      <c r="C3" s="219"/>
      <c r="D3" s="180" t="s">
        <v>3</v>
      </c>
      <c r="E3" s="43"/>
      <c r="F3" s="341"/>
      <c r="G3" s="341"/>
      <c r="H3" s="341"/>
      <c r="I3" s="341"/>
      <c r="J3" s="341"/>
      <c r="K3" s="342"/>
      <c r="L3" s="180" t="s">
        <v>5</v>
      </c>
      <c r="M3" s="288"/>
      <c r="N3" s="289"/>
      <c r="O3" s="180" t="s">
        <v>7</v>
      </c>
      <c r="P3" s="293"/>
      <c r="Q3" s="293"/>
      <c r="R3" s="293"/>
      <c r="S3" s="293"/>
      <c r="T3" s="293"/>
      <c r="U3" s="293"/>
      <c r="V3" s="294"/>
      <c r="W3" s="180" t="s">
        <v>8</v>
      </c>
      <c r="X3" s="18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79" t="s">
        <v>9</v>
      </c>
      <c r="P4" s="6"/>
      <c r="Q4" s="295" t="s">
        <v>125</v>
      </c>
      <c r="R4" s="296"/>
      <c r="S4" s="296"/>
      <c r="T4" s="297"/>
      <c r="U4" s="179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180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9</v>
      </c>
      <c r="J24" s="248"/>
      <c r="K24" s="248">
        <v>10</v>
      </c>
      <c r="L24" s="248"/>
      <c r="M24" s="248">
        <v>11</v>
      </c>
      <c r="N24" s="248"/>
      <c r="O24" s="248">
        <v>12</v>
      </c>
      <c r="P24" s="248"/>
      <c r="Q24" s="248">
        <v>13</v>
      </c>
      <c r="R24" s="248"/>
      <c r="S24" s="248">
        <v>14</v>
      </c>
      <c r="T24" s="248"/>
      <c r="U24" s="248">
        <v>15</v>
      </c>
      <c r="V24" s="248"/>
      <c r="W24" s="248">
        <v>16</v>
      </c>
      <c r="X24" s="248"/>
      <c r="Z24" s="50"/>
    </row>
    <row r="25" spans="1:28">
      <c r="A25" s="251" t="s">
        <v>15</v>
      </c>
      <c r="B25" s="252"/>
      <c r="C25" s="177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2.0990000000000002</v>
      </c>
      <c r="J26" s="229"/>
      <c r="K26" s="229">
        <v>2.0910000000000002</v>
      </c>
      <c r="L26" s="229"/>
      <c r="M26" s="229">
        <v>2.0950000000000002</v>
      </c>
      <c r="N26" s="229"/>
      <c r="O26" s="229">
        <v>2.1030000000000002</v>
      </c>
      <c r="P26" s="229"/>
      <c r="Q26" s="229">
        <v>2.1080000000000001</v>
      </c>
      <c r="R26" s="229"/>
      <c r="S26" s="229">
        <v>2.0950000000000002</v>
      </c>
      <c r="T26" s="229"/>
      <c r="U26" s="229">
        <v>2.0950000000000002</v>
      </c>
      <c r="V26" s="229"/>
      <c r="W26" s="229">
        <v>2.0939999999999999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1.98</v>
      </c>
      <c r="J28" s="229"/>
      <c r="K28" s="229">
        <v>1.99</v>
      </c>
      <c r="L28" s="229"/>
      <c r="M28" s="229">
        <v>1.99</v>
      </c>
      <c r="N28" s="229"/>
      <c r="O28" s="229">
        <v>1.99</v>
      </c>
      <c r="P28" s="229"/>
      <c r="Q28" s="229">
        <v>1.98</v>
      </c>
      <c r="R28" s="229"/>
      <c r="S28" s="229">
        <v>1.99</v>
      </c>
      <c r="T28" s="229"/>
      <c r="U28" s="229">
        <v>1.99</v>
      </c>
      <c r="V28" s="229"/>
      <c r="W28" s="229">
        <v>1.98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2.0619999999999998</v>
      </c>
      <c r="J30" s="229"/>
      <c r="K30" s="229">
        <v>2.0939999999999999</v>
      </c>
      <c r="L30" s="229"/>
      <c r="M30" s="229">
        <v>2.0950000000000002</v>
      </c>
      <c r="N30" s="229"/>
      <c r="O30" s="229">
        <v>2.0960000000000001</v>
      </c>
      <c r="P30" s="229"/>
      <c r="Q30" s="229">
        <v>2.0979999999999999</v>
      </c>
      <c r="R30" s="229"/>
      <c r="S30" s="229">
        <v>2.093</v>
      </c>
      <c r="T30" s="229"/>
      <c r="U30" s="229">
        <v>2.089</v>
      </c>
      <c r="V30" s="229"/>
      <c r="W30" s="229">
        <v>2.08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10.99</v>
      </c>
      <c r="J32" s="269"/>
      <c r="K32" s="269">
        <v>10.98</v>
      </c>
      <c r="L32" s="269"/>
      <c r="M32" s="269">
        <v>11</v>
      </c>
      <c r="N32" s="269"/>
      <c r="O32" s="269">
        <v>11.02</v>
      </c>
      <c r="P32" s="269"/>
      <c r="Q32" s="269">
        <v>11.02</v>
      </c>
      <c r="R32" s="269"/>
      <c r="S32" s="269">
        <v>11.01</v>
      </c>
      <c r="T32" s="269"/>
      <c r="U32" s="269">
        <v>10.99</v>
      </c>
      <c r="V32" s="269"/>
      <c r="W32" s="269">
        <v>10.98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171" t="s">
        <v>89</v>
      </c>
      <c r="E34" s="172"/>
      <c r="F34" s="172"/>
      <c r="G34" s="172"/>
      <c r="H34" s="173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174" t="s">
        <v>90</v>
      </c>
      <c r="E35" s="175"/>
      <c r="F35" s="175"/>
      <c r="G35" s="175"/>
      <c r="H35" s="176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174" t="s">
        <v>69</v>
      </c>
      <c r="E37" s="175"/>
      <c r="F37" s="175"/>
      <c r="G37" s="175"/>
      <c r="H37" s="176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171" t="s">
        <v>71</v>
      </c>
      <c r="E38" s="172"/>
      <c r="F38" s="172"/>
      <c r="G38" s="172"/>
      <c r="H38" s="173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174" t="s">
        <v>72</v>
      </c>
      <c r="E39" s="175"/>
      <c r="F39" s="175"/>
      <c r="G39" s="175"/>
      <c r="H39" s="176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171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174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171" t="s">
        <v>75</v>
      </c>
      <c r="E42" s="178"/>
      <c r="F42" s="182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174" t="s">
        <v>76</v>
      </c>
      <c r="E43" s="183"/>
      <c r="F43" s="183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171" t="s">
        <v>77</v>
      </c>
      <c r="E44" s="178"/>
      <c r="F44" s="182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174" t="s">
        <v>78</v>
      </c>
      <c r="E45" s="183"/>
      <c r="F45" s="183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171" t="s">
        <v>79</v>
      </c>
      <c r="E46" s="172"/>
      <c r="F46" s="172"/>
      <c r="G46" s="172"/>
      <c r="H46" s="173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174" t="s">
        <v>80</v>
      </c>
      <c r="E47" s="175"/>
      <c r="F47" s="175"/>
      <c r="G47" s="175"/>
      <c r="H47" s="176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171" t="s">
        <v>81</v>
      </c>
      <c r="E48" s="172"/>
      <c r="F48" s="172"/>
      <c r="G48" s="172"/>
      <c r="H48" s="173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174" t="s">
        <v>82</v>
      </c>
      <c r="E49" s="175"/>
      <c r="F49" s="175"/>
      <c r="G49" s="175"/>
      <c r="H49" s="176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1" priority="7" operator="greaterThan">
      <formula>$AA$28</formula>
    </cfRule>
    <cfRule type="cellIs" dxfId="150" priority="8" operator="lessThan">
      <formula>$AA$29</formula>
    </cfRule>
  </conditionalFormatting>
  <conditionalFormatting sqref="I32:X33">
    <cfRule type="cellIs" dxfId="149" priority="5" operator="greaterThan">
      <formula>$AA$32</formula>
    </cfRule>
    <cfRule type="cellIs" dxfId="148" priority="6" operator="lessThan">
      <formula>$AA$33</formula>
    </cfRule>
  </conditionalFormatting>
  <conditionalFormatting sqref="I30:X31">
    <cfRule type="cellIs" dxfId="147" priority="3" operator="greaterThan">
      <formula>$AA$30</formula>
    </cfRule>
    <cfRule type="cellIs" dxfId="146" priority="4" operator="lessThan">
      <formula>$AA$31</formula>
    </cfRule>
  </conditionalFormatting>
  <conditionalFormatting sqref="I26:X27">
    <cfRule type="cellIs" dxfId="145" priority="1" operator="greaterThan">
      <formula>$AA$26</formula>
    </cfRule>
    <cfRule type="cellIs" dxfId="1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179" t="s">
        <v>2</v>
      </c>
      <c r="E2" s="42"/>
      <c r="F2" s="286" t="s">
        <v>93</v>
      </c>
      <c r="G2" s="286"/>
      <c r="H2" s="286"/>
      <c r="I2" s="286"/>
      <c r="J2" s="286"/>
      <c r="K2" s="340"/>
      <c r="L2" s="179" t="s">
        <v>4</v>
      </c>
      <c r="M2" s="286">
        <v>9</v>
      </c>
      <c r="N2" s="287"/>
      <c r="O2" s="179" t="s">
        <v>6</v>
      </c>
      <c r="P2" s="290" t="s">
        <v>83</v>
      </c>
      <c r="Q2" s="291"/>
      <c r="R2" s="291"/>
      <c r="S2" s="291"/>
      <c r="T2" s="291"/>
      <c r="U2" s="291"/>
      <c r="V2" s="292"/>
      <c r="W2" s="179" t="s">
        <v>34</v>
      </c>
      <c r="X2" s="32">
        <v>1</v>
      </c>
      <c r="Z2" s="34" t="s">
        <v>48</v>
      </c>
    </row>
    <row r="3" spans="1:26" ht="10" customHeight="1">
      <c r="A3" s="284" t="s">
        <v>1</v>
      </c>
      <c r="B3" s="285"/>
      <c r="C3" s="219"/>
      <c r="D3" s="180" t="s">
        <v>3</v>
      </c>
      <c r="E3" s="43"/>
      <c r="F3" s="341"/>
      <c r="G3" s="341"/>
      <c r="H3" s="341"/>
      <c r="I3" s="341"/>
      <c r="J3" s="341"/>
      <c r="K3" s="342"/>
      <c r="L3" s="180" t="s">
        <v>5</v>
      </c>
      <c r="M3" s="288"/>
      <c r="N3" s="289"/>
      <c r="O3" s="180" t="s">
        <v>7</v>
      </c>
      <c r="P3" s="293"/>
      <c r="Q3" s="293"/>
      <c r="R3" s="293"/>
      <c r="S3" s="293"/>
      <c r="T3" s="293"/>
      <c r="U3" s="293"/>
      <c r="V3" s="294"/>
      <c r="W3" s="180" t="s">
        <v>8</v>
      </c>
      <c r="X3" s="18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79" t="s">
        <v>9</v>
      </c>
      <c r="P4" s="6"/>
      <c r="Q4" s="295" t="s">
        <v>124</v>
      </c>
      <c r="R4" s="296"/>
      <c r="S4" s="296"/>
      <c r="T4" s="297"/>
      <c r="U4" s="179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180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1</v>
      </c>
      <c r="J24" s="248"/>
      <c r="K24" s="248">
        <v>2</v>
      </c>
      <c r="L24" s="248"/>
      <c r="M24" s="248">
        <v>3</v>
      </c>
      <c r="N24" s="248"/>
      <c r="O24" s="248">
        <v>4</v>
      </c>
      <c r="P24" s="248"/>
      <c r="Q24" s="248">
        <v>5</v>
      </c>
      <c r="R24" s="248"/>
      <c r="S24" s="248">
        <v>6</v>
      </c>
      <c r="T24" s="248"/>
      <c r="U24" s="248">
        <v>7</v>
      </c>
      <c r="V24" s="248"/>
      <c r="W24" s="248">
        <v>8</v>
      </c>
      <c r="X24" s="248"/>
      <c r="Z24" s="50"/>
    </row>
    <row r="25" spans="1:28">
      <c r="A25" s="251" t="s">
        <v>15</v>
      </c>
      <c r="B25" s="252"/>
      <c r="C25" s="177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2.0960000000000001</v>
      </c>
      <c r="J26" s="229"/>
      <c r="K26" s="229">
        <v>2.097</v>
      </c>
      <c r="L26" s="229"/>
      <c r="M26" s="229">
        <v>2.0979999999999999</v>
      </c>
      <c r="N26" s="229"/>
      <c r="O26" s="229">
        <v>2.1019999999999999</v>
      </c>
      <c r="P26" s="229"/>
      <c r="Q26" s="229">
        <v>2.097</v>
      </c>
      <c r="R26" s="229"/>
      <c r="S26" s="229">
        <v>2.0990000000000002</v>
      </c>
      <c r="T26" s="229"/>
      <c r="U26" s="229">
        <v>2.097</v>
      </c>
      <c r="V26" s="229"/>
      <c r="W26" s="229">
        <v>2.0990000000000002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2</v>
      </c>
      <c r="J28" s="229"/>
      <c r="K28" s="229">
        <v>1.97</v>
      </c>
      <c r="L28" s="229"/>
      <c r="M28" s="229">
        <v>1.99</v>
      </c>
      <c r="N28" s="229"/>
      <c r="O28" s="229">
        <v>1.99</v>
      </c>
      <c r="P28" s="229"/>
      <c r="Q28" s="229">
        <v>1.99</v>
      </c>
      <c r="R28" s="229"/>
      <c r="S28" s="229">
        <v>1.99</v>
      </c>
      <c r="T28" s="229"/>
      <c r="U28" s="229">
        <v>1.99</v>
      </c>
      <c r="V28" s="229"/>
      <c r="W28" s="229">
        <v>2.0099999999999998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2.077</v>
      </c>
      <c r="J30" s="229"/>
      <c r="K30" s="229">
        <v>2.097</v>
      </c>
      <c r="L30" s="229"/>
      <c r="M30" s="229">
        <v>2.0920000000000001</v>
      </c>
      <c r="N30" s="229"/>
      <c r="O30" s="229">
        <v>2.0920000000000001</v>
      </c>
      <c r="P30" s="229"/>
      <c r="Q30" s="229">
        <v>2.0960000000000001</v>
      </c>
      <c r="R30" s="229"/>
      <c r="S30" s="229">
        <v>2.097</v>
      </c>
      <c r="T30" s="229"/>
      <c r="U30" s="229">
        <v>2.0910000000000002</v>
      </c>
      <c r="V30" s="229"/>
      <c r="W30" s="229">
        <v>2.085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10.99</v>
      </c>
      <c r="J32" s="269"/>
      <c r="K32" s="269">
        <v>11</v>
      </c>
      <c r="L32" s="269"/>
      <c r="M32" s="269">
        <v>11</v>
      </c>
      <c r="N32" s="269"/>
      <c r="O32" s="269">
        <v>11.02</v>
      </c>
      <c r="P32" s="269"/>
      <c r="Q32" s="269">
        <v>11.01</v>
      </c>
      <c r="R32" s="269"/>
      <c r="S32" s="269">
        <v>11</v>
      </c>
      <c r="T32" s="269"/>
      <c r="U32" s="269">
        <v>10.99</v>
      </c>
      <c r="V32" s="269"/>
      <c r="W32" s="269">
        <v>11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171" t="s">
        <v>89</v>
      </c>
      <c r="E34" s="172"/>
      <c r="F34" s="172"/>
      <c r="G34" s="172"/>
      <c r="H34" s="173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174" t="s">
        <v>90</v>
      </c>
      <c r="E35" s="175"/>
      <c r="F35" s="175"/>
      <c r="G35" s="175"/>
      <c r="H35" s="176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174" t="s">
        <v>69</v>
      </c>
      <c r="E37" s="175"/>
      <c r="F37" s="175"/>
      <c r="G37" s="175"/>
      <c r="H37" s="176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171" t="s">
        <v>71</v>
      </c>
      <c r="E38" s="172"/>
      <c r="F38" s="172"/>
      <c r="G38" s="172"/>
      <c r="H38" s="173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174" t="s">
        <v>72</v>
      </c>
      <c r="E39" s="175"/>
      <c r="F39" s="175"/>
      <c r="G39" s="175"/>
      <c r="H39" s="176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171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174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171" t="s">
        <v>75</v>
      </c>
      <c r="E42" s="178"/>
      <c r="F42" s="182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174" t="s">
        <v>76</v>
      </c>
      <c r="E43" s="183"/>
      <c r="F43" s="183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171" t="s">
        <v>77</v>
      </c>
      <c r="E44" s="178"/>
      <c r="F44" s="182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174" t="s">
        <v>78</v>
      </c>
      <c r="E45" s="183"/>
      <c r="F45" s="183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171" t="s">
        <v>79</v>
      </c>
      <c r="E46" s="172"/>
      <c r="F46" s="172"/>
      <c r="G46" s="172"/>
      <c r="H46" s="173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174" t="s">
        <v>80</v>
      </c>
      <c r="E47" s="175"/>
      <c r="F47" s="175"/>
      <c r="G47" s="175"/>
      <c r="H47" s="176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171" t="s">
        <v>81</v>
      </c>
      <c r="E48" s="172"/>
      <c r="F48" s="172"/>
      <c r="G48" s="172"/>
      <c r="H48" s="173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174" t="s">
        <v>82</v>
      </c>
      <c r="E49" s="175"/>
      <c r="F49" s="175"/>
      <c r="G49" s="175"/>
      <c r="H49" s="176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43" priority="7" operator="greaterThan">
      <formula>$AA$28</formula>
    </cfRule>
    <cfRule type="cellIs" dxfId="142" priority="8" operator="lessThan">
      <formula>$AA$29</formula>
    </cfRule>
  </conditionalFormatting>
  <conditionalFormatting sqref="I32:X33">
    <cfRule type="cellIs" dxfId="141" priority="5" operator="greaterThan">
      <formula>$AA$32</formula>
    </cfRule>
    <cfRule type="cellIs" dxfId="140" priority="6" operator="lessThan">
      <formula>$AA$33</formula>
    </cfRule>
  </conditionalFormatting>
  <conditionalFormatting sqref="I30:X31">
    <cfRule type="cellIs" dxfId="139" priority="3" operator="greaterThan">
      <formula>$AA$30</formula>
    </cfRule>
    <cfRule type="cellIs" dxfId="138" priority="4" operator="lessThan">
      <formula>$AA$31</formula>
    </cfRule>
  </conditionalFormatting>
  <conditionalFormatting sqref="I26:X27">
    <cfRule type="cellIs" dxfId="137" priority="1" operator="greaterThan">
      <formula>$AA$26</formula>
    </cfRule>
    <cfRule type="cellIs" dxfId="1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179" t="s">
        <v>2</v>
      </c>
      <c r="E2" s="42"/>
      <c r="F2" s="286" t="s">
        <v>93</v>
      </c>
      <c r="G2" s="286"/>
      <c r="H2" s="286"/>
      <c r="I2" s="286"/>
      <c r="J2" s="286"/>
      <c r="K2" s="340"/>
      <c r="L2" s="179" t="s">
        <v>4</v>
      </c>
      <c r="M2" s="286">
        <v>9</v>
      </c>
      <c r="N2" s="287"/>
      <c r="O2" s="179" t="s">
        <v>6</v>
      </c>
      <c r="P2" s="290" t="s">
        <v>83</v>
      </c>
      <c r="Q2" s="291"/>
      <c r="R2" s="291"/>
      <c r="S2" s="291"/>
      <c r="T2" s="291"/>
      <c r="U2" s="291"/>
      <c r="V2" s="292"/>
      <c r="W2" s="179" t="s">
        <v>34</v>
      </c>
      <c r="X2" s="32">
        <v>2</v>
      </c>
      <c r="Z2" s="34" t="s">
        <v>48</v>
      </c>
    </row>
    <row r="3" spans="1:26" ht="10" customHeight="1">
      <c r="A3" s="284" t="s">
        <v>1</v>
      </c>
      <c r="B3" s="285"/>
      <c r="C3" s="219"/>
      <c r="D3" s="180" t="s">
        <v>3</v>
      </c>
      <c r="E3" s="43"/>
      <c r="F3" s="341"/>
      <c r="G3" s="341"/>
      <c r="H3" s="341"/>
      <c r="I3" s="341"/>
      <c r="J3" s="341"/>
      <c r="K3" s="342"/>
      <c r="L3" s="180" t="s">
        <v>5</v>
      </c>
      <c r="M3" s="288"/>
      <c r="N3" s="289"/>
      <c r="O3" s="180" t="s">
        <v>7</v>
      </c>
      <c r="P3" s="293"/>
      <c r="Q3" s="293"/>
      <c r="R3" s="293"/>
      <c r="S3" s="293"/>
      <c r="T3" s="293"/>
      <c r="U3" s="293"/>
      <c r="V3" s="294"/>
      <c r="W3" s="180" t="s">
        <v>8</v>
      </c>
      <c r="X3" s="18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79" t="s">
        <v>9</v>
      </c>
      <c r="P4" s="6"/>
      <c r="Q4" s="295" t="s">
        <v>124</v>
      </c>
      <c r="R4" s="296"/>
      <c r="S4" s="296"/>
      <c r="T4" s="297"/>
      <c r="U4" s="179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180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9</v>
      </c>
      <c r="J24" s="248"/>
      <c r="K24" s="248">
        <v>10</v>
      </c>
      <c r="L24" s="248"/>
      <c r="M24" s="248">
        <v>11</v>
      </c>
      <c r="N24" s="248"/>
      <c r="O24" s="248">
        <v>12</v>
      </c>
      <c r="P24" s="248"/>
      <c r="Q24" s="248">
        <v>13</v>
      </c>
      <c r="R24" s="248"/>
      <c r="S24" s="248">
        <v>14</v>
      </c>
      <c r="T24" s="248"/>
      <c r="U24" s="248">
        <v>15</v>
      </c>
      <c r="V24" s="248"/>
      <c r="W24" s="248">
        <v>16</v>
      </c>
      <c r="X24" s="248"/>
      <c r="Z24" s="50"/>
    </row>
    <row r="25" spans="1:28">
      <c r="A25" s="251" t="s">
        <v>15</v>
      </c>
      <c r="B25" s="252"/>
      <c r="C25" s="177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2.1</v>
      </c>
      <c r="J26" s="229"/>
      <c r="K26" s="229">
        <v>2.0910000000000002</v>
      </c>
      <c r="L26" s="229"/>
      <c r="M26" s="229">
        <v>2.0979999999999999</v>
      </c>
      <c r="N26" s="229"/>
      <c r="O26" s="229">
        <v>2.0979999999999999</v>
      </c>
      <c r="P26" s="229"/>
      <c r="Q26" s="229">
        <v>2.1030000000000002</v>
      </c>
      <c r="R26" s="229"/>
      <c r="S26" s="229">
        <v>2.0990000000000002</v>
      </c>
      <c r="T26" s="229"/>
      <c r="U26" s="229">
        <v>2.097</v>
      </c>
      <c r="V26" s="229"/>
      <c r="W26" s="229">
        <v>2.0939999999999999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1.98</v>
      </c>
      <c r="J28" s="229"/>
      <c r="K28" s="229">
        <v>1.99</v>
      </c>
      <c r="L28" s="229"/>
      <c r="M28" s="229">
        <v>1.99</v>
      </c>
      <c r="N28" s="229"/>
      <c r="O28" s="229">
        <v>1.99</v>
      </c>
      <c r="P28" s="229"/>
      <c r="Q28" s="229">
        <v>1.98</v>
      </c>
      <c r="R28" s="229"/>
      <c r="S28" s="229">
        <v>1.99</v>
      </c>
      <c r="T28" s="229"/>
      <c r="U28" s="229">
        <v>1.99</v>
      </c>
      <c r="V28" s="229"/>
      <c r="W28" s="229">
        <v>1.98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2.0699999999999998</v>
      </c>
      <c r="J30" s="229"/>
      <c r="K30" s="229">
        <v>2.0840000000000001</v>
      </c>
      <c r="L30" s="229"/>
      <c r="M30" s="229">
        <v>2.0859999999999999</v>
      </c>
      <c r="N30" s="229"/>
      <c r="O30" s="229">
        <v>2.09</v>
      </c>
      <c r="P30" s="229"/>
      <c r="Q30" s="229">
        <v>2.0950000000000002</v>
      </c>
      <c r="R30" s="229"/>
      <c r="S30" s="229">
        <v>2.0870000000000002</v>
      </c>
      <c r="T30" s="229"/>
      <c r="U30" s="229">
        <v>2.085</v>
      </c>
      <c r="V30" s="229"/>
      <c r="W30" s="229">
        <v>2.0840000000000001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10.99</v>
      </c>
      <c r="J32" s="269"/>
      <c r="K32" s="269">
        <v>10.99</v>
      </c>
      <c r="L32" s="269"/>
      <c r="M32" s="269">
        <v>11</v>
      </c>
      <c r="N32" s="269"/>
      <c r="O32" s="269">
        <v>11.01</v>
      </c>
      <c r="P32" s="269"/>
      <c r="Q32" s="269">
        <v>11.02</v>
      </c>
      <c r="R32" s="269"/>
      <c r="S32" s="269">
        <v>11</v>
      </c>
      <c r="T32" s="269"/>
      <c r="U32" s="269">
        <v>10.99</v>
      </c>
      <c r="V32" s="269"/>
      <c r="W32" s="269">
        <v>10.99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171" t="s">
        <v>89</v>
      </c>
      <c r="E34" s="172"/>
      <c r="F34" s="172"/>
      <c r="G34" s="172"/>
      <c r="H34" s="173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174" t="s">
        <v>90</v>
      </c>
      <c r="E35" s="175"/>
      <c r="F35" s="175"/>
      <c r="G35" s="175"/>
      <c r="H35" s="176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174" t="s">
        <v>69</v>
      </c>
      <c r="E37" s="175"/>
      <c r="F37" s="175"/>
      <c r="G37" s="175"/>
      <c r="H37" s="176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171" t="s">
        <v>71</v>
      </c>
      <c r="E38" s="172"/>
      <c r="F38" s="172"/>
      <c r="G38" s="172"/>
      <c r="H38" s="173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174" t="s">
        <v>72</v>
      </c>
      <c r="E39" s="175"/>
      <c r="F39" s="175"/>
      <c r="G39" s="175"/>
      <c r="H39" s="176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171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174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171" t="s">
        <v>75</v>
      </c>
      <c r="E42" s="178"/>
      <c r="F42" s="182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174" t="s">
        <v>76</v>
      </c>
      <c r="E43" s="183"/>
      <c r="F43" s="183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171" t="s">
        <v>77</v>
      </c>
      <c r="E44" s="178"/>
      <c r="F44" s="182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174" t="s">
        <v>78</v>
      </c>
      <c r="E45" s="183"/>
      <c r="F45" s="183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171" t="s">
        <v>79</v>
      </c>
      <c r="E46" s="172"/>
      <c r="F46" s="172"/>
      <c r="G46" s="172"/>
      <c r="H46" s="173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174" t="s">
        <v>80</v>
      </c>
      <c r="E47" s="175"/>
      <c r="F47" s="175"/>
      <c r="G47" s="175"/>
      <c r="H47" s="176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171" t="s">
        <v>81</v>
      </c>
      <c r="E48" s="172"/>
      <c r="F48" s="172"/>
      <c r="G48" s="172"/>
      <c r="H48" s="173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174" t="s">
        <v>82</v>
      </c>
      <c r="E49" s="175"/>
      <c r="F49" s="175"/>
      <c r="G49" s="175"/>
      <c r="H49" s="176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35" priority="7" operator="greaterThan">
      <formula>$AA$28</formula>
    </cfRule>
    <cfRule type="cellIs" dxfId="134" priority="8" operator="lessThan">
      <formula>$AA$29</formula>
    </cfRule>
  </conditionalFormatting>
  <conditionalFormatting sqref="I32:X33">
    <cfRule type="cellIs" dxfId="133" priority="5" operator="greaterThan">
      <formula>$AA$32</formula>
    </cfRule>
    <cfRule type="cellIs" dxfId="132" priority="6" operator="lessThan">
      <formula>$AA$33</formula>
    </cfRule>
  </conditionalFormatting>
  <conditionalFormatting sqref="I30:X31">
    <cfRule type="cellIs" dxfId="131" priority="3" operator="greaterThan">
      <formula>$AA$30</formula>
    </cfRule>
    <cfRule type="cellIs" dxfId="130" priority="4" operator="lessThan">
      <formula>$AA$31</formula>
    </cfRule>
  </conditionalFormatting>
  <conditionalFormatting sqref="I26:X27">
    <cfRule type="cellIs" dxfId="129" priority="1" operator="greaterThan">
      <formula>$AA$26</formula>
    </cfRule>
    <cfRule type="cellIs" dxfId="1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179" t="s">
        <v>2</v>
      </c>
      <c r="E2" s="42"/>
      <c r="F2" s="286" t="s">
        <v>93</v>
      </c>
      <c r="G2" s="286"/>
      <c r="H2" s="286"/>
      <c r="I2" s="286"/>
      <c r="J2" s="286"/>
      <c r="K2" s="340"/>
      <c r="L2" s="179" t="s">
        <v>4</v>
      </c>
      <c r="M2" s="286">
        <v>9</v>
      </c>
      <c r="N2" s="287"/>
      <c r="O2" s="179" t="s">
        <v>6</v>
      </c>
      <c r="P2" s="290" t="s">
        <v>83</v>
      </c>
      <c r="Q2" s="291"/>
      <c r="R2" s="291"/>
      <c r="S2" s="291"/>
      <c r="T2" s="291"/>
      <c r="U2" s="291"/>
      <c r="V2" s="292"/>
      <c r="W2" s="179" t="s">
        <v>34</v>
      </c>
      <c r="X2" s="32">
        <v>1</v>
      </c>
      <c r="Z2" s="34" t="s">
        <v>48</v>
      </c>
    </row>
    <row r="3" spans="1:26" ht="10" customHeight="1">
      <c r="A3" s="284" t="s">
        <v>1</v>
      </c>
      <c r="B3" s="285"/>
      <c r="C3" s="219"/>
      <c r="D3" s="180" t="s">
        <v>3</v>
      </c>
      <c r="E3" s="43"/>
      <c r="F3" s="341"/>
      <c r="G3" s="341"/>
      <c r="H3" s="341"/>
      <c r="I3" s="341"/>
      <c r="J3" s="341"/>
      <c r="K3" s="342"/>
      <c r="L3" s="180" t="s">
        <v>5</v>
      </c>
      <c r="M3" s="288"/>
      <c r="N3" s="289"/>
      <c r="O3" s="180" t="s">
        <v>7</v>
      </c>
      <c r="P3" s="293"/>
      <c r="Q3" s="293"/>
      <c r="R3" s="293"/>
      <c r="S3" s="293"/>
      <c r="T3" s="293"/>
      <c r="U3" s="293"/>
      <c r="V3" s="294"/>
      <c r="W3" s="180" t="s">
        <v>8</v>
      </c>
      <c r="X3" s="18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79" t="s">
        <v>9</v>
      </c>
      <c r="P4" s="6"/>
      <c r="Q4" s="295" t="s">
        <v>123</v>
      </c>
      <c r="R4" s="296"/>
      <c r="S4" s="296"/>
      <c r="T4" s="297"/>
      <c r="U4" s="179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180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1</v>
      </c>
      <c r="J24" s="248"/>
      <c r="K24" s="248">
        <v>2</v>
      </c>
      <c r="L24" s="248"/>
      <c r="M24" s="248">
        <v>3</v>
      </c>
      <c r="N24" s="248"/>
      <c r="O24" s="248">
        <v>4</v>
      </c>
      <c r="P24" s="248"/>
      <c r="Q24" s="248">
        <v>5</v>
      </c>
      <c r="R24" s="248"/>
      <c r="S24" s="248">
        <v>6</v>
      </c>
      <c r="T24" s="248"/>
      <c r="U24" s="248">
        <v>7</v>
      </c>
      <c r="V24" s="248"/>
      <c r="W24" s="248">
        <v>8</v>
      </c>
      <c r="X24" s="248"/>
      <c r="Z24" s="50"/>
    </row>
    <row r="25" spans="1:28">
      <c r="A25" s="251" t="s">
        <v>15</v>
      </c>
      <c r="B25" s="252"/>
      <c r="C25" s="177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2.105</v>
      </c>
      <c r="J26" s="229"/>
      <c r="K26" s="229">
        <v>2.1</v>
      </c>
      <c r="L26" s="229"/>
      <c r="M26" s="229">
        <v>2.0990000000000002</v>
      </c>
      <c r="N26" s="229"/>
      <c r="O26" s="229">
        <v>2.0990000000000002</v>
      </c>
      <c r="P26" s="229"/>
      <c r="Q26" s="229">
        <v>2.1040000000000001</v>
      </c>
      <c r="R26" s="229"/>
      <c r="S26" s="229">
        <v>2.1070000000000002</v>
      </c>
      <c r="T26" s="229"/>
      <c r="U26" s="229">
        <v>2.097</v>
      </c>
      <c r="V26" s="229"/>
      <c r="W26" s="229">
        <v>2.1040000000000001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2</v>
      </c>
      <c r="J28" s="229"/>
      <c r="K28" s="229">
        <v>1.97</v>
      </c>
      <c r="L28" s="229"/>
      <c r="M28" s="229">
        <v>1.99</v>
      </c>
      <c r="N28" s="229"/>
      <c r="O28" s="229">
        <v>1.99</v>
      </c>
      <c r="P28" s="229"/>
      <c r="Q28" s="229">
        <v>1.99</v>
      </c>
      <c r="R28" s="229"/>
      <c r="S28" s="229">
        <v>1.99</v>
      </c>
      <c r="T28" s="229"/>
      <c r="U28" s="229">
        <v>1.99</v>
      </c>
      <c r="V28" s="229"/>
      <c r="W28" s="229">
        <v>2.0099999999999998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2.0880000000000001</v>
      </c>
      <c r="J30" s="229"/>
      <c r="K30" s="229">
        <v>2.0960000000000001</v>
      </c>
      <c r="L30" s="229"/>
      <c r="M30" s="229">
        <v>2.0939999999999999</v>
      </c>
      <c r="N30" s="229"/>
      <c r="O30" s="229">
        <v>2.0950000000000002</v>
      </c>
      <c r="P30" s="229"/>
      <c r="Q30" s="229">
        <v>2.0979999999999999</v>
      </c>
      <c r="R30" s="229"/>
      <c r="S30" s="229">
        <v>2.0950000000000002</v>
      </c>
      <c r="T30" s="229"/>
      <c r="U30" s="229">
        <v>2.0859999999999999</v>
      </c>
      <c r="V30" s="229"/>
      <c r="W30" s="229">
        <v>2.089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11</v>
      </c>
      <c r="J32" s="269"/>
      <c r="K32" s="269">
        <v>11</v>
      </c>
      <c r="L32" s="269"/>
      <c r="M32" s="269">
        <v>11</v>
      </c>
      <c r="N32" s="269"/>
      <c r="O32" s="269">
        <v>11.02</v>
      </c>
      <c r="P32" s="269"/>
      <c r="Q32" s="269">
        <v>11.02</v>
      </c>
      <c r="R32" s="269"/>
      <c r="S32" s="269">
        <v>11</v>
      </c>
      <c r="T32" s="269"/>
      <c r="U32" s="269">
        <v>10.99</v>
      </c>
      <c r="V32" s="269"/>
      <c r="W32" s="269">
        <v>10.99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171" t="s">
        <v>89</v>
      </c>
      <c r="E34" s="172"/>
      <c r="F34" s="172"/>
      <c r="G34" s="172"/>
      <c r="H34" s="173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174" t="s">
        <v>90</v>
      </c>
      <c r="E35" s="175"/>
      <c r="F35" s="175"/>
      <c r="G35" s="175"/>
      <c r="H35" s="176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174" t="s">
        <v>69</v>
      </c>
      <c r="E37" s="175"/>
      <c r="F37" s="175"/>
      <c r="G37" s="175"/>
      <c r="H37" s="176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171" t="s">
        <v>71</v>
      </c>
      <c r="E38" s="172"/>
      <c r="F38" s="172"/>
      <c r="G38" s="172"/>
      <c r="H38" s="173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174" t="s">
        <v>72</v>
      </c>
      <c r="E39" s="175"/>
      <c r="F39" s="175"/>
      <c r="G39" s="175"/>
      <c r="H39" s="176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171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174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171" t="s">
        <v>75</v>
      </c>
      <c r="E42" s="178"/>
      <c r="F42" s="182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174" t="s">
        <v>76</v>
      </c>
      <c r="E43" s="183"/>
      <c r="F43" s="183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171" t="s">
        <v>77</v>
      </c>
      <c r="E44" s="178"/>
      <c r="F44" s="182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174" t="s">
        <v>78</v>
      </c>
      <c r="E45" s="183"/>
      <c r="F45" s="183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171" t="s">
        <v>79</v>
      </c>
      <c r="E46" s="172"/>
      <c r="F46" s="172"/>
      <c r="G46" s="172"/>
      <c r="H46" s="173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174" t="s">
        <v>80</v>
      </c>
      <c r="E47" s="175"/>
      <c r="F47" s="175"/>
      <c r="G47" s="175"/>
      <c r="H47" s="176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171" t="s">
        <v>81</v>
      </c>
      <c r="E48" s="172"/>
      <c r="F48" s="172"/>
      <c r="G48" s="172"/>
      <c r="H48" s="173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174" t="s">
        <v>82</v>
      </c>
      <c r="E49" s="175"/>
      <c r="F49" s="175"/>
      <c r="G49" s="175"/>
      <c r="H49" s="176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27" priority="7" operator="greaterThan">
      <formula>$AA$28</formula>
    </cfRule>
    <cfRule type="cellIs" dxfId="126" priority="8" operator="lessThan">
      <formula>$AA$29</formula>
    </cfRule>
  </conditionalFormatting>
  <conditionalFormatting sqref="I32:X33">
    <cfRule type="cellIs" dxfId="125" priority="5" operator="greaterThan">
      <formula>$AA$32</formula>
    </cfRule>
    <cfRule type="cellIs" dxfId="124" priority="6" operator="lessThan">
      <formula>$AA$33</formula>
    </cfRule>
  </conditionalFormatting>
  <conditionalFormatting sqref="I30:X31">
    <cfRule type="cellIs" dxfId="123" priority="3" operator="greaterThan">
      <formula>$AA$30</formula>
    </cfRule>
    <cfRule type="cellIs" dxfId="122" priority="4" operator="lessThan">
      <formula>$AA$31</formula>
    </cfRule>
  </conditionalFormatting>
  <conditionalFormatting sqref="I26:X27">
    <cfRule type="cellIs" dxfId="121" priority="1" operator="greaterThan">
      <formula>$AA$26</formula>
    </cfRule>
    <cfRule type="cellIs" dxfId="1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179" t="s">
        <v>2</v>
      </c>
      <c r="E2" s="42"/>
      <c r="F2" s="286" t="s">
        <v>93</v>
      </c>
      <c r="G2" s="286"/>
      <c r="H2" s="286"/>
      <c r="I2" s="286"/>
      <c r="J2" s="286"/>
      <c r="K2" s="340"/>
      <c r="L2" s="179" t="s">
        <v>4</v>
      </c>
      <c r="M2" s="286">
        <v>9</v>
      </c>
      <c r="N2" s="287"/>
      <c r="O2" s="179" t="s">
        <v>6</v>
      </c>
      <c r="P2" s="290" t="s">
        <v>83</v>
      </c>
      <c r="Q2" s="291"/>
      <c r="R2" s="291"/>
      <c r="S2" s="291"/>
      <c r="T2" s="291"/>
      <c r="U2" s="291"/>
      <c r="V2" s="292"/>
      <c r="W2" s="179" t="s">
        <v>34</v>
      </c>
      <c r="X2" s="32">
        <v>2</v>
      </c>
      <c r="Z2" s="34" t="s">
        <v>48</v>
      </c>
    </row>
    <row r="3" spans="1:26" ht="10" customHeight="1">
      <c r="A3" s="284" t="s">
        <v>1</v>
      </c>
      <c r="B3" s="285"/>
      <c r="C3" s="219"/>
      <c r="D3" s="180" t="s">
        <v>3</v>
      </c>
      <c r="E3" s="43"/>
      <c r="F3" s="341"/>
      <c r="G3" s="341"/>
      <c r="H3" s="341"/>
      <c r="I3" s="341"/>
      <c r="J3" s="341"/>
      <c r="K3" s="342"/>
      <c r="L3" s="180" t="s">
        <v>5</v>
      </c>
      <c r="M3" s="288"/>
      <c r="N3" s="289"/>
      <c r="O3" s="180" t="s">
        <v>7</v>
      </c>
      <c r="P3" s="293"/>
      <c r="Q3" s="293"/>
      <c r="R3" s="293"/>
      <c r="S3" s="293"/>
      <c r="T3" s="293"/>
      <c r="U3" s="293"/>
      <c r="V3" s="294"/>
      <c r="W3" s="180" t="s">
        <v>8</v>
      </c>
      <c r="X3" s="18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79" t="s">
        <v>9</v>
      </c>
      <c r="P4" s="6"/>
      <c r="Q4" s="295" t="s">
        <v>122</v>
      </c>
      <c r="R4" s="296"/>
      <c r="S4" s="296"/>
      <c r="T4" s="297"/>
      <c r="U4" s="179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180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9</v>
      </c>
      <c r="J24" s="248"/>
      <c r="K24" s="248">
        <v>10</v>
      </c>
      <c r="L24" s="248"/>
      <c r="M24" s="248">
        <v>11</v>
      </c>
      <c r="N24" s="248"/>
      <c r="O24" s="248">
        <v>12</v>
      </c>
      <c r="P24" s="248"/>
      <c r="Q24" s="248">
        <v>13</v>
      </c>
      <c r="R24" s="248"/>
      <c r="S24" s="248">
        <v>14</v>
      </c>
      <c r="T24" s="248"/>
      <c r="U24" s="248">
        <v>15</v>
      </c>
      <c r="V24" s="248"/>
      <c r="W24" s="248">
        <v>16</v>
      </c>
      <c r="X24" s="248"/>
      <c r="Z24" s="50"/>
    </row>
    <row r="25" spans="1:28">
      <c r="A25" s="251" t="s">
        <v>15</v>
      </c>
      <c r="B25" s="252"/>
      <c r="C25" s="177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2.0960000000000001</v>
      </c>
      <c r="J26" s="229"/>
      <c r="K26" s="229">
        <v>2.097</v>
      </c>
      <c r="L26" s="229"/>
      <c r="M26" s="229">
        <v>2.097</v>
      </c>
      <c r="N26" s="229"/>
      <c r="O26" s="229">
        <v>2.1059999999999999</v>
      </c>
      <c r="P26" s="229"/>
      <c r="Q26" s="229">
        <v>2.1080000000000001</v>
      </c>
      <c r="R26" s="229"/>
      <c r="S26" s="229">
        <v>2.093</v>
      </c>
      <c r="T26" s="229"/>
      <c r="U26" s="229">
        <v>2.0990000000000002</v>
      </c>
      <c r="V26" s="229"/>
      <c r="W26" s="229">
        <v>2.0960000000000001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1.98</v>
      </c>
      <c r="J28" s="229"/>
      <c r="K28" s="229">
        <v>1.99</v>
      </c>
      <c r="L28" s="229"/>
      <c r="M28" s="229">
        <v>1.99</v>
      </c>
      <c r="N28" s="229"/>
      <c r="O28" s="229">
        <v>1.99</v>
      </c>
      <c r="P28" s="229"/>
      <c r="Q28" s="229">
        <v>1.98</v>
      </c>
      <c r="R28" s="229"/>
      <c r="S28" s="229">
        <v>1.99</v>
      </c>
      <c r="T28" s="229"/>
      <c r="U28" s="229">
        <v>1.99</v>
      </c>
      <c r="V28" s="229"/>
      <c r="W28" s="229">
        <v>1.98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2.081</v>
      </c>
      <c r="J30" s="229"/>
      <c r="K30" s="229">
        <v>2.0840000000000001</v>
      </c>
      <c r="L30" s="229"/>
      <c r="M30" s="229">
        <v>2.08</v>
      </c>
      <c r="N30" s="229"/>
      <c r="O30" s="229">
        <v>2.0939999999999999</v>
      </c>
      <c r="P30" s="229"/>
      <c r="Q30" s="229">
        <v>2.0990000000000002</v>
      </c>
      <c r="R30" s="229"/>
      <c r="S30" s="229">
        <v>2.0920000000000001</v>
      </c>
      <c r="T30" s="229"/>
      <c r="U30" s="229">
        <v>2.0859999999999999</v>
      </c>
      <c r="V30" s="229"/>
      <c r="W30" s="229">
        <v>2.081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10.99</v>
      </c>
      <c r="J32" s="269"/>
      <c r="K32" s="269">
        <v>10.99</v>
      </c>
      <c r="L32" s="269"/>
      <c r="M32" s="269">
        <v>11</v>
      </c>
      <c r="N32" s="269"/>
      <c r="O32" s="269">
        <v>11.02</v>
      </c>
      <c r="P32" s="269"/>
      <c r="Q32" s="269">
        <v>11.02</v>
      </c>
      <c r="R32" s="269"/>
      <c r="S32" s="269">
        <v>11</v>
      </c>
      <c r="T32" s="269"/>
      <c r="U32" s="269">
        <v>10.98</v>
      </c>
      <c r="V32" s="269"/>
      <c r="W32" s="269">
        <v>10.99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171" t="s">
        <v>89</v>
      </c>
      <c r="E34" s="172"/>
      <c r="F34" s="172"/>
      <c r="G34" s="172"/>
      <c r="H34" s="173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174" t="s">
        <v>90</v>
      </c>
      <c r="E35" s="175"/>
      <c r="F35" s="175"/>
      <c r="G35" s="175"/>
      <c r="H35" s="176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174" t="s">
        <v>69</v>
      </c>
      <c r="E37" s="175"/>
      <c r="F37" s="175"/>
      <c r="G37" s="175"/>
      <c r="H37" s="176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171" t="s">
        <v>71</v>
      </c>
      <c r="E38" s="172"/>
      <c r="F38" s="172"/>
      <c r="G38" s="172"/>
      <c r="H38" s="173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174" t="s">
        <v>72</v>
      </c>
      <c r="E39" s="175"/>
      <c r="F39" s="175"/>
      <c r="G39" s="175"/>
      <c r="H39" s="176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171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174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171" t="s">
        <v>75</v>
      </c>
      <c r="E42" s="178"/>
      <c r="F42" s="182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174" t="s">
        <v>76</v>
      </c>
      <c r="E43" s="183"/>
      <c r="F43" s="183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171" t="s">
        <v>77</v>
      </c>
      <c r="E44" s="178"/>
      <c r="F44" s="182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174" t="s">
        <v>78</v>
      </c>
      <c r="E45" s="183"/>
      <c r="F45" s="183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171" t="s">
        <v>79</v>
      </c>
      <c r="E46" s="172"/>
      <c r="F46" s="172"/>
      <c r="G46" s="172"/>
      <c r="H46" s="173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174" t="s">
        <v>80</v>
      </c>
      <c r="E47" s="175"/>
      <c r="F47" s="175"/>
      <c r="G47" s="175"/>
      <c r="H47" s="176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171" t="s">
        <v>81</v>
      </c>
      <c r="E48" s="172"/>
      <c r="F48" s="172"/>
      <c r="G48" s="172"/>
      <c r="H48" s="173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174" t="s">
        <v>82</v>
      </c>
      <c r="E49" s="175"/>
      <c r="F49" s="175"/>
      <c r="G49" s="175"/>
      <c r="H49" s="176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19" priority="7" operator="greaterThan">
      <formula>$AA$28</formula>
    </cfRule>
    <cfRule type="cellIs" dxfId="118" priority="8" operator="lessThan">
      <formula>$AA$29</formula>
    </cfRule>
  </conditionalFormatting>
  <conditionalFormatting sqref="I32:X33">
    <cfRule type="cellIs" dxfId="117" priority="5" operator="greaterThan">
      <formula>$AA$32</formula>
    </cfRule>
    <cfRule type="cellIs" dxfId="116" priority="6" operator="lessThan">
      <formula>$AA$33</formula>
    </cfRule>
  </conditionalFormatting>
  <conditionalFormatting sqref="I30:X31">
    <cfRule type="cellIs" dxfId="115" priority="3" operator="greaterThan">
      <formula>$AA$30</formula>
    </cfRule>
    <cfRule type="cellIs" dxfId="114" priority="4" operator="lessThan">
      <formula>$AA$31</formula>
    </cfRule>
  </conditionalFormatting>
  <conditionalFormatting sqref="I26:X27">
    <cfRule type="cellIs" dxfId="113" priority="1" operator="greaterThan">
      <formula>$AA$26</formula>
    </cfRule>
    <cfRule type="cellIs" dxfId="1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179" t="s">
        <v>2</v>
      </c>
      <c r="E2" s="42"/>
      <c r="F2" s="286" t="s">
        <v>93</v>
      </c>
      <c r="G2" s="286"/>
      <c r="H2" s="286"/>
      <c r="I2" s="286"/>
      <c r="J2" s="286"/>
      <c r="K2" s="340"/>
      <c r="L2" s="179" t="s">
        <v>4</v>
      </c>
      <c r="M2" s="286">
        <v>9</v>
      </c>
      <c r="N2" s="287"/>
      <c r="O2" s="179" t="s">
        <v>6</v>
      </c>
      <c r="P2" s="290" t="s">
        <v>83</v>
      </c>
      <c r="Q2" s="291"/>
      <c r="R2" s="291"/>
      <c r="S2" s="291"/>
      <c r="T2" s="291"/>
      <c r="U2" s="291"/>
      <c r="V2" s="292"/>
      <c r="W2" s="179" t="s">
        <v>34</v>
      </c>
      <c r="X2" s="32">
        <v>1</v>
      </c>
      <c r="Z2" s="34" t="s">
        <v>48</v>
      </c>
    </row>
    <row r="3" spans="1:26" ht="10" customHeight="1">
      <c r="A3" s="284" t="s">
        <v>1</v>
      </c>
      <c r="B3" s="285"/>
      <c r="C3" s="219"/>
      <c r="D3" s="180" t="s">
        <v>3</v>
      </c>
      <c r="E3" s="43"/>
      <c r="F3" s="341"/>
      <c r="G3" s="341"/>
      <c r="H3" s="341"/>
      <c r="I3" s="341"/>
      <c r="J3" s="341"/>
      <c r="K3" s="342"/>
      <c r="L3" s="180" t="s">
        <v>5</v>
      </c>
      <c r="M3" s="288"/>
      <c r="N3" s="289"/>
      <c r="O3" s="180" t="s">
        <v>7</v>
      </c>
      <c r="P3" s="293"/>
      <c r="Q3" s="293"/>
      <c r="R3" s="293"/>
      <c r="S3" s="293"/>
      <c r="T3" s="293"/>
      <c r="U3" s="293"/>
      <c r="V3" s="294"/>
      <c r="W3" s="180" t="s">
        <v>8</v>
      </c>
      <c r="X3" s="18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79" t="s">
        <v>9</v>
      </c>
      <c r="P4" s="6"/>
      <c r="Q4" s="295" t="s">
        <v>121</v>
      </c>
      <c r="R4" s="296"/>
      <c r="S4" s="296"/>
      <c r="T4" s="297"/>
      <c r="U4" s="179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180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1</v>
      </c>
      <c r="J24" s="248"/>
      <c r="K24" s="248">
        <v>2</v>
      </c>
      <c r="L24" s="248"/>
      <c r="M24" s="248">
        <v>3</v>
      </c>
      <c r="N24" s="248"/>
      <c r="O24" s="248">
        <v>4</v>
      </c>
      <c r="P24" s="248"/>
      <c r="Q24" s="248">
        <v>5</v>
      </c>
      <c r="R24" s="248"/>
      <c r="S24" s="248">
        <v>6</v>
      </c>
      <c r="T24" s="248"/>
      <c r="U24" s="248">
        <v>7</v>
      </c>
      <c r="V24" s="248"/>
      <c r="W24" s="248">
        <v>8</v>
      </c>
      <c r="X24" s="248"/>
      <c r="Z24" s="50"/>
    </row>
    <row r="25" spans="1:28">
      <c r="A25" s="251" t="s">
        <v>15</v>
      </c>
      <c r="B25" s="252"/>
      <c r="C25" s="177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2.1040000000000001</v>
      </c>
      <c r="J26" s="229"/>
      <c r="K26" s="229">
        <v>2.093</v>
      </c>
      <c r="L26" s="229"/>
      <c r="M26" s="229">
        <v>2.101</v>
      </c>
      <c r="N26" s="229"/>
      <c r="O26" s="229">
        <v>2.097</v>
      </c>
      <c r="P26" s="229"/>
      <c r="Q26" s="229">
        <v>2.1019999999999999</v>
      </c>
      <c r="R26" s="229"/>
      <c r="S26" s="229">
        <v>2.101</v>
      </c>
      <c r="T26" s="229"/>
      <c r="U26" s="229">
        <v>2.0960000000000001</v>
      </c>
      <c r="V26" s="229"/>
      <c r="W26" s="229">
        <v>2.1070000000000002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2</v>
      </c>
      <c r="J28" s="229"/>
      <c r="K28" s="229">
        <v>1.97</v>
      </c>
      <c r="L28" s="229"/>
      <c r="M28" s="229">
        <v>1.99</v>
      </c>
      <c r="N28" s="229"/>
      <c r="O28" s="229">
        <v>1.99</v>
      </c>
      <c r="P28" s="229"/>
      <c r="Q28" s="229">
        <v>1.99</v>
      </c>
      <c r="R28" s="229"/>
      <c r="S28" s="229">
        <v>1.99</v>
      </c>
      <c r="T28" s="229"/>
      <c r="U28" s="229">
        <v>1.99</v>
      </c>
      <c r="V28" s="229"/>
      <c r="W28" s="229">
        <v>2.0099999999999998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2.0880000000000001</v>
      </c>
      <c r="J30" s="229"/>
      <c r="K30" s="229">
        <v>2.093</v>
      </c>
      <c r="L30" s="229"/>
      <c r="M30" s="229">
        <v>2.0920000000000001</v>
      </c>
      <c r="N30" s="229"/>
      <c r="O30" s="229">
        <v>2.0960000000000001</v>
      </c>
      <c r="P30" s="229"/>
      <c r="Q30" s="229">
        <v>2.097</v>
      </c>
      <c r="R30" s="229"/>
      <c r="S30" s="229">
        <v>2.101</v>
      </c>
      <c r="T30" s="229"/>
      <c r="U30" s="229">
        <v>2.0859999999999999</v>
      </c>
      <c r="V30" s="229"/>
      <c r="W30" s="229">
        <v>2.0910000000000002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10.99</v>
      </c>
      <c r="J32" s="269"/>
      <c r="K32" s="269">
        <v>11</v>
      </c>
      <c r="L32" s="269"/>
      <c r="M32" s="269">
        <v>11</v>
      </c>
      <c r="N32" s="269"/>
      <c r="O32" s="269">
        <v>11.02</v>
      </c>
      <c r="P32" s="269"/>
      <c r="Q32" s="269">
        <v>11.02</v>
      </c>
      <c r="R32" s="269"/>
      <c r="S32" s="269">
        <v>11.01</v>
      </c>
      <c r="T32" s="269"/>
      <c r="U32" s="269">
        <v>10.98</v>
      </c>
      <c r="V32" s="269"/>
      <c r="W32" s="269">
        <v>10.99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171" t="s">
        <v>89</v>
      </c>
      <c r="E34" s="172"/>
      <c r="F34" s="172"/>
      <c r="G34" s="172"/>
      <c r="H34" s="173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174" t="s">
        <v>90</v>
      </c>
      <c r="E35" s="175"/>
      <c r="F35" s="175"/>
      <c r="G35" s="175"/>
      <c r="H35" s="176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174" t="s">
        <v>69</v>
      </c>
      <c r="E37" s="175"/>
      <c r="F37" s="175"/>
      <c r="G37" s="175"/>
      <c r="H37" s="176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171" t="s">
        <v>71</v>
      </c>
      <c r="E38" s="172"/>
      <c r="F38" s="172"/>
      <c r="G38" s="172"/>
      <c r="H38" s="173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174" t="s">
        <v>72</v>
      </c>
      <c r="E39" s="175"/>
      <c r="F39" s="175"/>
      <c r="G39" s="175"/>
      <c r="H39" s="176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171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174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171" t="s">
        <v>75</v>
      </c>
      <c r="E42" s="178"/>
      <c r="F42" s="182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174" t="s">
        <v>76</v>
      </c>
      <c r="E43" s="183"/>
      <c r="F43" s="183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171" t="s">
        <v>77</v>
      </c>
      <c r="E44" s="178"/>
      <c r="F44" s="182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174" t="s">
        <v>78</v>
      </c>
      <c r="E45" s="183"/>
      <c r="F45" s="183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171" t="s">
        <v>79</v>
      </c>
      <c r="E46" s="172"/>
      <c r="F46" s="172"/>
      <c r="G46" s="172"/>
      <c r="H46" s="173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174" t="s">
        <v>80</v>
      </c>
      <c r="E47" s="175"/>
      <c r="F47" s="175"/>
      <c r="G47" s="175"/>
      <c r="H47" s="176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171" t="s">
        <v>81</v>
      </c>
      <c r="E48" s="172"/>
      <c r="F48" s="172"/>
      <c r="G48" s="172"/>
      <c r="H48" s="173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174" t="s">
        <v>82</v>
      </c>
      <c r="E49" s="175"/>
      <c r="F49" s="175"/>
      <c r="G49" s="175"/>
      <c r="H49" s="176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11" priority="7" operator="greaterThan">
      <formula>$AA$28</formula>
    </cfRule>
    <cfRule type="cellIs" dxfId="110" priority="8" operator="lessThan">
      <formula>$AA$29</formula>
    </cfRule>
  </conditionalFormatting>
  <conditionalFormatting sqref="I32:X33">
    <cfRule type="cellIs" dxfId="109" priority="5" operator="greaterThan">
      <formula>$AA$32</formula>
    </cfRule>
    <cfRule type="cellIs" dxfId="108" priority="6" operator="lessThan">
      <formula>$AA$33</formula>
    </cfRule>
  </conditionalFormatting>
  <conditionalFormatting sqref="I30:X31">
    <cfRule type="cellIs" dxfId="107" priority="3" operator="greaterThan">
      <formula>$AA$30</formula>
    </cfRule>
    <cfRule type="cellIs" dxfId="106" priority="4" operator="lessThan">
      <formula>$AA$31</formula>
    </cfRule>
  </conditionalFormatting>
  <conditionalFormatting sqref="I26:X27">
    <cfRule type="cellIs" dxfId="105" priority="1" operator="greaterThan">
      <formula>$AA$26</formula>
    </cfRule>
    <cfRule type="cellIs" dxfId="1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179" t="s">
        <v>2</v>
      </c>
      <c r="E2" s="42"/>
      <c r="F2" s="286" t="s">
        <v>93</v>
      </c>
      <c r="G2" s="286"/>
      <c r="H2" s="286"/>
      <c r="I2" s="286"/>
      <c r="J2" s="286"/>
      <c r="K2" s="340"/>
      <c r="L2" s="179" t="s">
        <v>4</v>
      </c>
      <c r="M2" s="286">
        <v>9</v>
      </c>
      <c r="N2" s="287"/>
      <c r="O2" s="179" t="s">
        <v>6</v>
      </c>
      <c r="P2" s="290" t="s">
        <v>83</v>
      </c>
      <c r="Q2" s="291"/>
      <c r="R2" s="291"/>
      <c r="S2" s="291"/>
      <c r="T2" s="291"/>
      <c r="U2" s="291"/>
      <c r="V2" s="292"/>
      <c r="W2" s="179" t="s">
        <v>34</v>
      </c>
      <c r="X2" s="32">
        <v>2</v>
      </c>
      <c r="Z2" s="34" t="s">
        <v>48</v>
      </c>
    </row>
    <row r="3" spans="1:26" ht="10" customHeight="1">
      <c r="A3" s="284" t="s">
        <v>1</v>
      </c>
      <c r="B3" s="285"/>
      <c r="C3" s="219"/>
      <c r="D3" s="180" t="s">
        <v>3</v>
      </c>
      <c r="E3" s="43"/>
      <c r="F3" s="341"/>
      <c r="G3" s="341"/>
      <c r="H3" s="341"/>
      <c r="I3" s="341"/>
      <c r="J3" s="341"/>
      <c r="K3" s="342"/>
      <c r="L3" s="180" t="s">
        <v>5</v>
      </c>
      <c r="M3" s="288"/>
      <c r="N3" s="289"/>
      <c r="O3" s="180" t="s">
        <v>7</v>
      </c>
      <c r="P3" s="293"/>
      <c r="Q3" s="293"/>
      <c r="R3" s="293"/>
      <c r="S3" s="293"/>
      <c r="T3" s="293"/>
      <c r="U3" s="293"/>
      <c r="V3" s="294"/>
      <c r="W3" s="180" t="s">
        <v>8</v>
      </c>
      <c r="X3" s="18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79" t="s">
        <v>9</v>
      </c>
      <c r="P4" s="6"/>
      <c r="Q4" s="295" t="s">
        <v>120</v>
      </c>
      <c r="R4" s="296"/>
      <c r="S4" s="296"/>
      <c r="T4" s="297"/>
      <c r="U4" s="179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180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9</v>
      </c>
      <c r="J24" s="248"/>
      <c r="K24" s="248">
        <v>10</v>
      </c>
      <c r="L24" s="248"/>
      <c r="M24" s="248">
        <v>11</v>
      </c>
      <c r="N24" s="248"/>
      <c r="O24" s="248">
        <v>12</v>
      </c>
      <c r="P24" s="248"/>
      <c r="Q24" s="248">
        <v>13</v>
      </c>
      <c r="R24" s="248"/>
      <c r="S24" s="248">
        <v>14</v>
      </c>
      <c r="T24" s="248"/>
      <c r="U24" s="248">
        <v>15</v>
      </c>
      <c r="V24" s="248"/>
      <c r="W24" s="248">
        <v>16</v>
      </c>
      <c r="X24" s="248"/>
      <c r="Z24" s="50"/>
    </row>
    <row r="25" spans="1:28">
      <c r="A25" s="251" t="s">
        <v>15</v>
      </c>
      <c r="B25" s="252"/>
      <c r="C25" s="177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2.1030000000000002</v>
      </c>
      <c r="J26" s="229"/>
      <c r="K26" s="229">
        <v>2.0990000000000002</v>
      </c>
      <c r="L26" s="229"/>
      <c r="M26" s="229">
        <v>2.101</v>
      </c>
      <c r="N26" s="229"/>
      <c r="O26" s="229">
        <v>2.1</v>
      </c>
      <c r="P26" s="229"/>
      <c r="Q26" s="229">
        <v>2.1059999999999999</v>
      </c>
      <c r="R26" s="229"/>
      <c r="S26" s="229">
        <v>2.1019999999999999</v>
      </c>
      <c r="T26" s="229"/>
      <c r="U26" s="229">
        <v>2.1019999999999999</v>
      </c>
      <c r="V26" s="229"/>
      <c r="W26" s="229">
        <v>2.1019999999999999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1.98</v>
      </c>
      <c r="J28" s="229"/>
      <c r="K28" s="229">
        <v>1.99</v>
      </c>
      <c r="L28" s="229"/>
      <c r="M28" s="229">
        <v>1.99</v>
      </c>
      <c r="N28" s="229"/>
      <c r="O28" s="229">
        <v>1.99</v>
      </c>
      <c r="P28" s="229"/>
      <c r="Q28" s="229">
        <v>1.98</v>
      </c>
      <c r="R28" s="229"/>
      <c r="S28" s="229">
        <v>1.99</v>
      </c>
      <c r="T28" s="229"/>
      <c r="U28" s="229">
        <v>1.99</v>
      </c>
      <c r="V28" s="229"/>
      <c r="W28" s="229">
        <v>1.99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2.077</v>
      </c>
      <c r="J30" s="229"/>
      <c r="K30" s="229">
        <v>2.0840000000000001</v>
      </c>
      <c r="L30" s="229"/>
      <c r="M30" s="229">
        <v>2.09</v>
      </c>
      <c r="N30" s="229"/>
      <c r="O30" s="229">
        <v>2.0939999999999999</v>
      </c>
      <c r="P30" s="229"/>
      <c r="Q30" s="229">
        <v>2.097</v>
      </c>
      <c r="R30" s="229"/>
      <c r="S30" s="229">
        <v>2.09</v>
      </c>
      <c r="T30" s="229"/>
      <c r="U30" s="229">
        <v>2.085</v>
      </c>
      <c r="V30" s="229"/>
      <c r="W30" s="229">
        <v>2.077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10.98</v>
      </c>
      <c r="J32" s="269"/>
      <c r="K32" s="269">
        <v>10.98</v>
      </c>
      <c r="L32" s="269"/>
      <c r="M32" s="269">
        <v>11</v>
      </c>
      <c r="N32" s="269"/>
      <c r="O32" s="269">
        <v>11.02</v>
      </c>
      <c r="P32" s="269"/>
      <c r="Q32" s="269">
        <v>11.02</v>
      </c>
      <c r="R32" s="269"/>
      <c r="S32" s="269">
        <v>11.01</v>
      </c>
      <c r="T32" s="269"/>
      <c r="U32" s="269">
        <v>10.98</v>
      </c>
      <c r="V32" s="269"/>
      <c r="W32" s="269">
        <v>10.99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171" t="s">
        <v>89</v>
      </c>
      <c r="E34" s="172"/>
      <c r="F34" s="172"/>
      <c r="G34" s="172"/>
      <c r="H34" s="173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174" t="s">
        <v>90</v>
      </c>
      <c r="E35" s="175"/>
      <c r="F35" s="175"/>
      <c r="G35" s="175"/>
      <c r="H35" s="176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174" t="s">
        <v>69</v>
      </c>
      <c r="E37" s="175"/>
      <c r="F37" s="175"/>
      <c r="G37" s="175"/>
      <c r="H37" s="176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171" t="s">
        <v>71</v>
      </c>
      <c r="E38" s="172"/>
      <c r="F38" s="172"/>
      <c r="G38" s="172"/>
      <c r="H38" s="173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174" t="s">
        <v>72</v>
      </c>
      <c r="E39" s="175"/>
      <c r="F39" s="175"/>
      <c r="G39" s="175"/>
      <c r="H39" s="176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171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174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171" t="s">
        <v>75</v>
      </c>
      <c r="E42" s="178"/>
      <c r="F42" s="182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174" t="s">
        <v>76</v>
      </c>
      <c r="E43" s="183"/>
      <c r="F43" s="183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171" t="s">
        <v>77</v>
      </c>
      <c r="E44" s="178"/>
      <c r="F44" s="182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174" t="s">
        <v>78</v>
      </c>
      <c r="E45" s="183"/>
      <c r="F45" s="183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171" t="s">
        <v>79</v>
      </c>
      <c r="E46" s="172"/>
      <c r="F46" s="172"/>
      <c r="G46" s="172"/>
      <c r="H46" s="173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174" t="s">
        <v>80</v>
      </c>
      <c r="E47" s="175"/>
      <c r="F47" s="175"/>
      <c r="G47" s="175"/>
      <c r="H47" s="176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171" t="s">
        <v>81</v>
      </c>
      <c r="E48" s="172"/>
      <c r="F48" s="172"/>
      <c r="G48" s="172"/>
      <c r="H48" s="173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174" t="s">
        <v>82</v>
      </c>
      <c r="E49" s="175"/>
      <c r="F49" s="175"/>
      <c r="G49" s="175"/>
      <c r="H49" s="176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3" priority="7" operator="greaterThan">
      <formula>$AA$28</formula>
    </cfRule>
    <cfRule type="cellIs" dxfId="102" priority="8" operator="lessThan">
      <formula>$AA$29</formula>
    </cfRule>
  </conditionalFormatting>
  <conditionalFormatting sqref="I32:X33">
    <cfRule type="cellIs" dxfId="101" priority="5" operator="greaterThan">
      <formula>$AA$32</formula>
    </cfRule>
    <cfRule type="cellIs" dxfId="100" priority="6" operator="lessThan">
      <formula>$AA$33</formula>
    </cfRule>
  </conditionalFormatting>
  <conditionalFormatting sqref="I30:X31">
    <cfRule type="cellIs" dxfId="99" priority="3" operator="greaterThan">
      <formula>$AA$30</formula>
    </cfRule>
    <cfRule type="cellIs" dxfId="98" priority="4" operator="lessThan">
      <formula>$AA$31</formula>
    </cfRule>
  </conditionalFormatting>
  <conditionalFormatting sqref="I26:X27">
    <cfRule type="cellIs" dxfId="97" priority="1" operator="greaterThan">
      <formula>$AA$26</formula>
    </cfRule>
    <cfRule type="cellIs" dxfId="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194" t="s">
        <v>2</v>
      </c>
      <c r="E2" s="42"/>
      <c r="F2" s="286" t="s">
        <v>93</v>
      </c>
      <c r="G2" s="286"/>
      <c r="H2" s="286"/>
      <c r="I2" s="286"/>
      <c r="J2" s="286"/>
      <c r="K2" s="340"/>
      <c r="L2" s="194" t="s">
        <v>4</v>
      </c>
      <c r="M2" s="286">
        <v>9</v>
      </c>
      <c r="N2" s="287"/>
      <c r="O2" s="194" t="s">
        <v>6</v>
      </c>
      <c r="P2" s="290" t="s">
        <v>83</v>
      </c>
      <c r="Q2" s="291"/>
      <c r="R2" s="291"/>
      <c r="S2" s="291"/>
      <c r="T2" s="291"/>
      <c r="U2" s="291"/>
      <c r="V2" s="292"/>
      <c r="W2" s="194" t="s">
        <v>34</v>
      </c>
      <c r="X2" s="32">
        <v>1</v>
      </c>
      <c r="Z2" s="34" t="s">
        <v>48</v>
      </c>
    </row>
    <row r="3" spans="1:26" ht="10" customHeight="1">
      <c r="A3" s="284" t="s">
        <v>1</v>
      </c>
      <c r="B3" s="285"/>
      <c r="C3" s="219"/>
      <c r="D3" s="195" t="s">
        <v>3</v>
      </c>
      <c r="E3" s="43"/>
      <c r="F3" s="341"/>
      <c r="G3" s="341"/>
      <c r="H3" s="341"/>
      <c r="I3" s="341"/>
      <c r="J3" s="341"/>
      <c r="K3" s="342"/>
      <c r="L3" s="195" t="s">
        <v>5</v>
      </c>
      <c r="M3" s="288"/>
      <c r="N3" s="289"/>
      <c r="O3" s="195" t="s">
        <v>7</v>
      </c>
      <c r="P3" s="293"/>
      <c r="Q3" s="293"/>
      <c r="R3" s="293"/>
      <c r="S3" s="293"/>
      <c r="T3" s="293"/>
      <c r="U3" s="293"/>
      <c r="V3" s="294"/>
      <c r="W3" s="195" t="s">
        <v>8</v>
      </c>
      <c r="X3" s="18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295" t="s">
        <v>129</v>
      </c>
      <c r="R4" s="296"/>
      <c r="S4" s="296"/>
      <c r="T4" s="297"/>
      <c r="U4" s="194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195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1</v>
      </c>
      <c r="J24" s="248"/>
      <c r="K24" s="248">
        <v>2</v>
      </c>
      <c r="L24" s="248"/>
      <c r="M24" s="248">
        <v>3</v>
      </c>
      <c r="N24" s="248"/>
      <c r="O24" s="248">
        <v>4</v>
      </c>
      <c r="P24" s="248"/>
      <c r="Q24" s="248">
        <v>5</v>
      </c>
      <c r="R24" s="248"/>
      <c r="S24" s="248">
        <v>6</v>
      </c>
      <c r="T24" s="248"/>
      <c r="U24" s="248">
        <v>7</v>
      </c>
      <c r="V24" s="248"/>
      <c r="W24" s="248">
        <v>8</v>
      </c>
      <c r="X24" s="248"/>
      <c r="Z24" s="50"/>
    </row>
    <row r="25" spans="1:28">
      <c r="A25" s="251" t="s">
        <v>15</v>
      </c>
      <c r="B25" s="252"/>
      <c r="C25" s="196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2.1030000000000002</v>
      </c>
      <c r="J26" s="229"/>
      <c r="K26" s="229">
        <v>2.1030000000000002</v>
      </c>
      <c r="L26" s="229"/>
      <c r="M26" s="229">
        <v>2.0990000000000002</v>
      </c>
      <c r="N26" s="229"/>
      <c r="O26" s="229">
        <v>2.0990000000000002</v>
      </c>
      <c r="P26" s="229"/>
      <c r="Q26" s="229">
        <v>2.0990000000000002</v>
      </c>
      <c r="R26" s="229"/>
      <c r="S26" s="229">
        <v>2.0950000000000002</v>
      </c>
      <c r="T26" s="229"/>
      <c r="U26" s="229">
        <v>2.0960000000000001</v>
      </c>
      <c r="V26" s="229"/>
      <c r="W26" s="229">
        <v>2.1059999999999999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2</v>
      </c>
      <c r="J28" s="229"/>
      <c r="K28" s="229">
        <v>1.97</v>
      </c>
      <c r="L28" s="229"/>
      <c r="M28" s="229">
        <v>1.99</v>
      </c>
      <c r="N28" s="229"/>
      <c r="O28" s="229">
        <v>1.99</v>
      </c>
      <c r="P28" s="229"/>
      <c r="Q28" s="229">
        <v>1.99</v>
      </c>
      <c r="R28" s="229"/>
      <c r="S28" s="229">
        <v>1.99</v>
      </c>
      <c r="T28" s="229"/>
      <c r="U28" s="229">
        <v>1.99</v>
      </c>
      <c r="V28" s="229"/>
      <c r="W28" s="229">
        <v>2.0099999999999998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2.085</v>
      </c>
      <c r="J30" s="229"/>
      <c r="K30" s="229">
        <v>2.0910000000000002</v>
      </c>
      <c r="L30" s="229"/>
      <c r="M30" s="229">
        <v>2.089</v>
      </c>
      <c r="N30" s="229"/>
      <c r="O30" s="229">
        <v>2.093</v>
      </c>
      <c r="P30" s="229"/>
      <c r="Q30" s="229">
        <v>2.093</v>
      </c>
      <c r="R30" s="229"/>
      <c r="S30" s="229">
        <v>2.0950000000000002</v>
      </c>
      <c r="T30" s="229"/>
      <c r="U30" s="229">
        <v>2.0880000000000001</v>
      </c>
      <c r="V30" s="229"/>
      <c r="W30" s="229">
        <v>2.0880000000000001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10.99</v>
      </c>
      <c r="J32" s="269"/>
      <c r="K32" s="269">
        <v>11</v>
      </c>
      <c r="L32" s="269"/>
      <c r="M32" s="269">
        <v>11</v>
      </c>
      <c r="N32" s="269"/>
      <c r="O32" s="269">
        <v>11.02</v>
      </c>
      <c r="P32" s="269"/>
      <c r="Q32" s="269">
        <v>11.02</v>
      </c>
      <c r="R32" s="269"/>
      <c r="S32" s="269">
        <v>11</v>
      </c>
      <c r="T32" s="269"/>
      <c r="U32" s="269">
        <v>10.98</v>
      </c>
      <c r="V32" s="269"/>
      <c r="W32" s="269">
        <v>10.98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188" t="s">
        <v>89</v>
      </c>
      <c r="E34" s="189"/>
      <c r="F34" s="189"/>
      <c r="G34" s="189"/>
      <c r="H34" s="190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191" t="s">
        <v>90</v>
      </c>
      <c r="E35" s="192"/>
      <c r="F35" s="192"/>
      <c r="G35" s="192"/>
      <c r="H35" s="193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191" t="s">
        <v>69</v>
      </c>
      <c r="E37" s="192"/>
      <c r="F37" s="192"/>
      <c r="G37" s="192"/>
      <c r="H37" s="193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188" t="s">
        <v>71</v>
      </c>
      <c r="E38" s="189"/>
      <c r="F38" s="189"/>
      <c r="G38" s="189"/>
      <c r="H38" s="190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191" t="s">
        <v>72</v>
      </c>
      <c r="E39" s="192"/>
      <c r="F39" s="192"/>
      <c r="G39" s="192"/>
      <c r="H39" s="193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188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191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188" t="s">
        <v>75</v>
      </c>
      <c r="E42" s="185"/>
      <c r="F42" s="186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191" t="s">
        <v>76</v>
      </c>
      <c r="E43" s="187"/>
      <c r="F43" s="187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188" t="s">
        <v>77</v>
      </c>
      <c r="E44" s="185"/>
      <c r="F44" s="186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191" t="s">
        <v>78</v>
      </c>
      <c r="E45" s="187"/>
      <c r="F45" s="187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188" t="s">
        <v>79</v>
      </c>
      <c r="E46" s="189"/>
      <c r="F46" s="189"/>
      <c r="G46" s="189"/>
      <c r="H46" s="190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191" t="s">
        <v>80</v>
      </c>
      <c r="E47" s="192"/>
      <c r="F47" s="192"/>
      <c r="G47" s="192"/>
      <c r="H47" s="193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188" t="s">
        <v>81</v>
      </c>
      <c r="E48" s="189"/>
      <c r="F48" s="189"/>
      <c r="G48" s="189"/>
      <c r="H48" s="190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191" t="s">
        <v>82</v>
      </c>
      <c r="E49" s="192"/>
      <c r="F49" s="192"/>
      <c r="G49" s="192"/>
      <c r="H49" s="193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5" priority="7" operator="greaterThan">
      <formula>$AA$28</formula>
    </cfRule>
    <cfRule type="cellIs" dxfId="94" priority="8" operator="lessThan">
      <formula>$AA$29</formula>
    </cfRule>
  </conditionalFormatting>
  <conditionalFormatting sqref="I32:X33">
    <cfRule type="cellIs" dxfId="93" priority="5" operator="greaterThan">
      <formula>$AA$32</formula>
    </cfRule>
    <cfRule type="cellIs" dxfId="92" priority="6" operator="lessThan">
      <formula>$AA$33</formula>
    </cfRule>
  </conditionalFormatting>
  <conditionalFormatting sqref="I30:X31">
    <cfRule type="cellIs" dxfId="91" priority="3" operator="greaterThan">
      <formula>$AA$30</formula>
    </cfRule>
    <cfRule type="cellIs" dxfId="90" priority="4" operator="lessThan">
      <formula>$AA$31</formula>
    </cfRule>
  </conditionalFormatting>
  <conditionalFormatting sqref="I26:X27">
    <cfRule type="cellIs" dxfId="89" priority="1" operator="greaterThan">
      <formula>$AA$26</formula>
    </cfRule>
    <cfRule type="cellIs" dxfId="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194" t="s">
        <v>2</v>
      </c>
      <c r="E2" s="42"/>
      <c r="F2" s="286" t="s">
        <v>93</v>
      </c>
      <c r="G2" s="286"/>
      <c r="H2" s="286"/>
      <c r="I2" s="286"/>
      <c r="J2" s="286"/>
      <c r="K2" s="340"/>
      <c r="L2" s="194" t="s">
        <v>4</v>
      </c>
      <c r="M2" s="286">
        <v>9</v>
      </c>
      <c r="N2" s="287"/>
      <c r="O2" s="194" t="s">
        <v>6</v>
      </c>
      <c r="P2" s="290" t="s">
        <v>83</v>
      </c>
      <c r="Q2" s="291"/>
      <c r="R2" s="291"/>
      <c r="S2" s="291"/>
      <c r="T2" s="291"/>
      <c r="U2" s="291"/>
      <c r="V2" s="292"/>
      <c r="W2" s="194" t="s">
        <v>34</v>
      </c>
      <c r="X2" s="32">
        <v>2</v>
      </c>
      <c r="Z2" s="34" t="s">
        <v>48</v>
      </c>
    </row>
    <row r="3" spans="1:26" ht="10" customHeight="1">
      <c r="A3" s="284" t="s">
        <v>1</v>
      </c>
      <c r="B3" s="285"/>
      <c r="C3" s="219"/>
      <c r="D3" s="195" t="s">
        <v>3</v>
      </c>
      <c r="E3" s="43"/>
      <c r="F3" s="341"/>
      <c r="G3" s="341"/>
      <c r="H3" s="341"/>
      <c r="I3" s="341"/>
      <c r="J3" s="341"/>
      <c r="K3" s="342"/>
      <c r="L3" s="195" t="s">
        <v>5</v>
      </c>
      <c r="M3" s="288"/>
      <c r="N3" s="289"/>
      <c r="O3" s="195" t="s">
        <v>7</v>
      </c>
      <c r="P3" s="293"/>
      <c r="Q3" s="293"/>
      <c r="R3" s="293"/>
      <c r="S3" s="293"/>
      <c r="T3" s="293"/>
      <c r="U3" s="293"/>
      <c r="V3" s="294"/>
      <c r="W3" s="195" t="s">
        <v>8</v>
      </c>
      <c r="X3" s="18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295" t="s">
        <v>129</v>
      </c>
      <c r="R4" s="296"/>
      <c r="S4" s="296"/>
      <c r="T4" s="297"/>
      <c r="U4" s="194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195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9</v>
      </c>
      <c r="J24" s="248"/>
      <c r="K24" s="248">
        <v>10</v>
      </c>
      <c r="L24" s="248"/>
      <c r="M24" s="248">
        <v>11</v>
      </c>
      <c r="N24" s="248"/>
      <c r="O24" s="248">
        <v>12</v>
      </c>
      <c r="P24" s="248"/>
      <c r="Q24" s="248">
        <v>13</v>
      </c>
      <c r="R24" s="248"/>
      <c r="S24" s="248">
        <v>14</v>
      </c>
      <c r="T24" s="248"/>
      <c r="U24" s="248">
        <v>15</v>
      </c>
      <c r="V24" s="248"/>
      <c r="W24" s="248">
        <v>16</v>
      </c>
      <c r="X24" s="248"/>
      <c r="Z24" s="50"/>
    </row>
    <row r="25" spans="1:28">
      <c r="A25" s="251" t="s">
        <v>15</v>
      </c>
      <c r="B25" s="252"/>
      <c r="C25" s="196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2.0979999999999999</v>
      </c>
      <c r="J26" s="229"/>
      <c r="K26" s="229">
        <v>2.0979999999999999</v>
      </c>
      <c r="L26" s="229"/>
      <c r="M26" s="229">
        <v>2.0979999999999999</v>
      </c>
      <c r="N26" s="229"/>
      <c r="O26" s="229">
        <v>2.1030000000000002</v>
      </c>
      <c r="P26" s="229"/>
      <c r="Q26" s="229">
        <v>2.1040000000000001</v>
      </c>
      <c r="R26" s="229"/>
      <c r="S26" s="229">
        <v>2.0960000000000001</v>
      </c>
      <c r="T26" s="229"/>
      <c r="U26" s="229">
        <v>2.09</v>
      </c>
      <c r="V26" s="229"/>
      <c r="W26" s="229">
        <v>2.0910000000000002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1.98</v>
      </c>
      <c r="J28" s="229"/>
      <c r="K28" s="229">
        <v>1.99</v>
      </c>
      <c r="L28" s="229"/>
      <c r="M28" s="229">
        <v>1.99</v>
      </c>
      <c r="N28" s="229"/>
      <c r="O28" s="229">
        <v>1.99</v>
      </c>
      <c r="P28" s="229"/>
      <c r="Q28" s="229">
        <v>1.98</v>
      </c>
      <c r="R28" s="229"/>
      <c r="S28" s="229">
        <v>1.99</v>
      </c>
      <c r="T28" s="229"/>
      <c r="U28" s="229">
        <v>1.99</v>
      </c>
      <c r="V28" s="229"/>
      <c r="W28" s="229">
        <v>1.98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2.0750000000000002</v>
      </c>
      <c r="J30" s="229"/>
      <c r="K30" s="229">
        <v>2.0819999999999999</v>
      </c>
      <c r="L30" s="229"/>
      <c r="M30" s="229">
        <v>2.089</v>
      </c>
      <c r="N30" s="229"/>
      <c r="O30" s="229">
        <v>2.0939999999999999</v>
      </c>
      <c r="P30" s="229"/>
      <c r="Q30" s="229">
        <v>2.1019999999999999</v>
      </c>
      <c r="R30" s="229"/>
      <c r="S30" s="229">
        <v>2.0910000000000002</v>
      </c>
      <c r="T30" s="229"/>
      <c r="U30" s="229">
        <v>2.0880000000000001</v>
      </c>
      <c r="V30" s="229"/>
      <c r="W30" s="229">
        <v>2.0859999999999999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11</v>
      </c>
      <c r="J32" s="269"/>
      <c r="K32" s="269">
        <v>10.99</v>
      </c>
      <c r="L32" s="269"/>
      <c r="M32" s="269">
        <v>11</v>
      </c>
      <c r="N32" s="269"/>
      <c r="O32" s="269">
        <v>11.02</v>
      </c>
      <c r="P32" s="269"/>
      <c r="Q32" s="269">
        <v>11.02</v>
      </c>
      <c r="R32" s="269"/>
      <c r="S32" s="269">
        <v>11.01</v>
      </c>
      <c r="T32" s="269"/>
      <c r="U32" s="269">
        <v>10.99</v>
      </c>
      <c r="V32" s="269"/>
      <c r="W32" s="269">
        <v>10.99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188" t="s">
        <v>89</v>
      </c>
      <c r="E34" s="189"/>
      <c r="F34" s="189"/>
      <c r="G34" s="189"/>
      <c r="H34" s="190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191" t="s">
        <v>90</v>
      </c>
      <c r="E35" s="192"/>
      <c r="F35" s="192"/>
      <c r="G35" s="192"/>
      <c r="H35" s="193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191" t="s">
        <v>69</v>
      </c>
      <c r="E37" s="192"/>
      <c r="F37" s="192"/>
      <c r="G37" s="192"/>
      <c r="H37" s="193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188" t="s">
        <v>71</v>
      </c>
      <c r="E38" s="189"/>
      <c r="F38" s="189"/>
      <c r="G38" s="189"/>
      <c r="H38" s="190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191" t="s">
        <v>72</v>
      </c>
      <c r="E39" s="192"/>
      <c r="F39" s="192"/>
      <c r="G39" s="192"/>
      <c r="H39" s="193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188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191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188" t="s">
        <v>75</v>
      </c>
      <c r="E42" s="185"/>
      <c r="F42" s="186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191" t="s">
        <v>76</v>
      </c>
      <c r="E43" s="187"/>
      <c r="F43" s="187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188" t="s">
        <v>77</v>
      </c>
      <c r="E44" s="185"/>
      <c r="F44" s="186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191" t="s">
        <v>78</v>
      </c>
      <c r="E45" s="187"/>
      <c r="F45" s="187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188" t="s">
        <v>79</v>
      </c>
      <c r="E46" s="189"/>
      <c r="F46" s="189"/>
      <c r="G46" s="189"/>
      <c r="H46" s="190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191" t="s">
        <v>80</v>
      </c>
      <c r="E47" s="192"/>
      <c r="F47" s="192"/>
      <c r="G47" s="192"/>
      <c r="H47" s="193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188" t="s">
        <v>81</v>
      </c>
      <c r="E48" s="189"/>
      <c r="F48" s="189"/>
      <c r="G48" s="189"/>
      <c r="H48" s="190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191" t="s">
        <v>82</v>
      </c>
      <c r="E49" s="192"/>
      <c r="F49" s="192"/>
      <c r="G49" s="192"/>
      <c r="H49" s="193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7" priority="7" operator="greaterThan">
      <formula>$AA$28</formula>
    </cfRule>
    <cfRule type="cellIs" dxfId="86" priority="8" operator="lessThan">
      <formula>$AA$29</formula>
    </cfRule>
  </conditionalFormatting>
  <conditionalFormatting sqref="I32:X33">
    <cfRule type="cellIs" dxfId="85" priority="5" operator="greaterThan">
      <formula>$AA$32</formula>
    </cfRule>
    <cfRule type="cellIs" dxfId="84" priority="6" operator="lessThan">
      <formula>$AA$33</formula>
    </cfRule>
  </conditionalFormatting>
  <conditionalFormatting sqref="I30:X31">
    <cfRule type="cellIs" dxfId="83" priority="3" operator="greaterThan">
      <formula>$AA$30</formula>
    </cfRule>
    <cfRule type="cellIs" dxfId="82" priority="4" operator="lessThan">
      <formula>$AA$31</formula>
    </cfRule>
  </conditionalFormatting>
  <conditionalFormatting sqref="I26:X27">
    <cfRule type="cellIs" dxfId="81" priority="1" operator="greaterThan">
      <formula>$AA$26</formula>
    </cfRule>
    <cfRule type="cellIs" dxfId="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194" t="s">
        <v>2</v>
      </c>
      <c r="E2" s="42"/>
      <c r="F2" s="286" t="s">
        <v>93</v>
      </c>
      <c r="G2" s="286"/>
      <c r="H2" s="286"/>
      <c r="I2" s="286"/>
      <c r="J2" s="286"/>
      <c r="K2" s="340"/>
      <c r="L2" s="194" t="s">
        <v>4</v>
      </c>
      <c r="M2" s="286">
        <v>9</v>
      </c>
      <c r="N2" s="287"/>
      <c r="O2" s="194" t="s">
        <v>6</v>
      </c>
      <c r="P2" s="290" t="s">
        <v>83</v>
      </c>
      <c r="Q2" s="291"/>
      <c r="R2" s="291"/>
      <c r="S2" s="291"/>
      <c r="T2" s="291"/>
      <c r="U2" s="291"/>
      <c r="V2" s="292"/>
      <c r="W2" s="194" t="s">
        <v>34</v>
      </c>
      <c r="X2" s="32">
        <v>1</v>
      </c>
      <c r="Z2" s="34" t="s">
        <v>48</v>
      </c>
    </row>
    <row r="3" spans="1:26" ht="10" customHeight="1">
      <c r="A3" s="284" t="s">
        <v>1</v>
      </c>
      <c r="B3" s="285"/>
      <c r="C3" s="219"/>
      <c r="D3" s="195" t="s">
        <v>3</v>
      </c>
      <c r="E3" s="43"/>
      <c r="F3" s="341"/>
      <c r="G3" s="341"/>
      <c r="H3" s="341"/>
      <c r="I3" s="341"/>
      <c r="J3" s="341"/>
      <c r="K3" s="342"/>
      <c r="L3" s="195" t="s">
        <v>5</v>
      </c>
      <c r="M3" s="288"/>
      <c r="N3" s="289"/>
      <c r="O3" s="195" t="s">
        <v>7</v>
      </c>
      <c r="P3" s="293"/>
      <c r="Q3" s="293"/>
      <c r="R3" s="293"/>
      <c r="S3" s="293"/>
      <c r="T3" s="293"/>
      <c r="U3" s="293"/>
      <c r="V3" s="294"/>
      <c r="W3" s="195" t="s">
        <v>8</v>
      </c>
      <c r="X3" s="18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295" t="s">
        <v>128</v>
      </c>
      <c r="R4" s="296"/>
      <c r="S4" s="296"/>
      <c r="T4" s="297"/>
      <c r="U4" s="194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195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1</v>
      </c>
      <c r="J24" s="248"/>
      <c r="K24" s="248">
        <v>2</v>
      </c>
      <c r="L24" s="248"/>
      <c r="M24" s="248">
        <v>3</v>
      </c>
      <c r="N24" s="248"/>
      <c r="O24" s="248">
        <v>4</v>
      </c>
      <c r="P24" s="248"/>
      <c r="Q24" s="248">
        <v>5</v>
      </c>
      <c r="R24" s="248"/>
      <c r="S24" s="248">
        <v>6</v>
      </c>
      <c r="T24" s="248"/>
      <c r="U24" s="248">
        <v>7</v>
      </c>
      <c r="V24" s="248"/>
      <c r="W24" s="248">
        <v>8</v>
      </c>
      <c r="X24" s="248"/>
      <c r="Z24" s="50"/>
    </row>
    <row r="25" spans="1:28">
      <c r="A25" s="251" t="s">
        <v>15</v>
      </c>
      <c r="B25" s="252"/>
      <c r="C25" s="196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2.1030000000000002</v>
      </c>
      <c r="J26" s="229"/>
      <c r="K26" s="229">
        <v>2.097</v>
      </c>
      <c r="L26" s="229"/>
      <c r="M26" s="229">
        <v>2.1</v>
      </c>
      <c r="N26" s="229"/>
      <c r="O26" s="229">
        <v>2.1030000000000002</v>
      </c>
      <c r="P26" s="229"/>
      <c r="Q26" s="229">
        <v>2.097</v>
      </c>
      <c r="R26" s="229"/>
      <c r="S26" s="229">
        <v>2.0950000000000002</v>
      </c>
      <c r="T26" s="229"/>
      <c r="U26" s="229">
        <v>2.0979999999999999</v>
      </c>
      <c r="V26" s="229"/>
      <c r="W26" s="229">
        <v>2.0979999999999999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2</v>
      </c>
      <c r="J28" s="229"/>
      <c r="K28" s="229">
        <v>1.97</v>
      </c>
      <c r="L28" s="229"/>
      <c r="M28" s="229">
        <v>1.99</v>
      </c>
      <c r="N28" s="229"/>
      <c r="O28" s="229">
        <v>1.99</v>
      </c>
      <c r="P28" s="229"/>
      <c r="Q28" s="229">
        <v>1.99</v>
      </c>
      <c r="R28" s="229"/>
      <c r="S28" s="229">
        <v>1.99</v>
      </c>
      <c r="T28" s="229"/>
      <c r="U28" s="229">
        <v>1.99</v>
      </c>
      <c r="V28" s="229"/>
      <c r="W28" s="229">
        <v>2.0099999999999998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2.0880000000000001</v>
      </c>
      <c r="J30" s="229"/>
      <c r="K30" s="229">
        <v>2.0950000000000002</v>
      </c>
      <c r="L30" s="229"/>
      <c r="M30" s="229">
        <v>2.0960000000000001</v>
      </c>
      <c r="N30" s="229"/>
      <c r="O30" s="229">
        <v>2.093</v>
      </c>
      <c r="P30" s="229"/>
      <c r="Q30" s="229">
        <v>2.097</v>
      </c>
      <c r="R30" s="229"/>
      <c r="S30" s="229">
        <v>2.097</v>
      </c>
      <c r="T30" s="229"/>
      <c r="U30" s="229">
        <v>2.0859999999999999</v>
      </c>
      <c r="V30" s="229"/>
      <c r="W30" s="229">
        <v>2.093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10.99</v>
      </c>
      <c r="J32" s="269"/>
      <c r="K32" s="269">
        <v>10.99</v>
      </c>
      <c r="L32" s="269"/>
      <c r="M32" s="269">
        <v>11.01</v>
      </c>
      <c r="N32" s="269"/>
      <c r="O32" s="269">
        <v>11.02</v>
      </c>
      <c r="P32" s="269"/>
      <c r="Q32" s="269">
        <v>11.02</v>
      </c>
      <c r="R32" s="269"/>
      <c r="S32" s="269">
        <v>11.01</v>
      </c>
      <c r="T32" s="269"/>
      <c r="U32" s="269">
        <v>10.99</v>
      </c>
      <c r="V32" s="269"/>
      <c r="W32" s="269">
        <v>10.99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188" t="s">
        <v>89</v>
      </c>
      <c r="E34" s="189"/>
      <c r="F34" s="189"/>
      <c r="G34" s="189"/>
      <c r="H34" s="190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191" t="s">
        <v>90</v>
      </c>
      <c r="E35" s="192"/>
      <c r="F35" s="192"/>
      <c r="G35" s="192"/>
      <c r="H35" s="193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191" t="s">
        <v>69</v>
      </c>
      <c r="E37" s="192"/>
      <c r="F37" s="192"/>
      <c r="G37" s="192"/>
      <c r="H37" s="193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188" t="s">
        <v>71</v>
      </c>
      <c r="E38" s="189"/>
      <c r="F38" s="189"/>
      <c r="G38" s="189"/>
      <c r="H38" s="190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191" t="s">
        <v>72</v>
      </c>
      <c r="E39" s="192"/>
      <c r="F39" s="192"/>
      <c r="G39" s="192"/>
      <c r="H39" s="193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188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191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188" t="s">
        <v>75</v>
      </c>
      <c r="E42" s="185"/>
      <c r="F42" s="186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191" t="s">
        <v>76</v>
      </c>
      <c r="E43" s="187"/>
      <c r="F43" s="187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188" t="s">
        <v>77</v>
      </c>
      <c r="E44" s="185"/>
      <c r="F44" s="186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191" t="s">
        <v>78</v>
      </c>
      <c r="E45" s="187"/>
      <c r="F45" s="187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188" t="s">
        <v>79</v>
      </c>
      <c r="E46" s="189"/>
      <c r="F46" s="189"/>
      <c r="G46" s="189"/>
      <c r="H46" s="190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191" t="s">
        <v>80</v>
      </c>
      <c r="E47" s="192"/>
      <c r="F47" s="192"/>
      <c r="G47" s="192"/>
      <c r="H47" s="193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188" t="s">
        <v>81</v>
      </c>
      <c r="E48" s="189"/>
      <c r="F48" s="189"/>
      <c r="G48" s="189"/>
      <c r="H48" s="190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191" t="s">
        <v>82</v>
      </c>
      <c r="E49" s="192"/>
      <c r="F49" s="192"/>
      <c r="G49" s="192"/>
      <c r="H49" s="193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9" priority="7" operator="greaterThan">
      <formula>$AA$28</formula>
    </cfRule>
    <cfRule type="cellIs" dxfId="78" priority="8" operator="lessThan">
      <formula>$AA$29</formula>
    </cfRule>
  </conditionalFormatting>
  <conditionalFormatting sqref="I32:X33">
    <cfRule type="cellIs" dxfId="77" priority="5" operator="greaterThan">
      <formula>$AA$32</formula>
    </cfRule>
    <cfRule type="cellIs" dxfId="76" priority="6" operator="lessThan">
      <formula>$AA$33</formula>
    </cfRule>
  </conditionalFormatting>
  <conditionalFormatting sqref="I30:X31">
    <cfRule type="cellIs" dxfId="75" priority="3" operator="greaterThan">
      <formula>$AA$30</formula>
    </cfRule>
    <cfRule type="cellIs" dxfId="74" priority="4" operator="lessThan">
      <formula>$AA$31</formula>
    </cfRule>
  </conditionalFormatting>
  <conditionalFormatting sqref="I26:X27">
    <cfRule type="cellIs" dxfId="73" priority="1" operator="greaterThan">
      <formula>$AA$26</formula>
    </cfRule>
    <cfRule type="cellIs" dxfId="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194" t="s">
        <v>2</v>
      </c>
      <c r="E2" s="42"/>
      <c r="F2" s="286" t="s">
        <v>93</v>
      </c>
      <c r="G2" s="286"/>
      <c r="H2" s="286"/>
      <c r="I2" s="286"/>
      <c r="J2" s="286"/>
      <c r="K2" s="340"/>
      <c r="L2" s="194" t="s">
        <v>4</v>
      </c>
      <c r="M2" s="286">
        <v>9</v>
      </c>
      <c r="N2" s="287"/>
      <c r="O2" s="194" t="s">
        <v>6</v>
      </c>
      <c r="P2" s="290" t="s">
        <v>83</v>
      </c>
      <c r="Q2" s="291"/>
      <c r="R2" s="291"/>
      <c r="S2" s="291"/>
      <c r="T2" s="291"/>
      <c r="U2" s="291"/>
      <c r="V2" s="292"/>
      <c r="W2" s="194" t="s">
        <v>34</v>
      </c>
      <c r="X2" s="32">
        <v>2</v>
      </c>
      <c r="Z2" s="34" t="s">
        <v>48</v>
      </c>
    </row>
    <row r="3" spans="1:26" ht="10" customHeight="1">
      <c r="A3" s="284" t="s">
        <v>1</v>
      </c>
      <c r="B3" s="285"/>
      <c r="C3" s="219"/>
      <c r="D3" s="195" t="s">
        <v>3</v>
      </c>
      <c r="E3" s="43"/>
      <c r="F3" s="341"/>
      <c r="G3" s="341"/>
      <c r="H3" s="341"/>
      <c r="I3" s="341"/>
      <c r="J3" s="341"/>
      <c r="K3" s="342"/>
      <c r="L3" s="195" t="s">
        <v>5</v>
      </c>
      <c r="M3" s="288"/>
      <c r="N3" s="289"/>
      <c r="O3" s="195" t="s">
        <v>7</v>
      </c>
      <c r="P3" s="293"/>
      <c r="Q3" s="293"/>
      <c r="R3" s="293"/>
      <c r="S3" s="293"/>
      <c r="T3" s="293"/>
      <c r="U3" s="293"/>
      <c r="V3" s="294"/>
      <c r="W3" s="195" t="s">
        <v>8</v>
      </c>
      <c r="X3" s="18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295" t="s">
        <v>127</v>
      </c>
      <c r="R4" s="296"/>
      <c r="S4" s="296"/>
      <c r="T4" s="297"/>
      <c r="U4" s="194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195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9</v>
      </c>
      <c r="J24" s="248"/>
      <c r="K24" s="248">
        <v>10</v>
      </c>
      <c r="L24" s="248"/>
      <c r="M24" s="248">
        <v>11</v>
      </c>
      <c r="N24" s="248"/>
      <c r="O24" s="248">
        <v>12</v>
      </c>
      <c r="P24" s="248"/>
      <c r="Q24" s="248">
        <v>13</v>
      </c>
      <c r="R24" s="248"/>
      <c r="S24" s="248">
        <v>14</v>
      </c>
      <c r="T24" s="248"/>
      <c r="U24" s="248">
        <v>15</v>
      </c>
      <c r="V24" s="248"/>
      <c r="W24" s="248">
        <v>16</v>
      </c>
      <c r="X24" s="248"/>
      <c r="Z24" s="50"/>
    </row>
    <row r="25" spans="1:28">
      <c r="A25" s="251" t="s">
        <v>15</v>
      </c>
      <c r="B25" s="252"/>
      <c r="C25" s="196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2.1019999999999999</v>
      </c>
      <c r="J26" s="229"/>
      <c r="K26" s="229">
        <v>2.0939999999999999</v>
      </c>
      <c r="L26" s="229"/>
      <c r="M26" s="229">
        <v>2.0960000000000001</v>
      </c>
      <c r="N26" s="229"/>
      <c r="O26" s="229">
        <v>2.1019999999999999</v>
      </c>
      <c r="P26" s="229"/>
      <c r="Q26" s="229">
        <v>2.1030000000000002</v>
      </c>
      <c r="R26" s="229"/>
      <c r="S26" s="229">
        <v>2.1019999999999999</v>
      </c>
      <c r="T26" s="229"/>
      <c r="U26" s="229">
        <v>2.0960000000000001</v>
      </c>
      <c r="V26" s="229"/>
      <c r="W26" s="229">
        <v>2.0950000000000002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1.98</v>
      </c>
      <c r="J28" s="229"/>
      <c r="K28" s="229">
        <v>1.99</v>
      </c>
      <c r="L28" s="229"/>
      <c r="M28" s="229">
        <v>1.99</v>
      </c>
      <c r="N28" s="229"/>
      <c r="O28" s="229">
        <v>1.99</v>
      </c>
      <c r="P28" s="229"/>
      <c r="Q28" s="229">
        <v>1.98</v>
      </c>
      <c r="R28" s="229"/>
      <c r="S28" s="229">
        <v>1.99</v>
      </c>
      <c r="T28" s="229"/>
      <c r="U28" s="229">
        <v>1.99</v>
      </c>
      <c r="V28" s="229"/>
      <c r="W28" s="229">
        <v>1.98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2.0790000000000002</v>
      </c>
      <c r="J30" s="229"/>
      <c r="K30" s="229">
        <v>2.089</v>
      </c>
      <c r="L30" s="229"/>
      <c r="M30" s="229">
        <v>2.089</v>
      </c>
      <c r="N30" s="229"/>
      <c r="O30" s="229">
        <v>2.0960000000000001</v>
      </c>
      <c r="P30" s="229"/>
      <c r="Q30" s="229">
        <v>2.0990000000000002</v>
      </c>
      <c r="R30" s="229"/>
      <c r="S30" s="229">
        <v>2.0910000000000002</v>
      </c>
      <c r="T30" s="229"/>
      <c r="U30" s="229">
        <v>2.0859999999999999</v>
      </c>
      <c r="V30" s="229"/>
      <c r="W30" s="229">
        <v>2.081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10.99</v>
      </c>
      <c r="J32" s="269"/>
      <c r="K32" s="269">
        <v>10.99</v>
      </c>
      <c r="L32" s="269"/>
      <c r="M32" s="269">
        <v>11.01</v>
      </c>
      <c r="N32" s="269"/>
      <c r="O32" s="269">
        <v>11.02</v>
      </c>
      <c r="P32" s="269"/>
      <c r="Q32" s="269">
        <v>11.02</v>
      </c>
      <c r="R32" s="269"/>
      <c r="S32" s="269">
        <v>11.01</v>
      </c>
      <c r="T32" s="269"/>
      <c r="U32" s="269">
        <v>10.98</v>
      </c>
      <c r="V32" s="269"/>
      <c r="W32" s="269">
        <v>11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188" t="s">
        <v>89</v>
      </c>
      <c r="E34" s="189"/>
      <c r="F34" s="189"/>
      <c r="G34" s="189"/>
      <c r="H34" s="190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191" t="s">
        <v>90</v>
      </c>
      <c r="E35" s="192"/>
      <c r="F35" s="192"/>
      <c r="G35" s="192"/>
      <c r="H35" s="193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191" t="s">
        <v>69</v>
      </c>
      <c r="E37" s="192"/>
      <c r="F37" s="192"/>
      <c r="G37" s="192"/>
      <c r="H37" s="193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188" t="s">
        <v>71</v>
      </c>
      <c r="E38" s="189"/>
      <c r="F38" s="189"/>
      <c r="G38" s="189"/>
      <c r="H38" s="190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191" t="s">
        <v>72</v>
      </c>
      <c r="E39" s="192"/>
      <c r="F39" s="192"/>
      <c r="G39" s="192"/>
      <c r="H39" s="193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188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191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188" t="s">
        <v>75</v>
      </c>
      <c r="E42" s="185"/>
      <c r="F42" s="186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191" t="s">
        <v>76</v>
      </c>
      <c r="E43" s="187"/>
      <c r="F43" s="187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188" t="s">
        <v>77</v>
      </c>
      <c r="E44" s="185"/>
      <c r="F44" s="186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191" t="s">
        <v>78</v>
      </c>
      <c r="E45" s="187"/>
      <c r="F45" s="187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188" t="s">
        <v>79</v>
      </c>
      <c r="E46" s="189"/>
      <c r="F46" s="189"/>
      <c r="G46" s="189"/>
      <c r="H46" s="190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191" t="s">
        <v>80</v>
      </c>
      <c r="E47" s="192"/>
      <c r="F47" s="192"/>
      <c r="G47" s="192"/>
      <c r="H47" s="193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188" t="s">
        <v>81</v>
      </c>
      <c r="E48" s="189"/>
      <c r="F48" s="189"/>
      <c r="G48" s="189"/>
      <c r="H48" s="190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191" t="s">
        <v>82</v>
      </c>
      <c r="E49" s="192"/>
      <c r="F49" s="192"/>
      <c r="G49" s="192"/>
      <c r="H49" s="193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1" priority="7" operator="greaterThan">
      <formula>$AA$28</formula>
    </cfRule>
    <cfRule type="cellIs" dxfId="70" priority="8" operator="lessThan">
      <formula>$AA$29</formula>
    </cfRule>
  </conditionalFormatting>
  <conditionalFormatting sqref="I32:X33">
    <cfRule type="cellIs" dxfId="69" priority="5" operator="greaterThan">
      <formula>$AA$32</formula>
    </cfRule>
    <cfRule type="cellIs" dxfId="68" priority="6" operator="lessThan">
      <formula>$AA$33</formula>
    </cfRule>
  </conditionalFormatting>
  <conditionalFormatting sqref="I30:X31">
    <cfRule type="cellIs" dxfId="67" priority="3" operator="greaterThan">
      <formula>$AA$30</formula>
    </cfRule>
    <cfRule type="cellIs" dxfId="66" priority="4" operator="lessThan">
      <formula>$AA$31</formula>
    </cfRule>
  </conditionalFormatting>
  <conditionalFormatting sqref="I26:X27">
    <cfRule type="cellIs" dxfId="65" priority="1" operator="greaterThan">
      <formula>$AA$26</formula>
    </cfRule>
    <cfRule type="cellIs" dxfId="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207" t="s">
        <v>2</v>
      </c>
      <c r="E2" s="42"/>
      <c r="F2" s="286" t="s">
        <v>93</v>
      </c>
      <c r="G2" s="286"/>
      <c r="H2" s="286"/>
      <c r="I2" s="286"/>
      <c r="J2" s="286"/>
      <c r="K2" s="340"/>
      <c r="L2" s="207" t="s">
        <v>4</v>
      </c>
      <c r="M2" s="286">
        <v>9</v>
      </c>
      <c r="N2" s="287"/>
      <c r="O2" s="207" t="s">
        <v>6</v>
      </c>
      <c r="P2" s="290" t="s">
        <v>83</v>
      </c>
      <c r="Q2" s="291"/>
      <c r="R2" s="291"/>
      <c r="S2" s="291"/>
      <c r="T2" s="291"/>
      <c r="U2" s="291"/>
      <c r="V2" s="292"/>
      <c r="W2" s="207" t="s">
        <v>34</v>
      </c>
      <c r="X2" s="32">
        <v>1</v>
      </c>
      <c r="Z2" s="34" t="s">
        <v>48</v>
      </c>
    </row>
    <row r="3" spans="1:26" ht="10" customHeight="1">
      <c r="A3" s="284" t="s">
        <v>1</v>
      </c>
      <c r="B3" s="285"/>
      <c r="C3" s="219"/>
      <c r="D3" s="208" t="s">
        <v>3</v>
      </c>
      <c r="E3" s="43"/>
      <c r="F3" s="341"/>
      <c r="G3" s="341"/>
      <c r="H3" s="341"/>
      <c r="I3" s="341"/>
      <c r="J3" s="341"/>
      <c r="K3" s="342"/>
      <c r="L3" s="208" t="s">
        <v>5</v>
      </c>
      <c r="M3" s="288"/>
      <c r="N3" s="289"/>
      <c r="O3" s="208" t="s">
        <v>7</v>
      </c>
      <c r="P3" s="293"/>
      <c r="Q3" s="293"/>
      <c r="R3" s="293"/>
      <c r="S3" s="293"/>
      <c r="T3" s="293"/>
      <c r="U3" s="293"/>
      <c r="V3" s="294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7" t="s">
        <v>9</v>
      </c>
      <c r="P4" s="6"/>
      <c r="Q4" s="295" t="s">
        <v>133</v>
      </c>
      <c r="R4" s="296"/>
      <c r="S4" s="296"/>
      <c r="T4" s="297"/>
      <c r="U4" s="207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208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1</v>
      </c>
      <c r="J24" s="248"/>
      <c r="K24" s="248">
        <v>2</v>
      </c>
      <c r="L24" s="248"/>
      <c r="M24" s="248">
        <v>3</v>
      </c>
      <c r="N24" s="248"/>
      <c r="O24" s="248">
        <v>4</v>
      </c>
      <c r="P24" s="248"/>
      <c r="Q24" s="248">
        <v>5</v>
      </c>
      <c r="R24" s="248"/>
      <c r="S24" s="248">
        <v>6</v>
      </c>
      <c r="T24" s="248"/>
      <c r="U24" s="248">
        <v>7</v>
      </c>
      <c r="V24" s="248"/>
      <c r="W24" s="248">
        <v>8</v>
      </c>
      <c r="X24" s="248"/>
      <c r="Z24" s="50"/>
    </row>
    <row r="25" spans="1:28">
      <c r="A25" s="251" t="s">
        <v>15</v>
      </c>
      <c r="B25" s="252"/>
      <c r="C25" s="209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2.0990000000000002</v>
      </c>
      <c r="J26" s="229"/>
      <c r="K26" s="229">
        <v>2.1019999999999999</v>
      </c>
      <c r="L26" s="229"/>
      <c r="M26" s="229">
        <v>2.101</v>
      </c>
      <c r="N26" s="229"/>
      <c r="O26" s="229">
        <v>2.1030000000000002</v>
      </c>
      <c r="P26" s="229"/>
      <c r="Q26" s="229">
        <v>2.0990000000000002</v>
      </c>
      <c r="R26" s="229"/>
      <c r="S26" s="229">
        <v>2.1</v>
      </c>
      <c r="T26" s="229"/>
      <c r="U26" s="229">
        <v>2.1019999999999999</v>
      </c>
      <c r="V26" s="229"/>
      <c r="W26" s="229">
        <v>2.109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1.98</v>
      </c>
      <c r="J28" s="229"/>
      <c r="K28" s="229">
        <v>1.97</v>
      </c>
      <c r="L28" s="229"/>
      <c r="M28" s="229">
        <v>1.99</v>
      </c>
      <c r="N28" s="229"/>
      <c r="O28" s="229">
        <v>1.99</v>
      </c>
      <c r="P28" s="229"/>
      <c r="Q28" s="229">
        <v>1.99</v>
      </c>
      <c r="R28" s="229"/>
      <c r="S28" s="229">
        <v>1.99</v>
      </c>
      <c r="T28" s="229"/>
      <c r="U28" s="229">
        <v>1.99</v>
      </c>
      <c r="V28" s="229"/>
      <c r="W28" s="229">
        <v>2.0099999999999998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2.085</v>
      </c>
      <c r="J30" s="229"/>
      <c r="K30" s="229">
        <v>2.0979999999999999</v>
      </c>
      <c r="L30" s="229"/>
      <c r="M30" s="229">
        <v>2.0910000000000002</v>
      </c>
      <c r="N30" s="229"/>
      <c r="O30" s="229">
        <v>2.097</v>
      </c>
      <c r="P30" s="229"/>
      <c r="Q30" s="229">
        <v>2.0960000000000001</v>
      </c>
      <c r="R30" s="229"/>
      <c r="S30" s="229">
        <v>2.0950000000000002</v>
      </c>
      <c r="T30" s="229"/>
      <c r="U30" s="229">
        <v>2.0870000000000002</v>
      </c>
      <c r="V30" s="229"/>
      <c r="W30" s="229">
        <v>2.0910000000000002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10.99</v>
      </c>
      <c r="J32" s="269"/>
      <c r="K32" s="269">
        <v>11</v>
      </c>
      <c r="L32" s="269"/>
      <c r="M32" s="269">
        <v>11</v>
      </c>
      <c r="N32" s="269"/>
      <c r="O32" s="269">
        <v>11.02</v>
      </c>
      <c r="P32" s="269"/>
      <c r="Q32" s="269">
        <v>11.01</v>
      </c>
      <c r="R32" s="269"/>
      <c r="S32" s="269">
        <v>11</v>
      </c>
      <c r="T32" s="269"/>
      <c r="U32" s="269">
        <v>10.99</v>
      </c>
      <c r="V32" s="269"/>
      <c r="W32" s="269">
        <v>10.99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201" t="s">
        <v>89</v>
      </c>
      <c r="E34" s="202"/>
      <c r="F34" s="202"/>
      <c r="G34" s="202"/>
      <c r="H34" s="203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204" t="s">
        <v>90</v>
      </c>
      <c r="E35" s="205"/>
      <c r="F35" s="205"/>
      <c r="G35" s="205"/>
      <c r="H35" s="206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204" t="s">
        <v>69</v>
      </c>
      <c r="E37" s="205"/>
      <c r="F37" s="205"/>
      <c r="G37" s="205"/>
      <c r="H37" s="206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201" t="s">
        <v>71</v>
      </c>
      <c r="E38" s="202"/>
      <c r="F38" s="202"/>
      <c r="G38" s="202"/>
      <c r="H38" s="203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204" t="s">
        <v>72</v>
      </c>
      <c r="E39" s="205"/>
      <c r="F39" s="205"/>
      <c r="G39" s="205"/>
      <c r="H39" s="206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201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204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201" t="s">
        <v>75</v>
      </c>
      <c r="E42" s="198"/>
      <c r="F42" s="199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204" t="s">
        <v>76</v>
      </c>
      <c r="E43" s="200"/>
      <c r="F43" s="200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201" t="s">
        <v>77</v>
      </c>
      <c r="E44" s="198"/>
      <c r="F44" s="199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204" t="s">
        <v>78</v>
      </c>
      <c r="E45" s="200"/>
      <c r="F45" s="200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201" t="s">
        <v>79</v>
      </c>
      <c r="E46" s="202"/>
      <c r="F46" s="202"/>
      <c r="G46" s="202"/>
      <c r="H46" s="203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204" t="s">
        <v>80</v>
      </c>
      <c r="E47" s="205"/>
      <c r="F47" s="205"/>
      <c r="G47" s="205"/>
      <c r="H47" s="206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201" t="s">
        <v>81</v>
      </c>
      <c r="E48" s="202"/>
      <c r="F48" s="202"/>
      <c r="G48" s="202"/>
      <c r="H48" s="203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204" t="s">
        <v>82</v>
      </c>
      <c r="E49" s="205"/>
      <c r="F49" s="205"/>
      <c r="G49" s="205"/>
      <c r="H49" s="206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3" priority="7" operator="greaterThan">
      <formula>$AA$28</formula>
    </cfRule>
    <cfRule type="cellIs" dxfId="62" priority="8" operator="lessThan">
      <formula>$AA$29</formula>
    </cfRule>
  </conditionalFormatting>
  <conditionalFormatting sqref="I32:X33">
    <cfRule type="cellIs" dxfId="61" priority="5" operator="greaterThan">
      <formula>$AA$32</formula>
    </cfRule>
    <cfRule type="cellIs" dxfId="60" priority="6" operator="lessThan">
      <formula>$AA$33</formula>
    </cfRule>
  </conditionalFormatting>
  <conditionalFormatting sqref="I30:X31">
    <cfRule type="cellIs" dxfId="59" priority="3" operator="greaterThan">
      <formula>$AA$30</formula>
    </cfRule>
    <cfRule type="cellIs" dxfId="58" priority="4" operator="lessThan">
      <formula>$AA$31</formula>
    </cfRule>
  </conditionalFormatting>
  <conditionalFormatting sqref="I26:X27">
    <cfRule type="cellIs" dxfId="57" priority="1" operator="greaterThan">
      <formula>$AA$26</formula>
    </cfRule>
    <cfRule type="cellIs" dxfId="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207" t="s">
        <v>2</v>
      </c>
      <c r="E2" s="42"/>
      <c r="F2" s="286" t="s">
        <v>93</v>
      </c>
      <c r="G2" s="286"/>
      <c r="H2" s="286"/>
      <c r="I2" s="286"/>
      <c r="J2" s="286"/>
      <c r="K2" s="340"/>
      <c r="L2" s="207" t="s">
        <v>4</v>
      </c>
      <c r="M2" s="286">
        <v>9</v>
      </c>
      <c r="N2" s="287"/>
      <c r="O2" s="207" t="s">
        <v>6</v>
      </c>
      <c r="P2" s="290" t="s">
        <v>83</v>
      </c>
      <c r="Q2" s="291"/>
      <c r="R2" s="291"/>
      <c r="S2" s="291"/>
      <c r="T2" s="291"/>
      <c r="U2" s="291"/>
      <c r="V2" s="292"/>
      <c r="W2" s="207" t="s">
        <v>34</v>
      </c>
      <c r="X2" s="32">
        <v>2</v>
      </c>
      <c r="Z2" s="34" t="s">
        <v>48</v>
      </c>
    </row>
    <row r="3" spans="1:26" ht="10" customHeight="1">
      <c r="A3" s="284" t="s">
        <v>1</v>
      </c>
      <c r="B3" s="285"/>
      <c r="C3" s="219"/>
      <c r="D3" s="208" t="s">
        <v>3</v>
      </c>
      <c r="E3" s="43"/>
      <c r="F3" s="341"/>
      <c r="G3" s="341"/>
      <c r="H3" s="341"/>
      <c r="I3" s="341"/>
      <c r="J3" s="341"/>
      <c r="K3" s="342"/>
      <c r="L3" s="208" t="s">
        <v>5</v>
      </c>
      <c r="M3" s="288"/>
      <c r="N3" s="289"/>
      <c r="O3" s="208" t="s">
        <v>7</v>
      </c>
      <c r="P3" s="293"/>
      <c r="Q3" s="293"/>
      <c r="R3" s="293"/>
      <c r="S3" s="293"/>
      <c r="T3" s="293"/>
      <c r="U3" s="293"/>
      <c r="V3" s="294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7" t="s">
        <v>9</v>
      </c>
      <c r="P4" s="6"/>
      <c r="Q4" s="295" t="s">
        <v>133</v>
      </c>
      <c r="R4" s="296"/>
      <c r="S4" s="296"/>
      <c r="T4" s="297"/>
      <c r="U4" s="207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208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9</v>
      </c>
      <c r="J24" s="248"/>
      <c r="K24" s="248">
        <v>10</v>
      </c>
      <c r="L24" s="248"/>
      <c r="M24" s="248">
        <v>11</v>
      </c>
      <c r="N24" s="248"/>
      <c r="O24" s="248">
        <v>12</v>
      </c>
      <c r="P24" s="248"/>
      <c r="Q24" s="248">
        <v>13</v>
      </c>
      <c r="R24" s="248"/>
      <c r="S24" s="248">
        <v>14</v>
      </c>
      <c r="T24" s="248"/>
      <c r="U24" s="248">
        <v>15</v>
      </c>
      <c r="V24" s="248"/>
      <c r="W24" s="248">
        <v>16</v>
      </c>
      <c r="X24" s="248"/>
      <c r="Z24" s="50"/>
    </row>
    <row r="25" spans="1:28">
      <c r="A25" s="251" t="s">
        <v>15</v>
      </c>
      <c r="B25" s="252"/>
      <c r="C25" s="209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2.0939999999999999</v>
      </c>
      <c r="J26" s="229"/>
      <c r="K26" s="229">
        <v>2.097</v>
      </c>
      <c r="L26" s="229"/>
      <c r="M26" s="229">
        <v>2.0960000000000001</v>
      </c>
      <c r="N26" s="229"/>
      <c r="O26" s="229">
        <v>2.101</v>
      </c>
      <c r="P26" s="229"/>
      <c r="Q26" s="229">
        <v>2.1080000000000001</v>
      </c>
      <c r="R26" s="229"/>
      <c r="S26" s="229">
        <v>2.0990000000000002</v>
      </c>
      <c r="T26" s="229"/>
      <c r="U26" s="229">
        <v>2.1040000000000001</v>
      </c>
      <c r="V26" s="229"/>
      <c r="W26" s="229">
        <v>2.105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1.99</v>
      </c>
      <c r="J28" s="229"/>
      <c r="K28" s="229">
        <v>1.99</v>
      </c>
      <c r="L28" s="229"/>
      <c r="M28" s="229">
        <v>1.99</v>
      </c>
      <c r="N28" s="229"/>
      <c r="O28" s="229">
        <v>1.99</v>
      </c>
      <c r="P28" s="229"/>
      <c r="Q28" s="229">
        <v>1.98</v>
      </c>
      <c r="R28" s="229"/>
      <c r="S28" s="229">
        <v>1.99</v>
      </c>
      <c r="T28" s="229"/>
      <c r="U28" s="229">
        <v>1.99</v>
      </c>
      <c r="V28" s="229"/>
      <c r="W28" s="229">
        <v>1.98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2.0819999999999999</v>
      </c>
      <c r="J30" s="229"/>
      <c r="K30" s="229">
        <v>2.0819999999999999</v>
      </c>
      <c r="L30" s="229"/>
      <c r="M30" s="229">
        <v>2.0920000000000001</v>
      </c>
      <c r="N30" s="229"/>
      <c r="O30" s="229">
        <v>2.0950000000000002</v>
      </c>
      <c r="P30" s="229"/>
      <c r="Q30" s="229">
        <v>2.0990000000000002</v>
      </c>
      <c r="R30" s="229"/>
      <c r="S30" s="229">
        <v>2.0939999999999999</v>
      </c>
      <c r="T30" s="229"/>
      <c r="U30" s="229">
        <v>2.0859999999999999</v>
      </c>
      <c r="V30" s="229"/>
      <c r="W30" s="229">
        <v>2.0830000000000002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10.98</v>
      </c>
      <c r="J32" s="269"/>
      <c r="K32" s="269">
        <v>10.98</v>
      </c>
      <c r="L32" s="269"/>
      <c r="M32" s="269">
        <v>11.01</v>
      </c>
      <c r="N32" s="269"/>
      <c r="O32" s="269">
        <v>11.02</v>
      </c>
      <c r="P32" s="269"/>
      <c r="Q32" s="269">
        <v>11.02</v>
      </c>
      <c r="R32" s="269"/>
      <c r="S32" s="269">
        <v>11.01</v>
      </c>
      <c r="T32" s="269"/>
      <c r="U32" s="269">
        <v>10.99</v>
      </c>
      <c r="V32" s="269"/>
      <c r="W32" s="269">
        <v>10.99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201" t="s">
        <v>89</v>
      </c>
      <c r="E34" s="202"/>
      <c r="F34" s="202"/>
      <c r="G34" s="202"/>
      <c r="H34" s="203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204" t="s">
        <v>90</v>
      </c>
      <c r="E35" s="205"/>
      <c r="F35" s="205"/>
      <c r="G35" s="205"/>
      <c r="H35" s="206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204" t="s">
        <v>69</v>
      </c>
      <c r="E37" s="205"/>
      <c r="F37" s="205"/>
      <c r="G37" s="205"/>
      <c r="H37" s="206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201" t="s">
        <v>71</v>
      </c>
      <c r="E38" s="202"/>
      <c r="F38" s="202"/>
      <c r="G38" s="202"/>
      <c r="H38" s="203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204" t="s">
        <v>72</v>
      </c>
      <c r="E39" s="205"/>
      <c r="F39" s="205"/>
      <c r="G39" s="205"/>
      <c r="H39" s="206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201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204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201" t="s">
        <v>75</v>
      </c>
      <c r="E42" s="198"/>
      <c r="F42" s="199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204" t="s">
        <v>76</v>
      </c>
      <c r="E43" s="200"/>
      <c r="F43" s="200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201" t="s">
        <v>77</v>
      </c>
      <c r="E44" s="198"/>
      <c r="F44" s="199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204" t="s">
        <v>78</v>
      </c>
      <c r="E45" s="200"/>
      <c r="F45" s="200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201" t="s">
        <v>79</v>
      </c>
      <c r="E46" s="202"/>
      <c r="F46" s="202"/>
      <c r="G46" s="202"/>
      <c r="H46" s="203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204" t="s">
        <v>80</v>
      </c>
      <c r="E47" s="205"/>
      <c r="F47" s="205"/>
      <c r="G47" s="205"/>
      <c r="H47" s="206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201" t="s">
        <v>81</v>
      </c>
      <c r="E48" s="202"/>
      <c r="F48" s="202"/>
      <c r="G48" s="202"/>
      <c r="H48" s="203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204" t="s">
        <v>82</v>
      </c>
      <c r="E49" s="205"/>
      <c r="F49" s="205"/>
      <c r="G49" s="205"/>
      <c r="H49" s="206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5" priority="7" operator="greaterThan">
      <formula>$AA$28</formula>
    </cfRule>
    <cfRule type="cellIs" dxfId="54" priority="8" operator="lessThan">
      <formula>$AA$29</formula>
    </cfRule>
  </conditionalFormatting>
  <conditionalFormatting sqref="I32:X33">
    <cfRule type="cellIs" dxfId="53" priority="5" operator="greaterThan">
      <formula>$AA$32</formula>
    </cfRule>
    <cfRule type="cellIs" dxfId="52" priority="6" operator="lessThan">
      <formula>$AA$33</formula>
    </cfRule>
  </conditionalFormatting>
  <conditionalFormatting sqref="I30:X31">
    <cfRule type="cellIs" dxfId="51" priority="3" operator="greaterThan">
      <formula>$AA$30</formula>
    </cfRule>
    <cfRule type="cellIs" dxfId="50" priority="4" operator="lessThan">
      <formula>$AA$31</formula>
    </cfRule>
  </conditionalFormatting>
  <conditionalFormatting sqref="I26:X27">
    <cfRule type="cellIs" dxfId="49" priority="1" operator="greaterThan">
      <formula>$AA$26</formula>
    </cfRule>
    <cfRule type="cellIs" dxfId="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207" t="s">
        <v>2</v>
      </c>
      <c r="E2" s="42"/>
      <c r="F2" s="286" t="s">
        <v>93</v>
      </c>
      <c r="G2" s="286"/>
      <c r="H2" s="286"/>
      <c r="I2" s="286"/>
      <c r="J2" s="286"/>
      <c r="K2" s="340"/>
      <c r="L2" s="207" t="s">
        <v>4</v>
      </c>
      <c r="M2" s="286">
        <v>9</v>
      </c>
      <c r="N2" s="287"/>
      <c r="O2" s="207" t="s">
        <v>6</v>
      </c>
      <c r="P2" s="290" t="s">
        <v>83</v>
      </c>
      <c r="Q2" s="291"/>
      <c r="R2" s="291"/>
      <c r="S2" s="291"/>
      <c r="T2" s="291"/>
      <c r="U2" s="291"/>
      <c r="V2" s="292"/>
      <c r="W2" s="207" t="s">
        <v>34</v>
      </c>
      <c r="X2" s="32">
        <v>1</v>
      </c>
      <c r="Z2" s="34" t="s">
        <v>48</v>
      </c>
    </row>
    <row r="3" spans="1:26" ht="10" customHeight="1">
      <c r="A3" s="284" t="s">
        <v>1</v>
      </c>
      <c r="B3" s="285"/>
      <c r="C3" s="219"/>
      <c r="D3" s="208" t="s">
        <v>3</v>
      </c>
      <c r="E3" s="43"/>
      <c r="F3" s="341"/>
      <c r="G3" s="341"/>
      <c r="H3" s="341"/>
      <c r="I3" s="341"/>
      <c r="J3" s="341"/>
      <c r="K3" s="342"/>
      <c r="L3" s="208" t="s">
        <v>5</v>
      </c>
      <c r="M3" s="288"/>
      <c r="N3" s="289"/>
      <c r="O3" s="208" t="s">
        <v>7</v>
      </c>
      <c r="P3" s="293"/>
      <c r="Q3" s="293"/>
      <c r="R3" s="293"/>
      <c r="S3" s="293"/>
      <c r="T3" s="293"/>
      <c r="U3" s="293"/>
      <c r="V3" s="294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7" t="s">
        <v>9</v>
      </c>
      <c r="P4" s="6"/>
      <c r="Q4" s="295" t="s">
        <v>132</v>
      </c>
      <c r="R4" s="296"/>
      <c r="S4" s="296"/>
      <c r="T4" s="297"/>
      <c r="U4" s="207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208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1</v>
      </c>
      <c r="J24" s="248"/>
      <c r="K24" s="248">
        <v>2</v>
      </c>
      <c r="L24" s="248"/>
      <c r="M24" s="248">
        <v>3</v>
      </c>
      <c r="N24" s="248"/>
      <c r="O24" s="248">
        <v>4</v>
      </c>
      <c r="P24" s="248"/>
      <c r="Q24" s="248">
        <v>5</v>
      </c>
      <c r="R24" s="248"/>
      <c r="S24" s="248">
        <v>6</v>
      </c>
      <c r="T24" s="248"/>
      <c r="U24" s="248">
        <v>7</v>
      </c>
      <c r="V24" s="248"/>
      <c r="W24" s="248">
        <v>8</v>
      </c>
      <c r="X24" s="248"/>
      <c r="Z24" s="50"/>
    </row>
    <row r="25" spans="1:28">
      <c r="A25" s="251" t="s">
        <v>15</v>
      </c>
      <c r="B25" s="252"/>
      <c r="C25" s="209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2.1030000000000002</v>
      </c>
      <c r="J26" s="229"/>
      <c r="K26" s="229">
        <v>2.0990000000000002</v>
      </c>
      <c r="L26" s="229"/>
      <c r="M26" s="229">
        <v>2.0990000000000002</v>
      </c>
      <c r="N26" s="229"/>
      <c r="O26" s="229">
        <v>2.1019999999999999</v>
      </c>
      <c r="P26" s="229"/>
      <c r="Q26" s="229">
        <v>2.0990000000000002</v>
      </c>
      <c r="R26" s="229"/>
      <c r="S26" s="229">
        <v>2.0979999999999999</v>
      </c>
      <c r="T26" s="229"/>
      <c r="U26" s="229">
        <v>2.0920000000000001</v>
      </c>
      <c r="V26" s="229"/>
      <c r="W26" s="229">
        <v>2.101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2</v>
      </c>
      <c r="J28" s="229"/>
      <c r="K28" s="229">
        <v>1.97</v>
      </c>
      <c r="L28" s="229"/>
      <c r="M28" s="229">
        <v>1.99</v>
      </c>
      <c r="N28" s="229"/>
      <c r="O28" s="229">
        <v>1.99</v>
      </c>
      <c r="P28" s="229"/>
      <c r="Q28" s="229">
        <v>1.99</v>
      </c>
      <c r="R28" s="229"/>
      <c r="S28" s="229">
        <v>1.99</v>
      </c>
      <c r="T28" s="229"/>
      <c r="U28" s="229">
        <v>1.99</v>
      </c>
      <c r="V28" s="229"/>
      <c r="W28" s="229">
        <v>2.0099999999999998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2.0840000000000001</v>
      </c>
      <c r="J30" s="229"/>
      <c r="K30" s="229">
        <v>2.1030000000000002</v>
      </c>
      <c r="L30" s="229"/>
      <c r="M30" s="229">
        <v>2.0910000000000002</v>
      </c>
      <c r="N30" s="229"/>
      <c r="O30" s="229">
        <v>2.093</v>
      </c>
      <c r="P30" s="229"/>
      <c r="Q30" s="229">
        <v>2.0939999999999999</v>
      </c>
      <c r="R30" s="229"/>
      <c r="S30" s="229">
        <v>2.101</v>
      </c>
      <c r="T30" s="229"/>
      <c r="U30" s="229">
        <v>2.0880000000000001</v>
      </c>
      <c r="V30" s="229"/>
      <c r="W30" s="229">
        <v>2.0910000000000002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10.99</v>
      </c>
      <c r="J32" s="269"/>
      <c r="K32" s="269">
        <v>10.99</v>
      </c>
      <c r="L32" s="269"/>
      <c r="M32" s="269">
        <v>11</v>
      </c>
      <c r="N32" s="269"/>
      <c r="O32" s="269">
        <v>11.02</v>
      </c>
      <c r="P32" s="269"/>
      <c r="Q32" s="269">
        <v>11.02</v>
      </c>
      <c r="R32" s="269"/>
      <c r="S32" s="269">
        <v>11.01</v>
      </c>
      <c r="T32" s="269"/>
      <c r="U32" s="269">
        <v>10.99</v>
      </c>
      <c r="V32" s="269"/>
      <c r="W32" s="269">
        <v>10.98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201" t="s">
        <v>89</v>
      </c>
      <c r="E34" s="202"/>
      <c r="F34" s="202"/>
      <c r="G34" s="202"/>
      <c r="H34" s="203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204" t="s">
        <v>90</v>
      </c>
      <c r="E35" s="205"/>
      <c r="F35" s="205"/>
      <c r="G35" s="205"/>
      <c r="H35" s="206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204" t="s">
        <v>69</v>
      </c>
      <c r="E37" s="205"/>
      <c r="F37" s="205"/>
      <c r="G37" s="205"/>
      <c r="H37" s="206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201" t="s">
        <v>71</v>
      </c>
      <c r="E38" s="202"/>
      <c r="F38" s="202"/>
      <c r="G38" s="202"/>
      <c r="H38" s="203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204" t="s">
        <v>72</v>
      </c>
      <c r="E39" s="205"/>
      <c r="F39" s="205"/>
      <c r="G39" s="205"/>
      <c r="H39" s="206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201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204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201" t="s">
        <v>75</v>
      </c>
      <c r="E42" s="198"/>
      <c r="F42" s="199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204" t="s">
        <v>76</v>
      </c>
      <c r="E43" s="200"/>
      <c r="F43" s="200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201" t="s">
        <v>77</v>
      </c>
      <c r="E44" s="198"/>
      <c r="F44" s="199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204" t="s">
        <v>78</v>
      </c>
      <c r="E45" s="200"/>
      <c r="F45" s="200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201" t="s">
        <v>79</v>
      </c>
      <c r="E46" s="202"/>
      <c r="F46" s="202"/>
      <c r="G46" s="202"/>
      <c r="H46" s="203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204" t="s">
        <v>80</v>
      </c>
      <c r="E47" s="205"/>
      <c r="F47" s="205"/>
      <c r="G47" s="205"/>
      <c r="H47" s="206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201" t="s">
        <v>81</v>
      </c>
      <c r="E48" s="202"/>
      <c r="F48" s="202"/>
      <c r="G48" s="202"/>
      <c r="H48" s="203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204" t="s">
        <v>82</v>
      </c>
      <c r="E49" s="205"/>
      <c r="F49" s="205"/>
      <c r="G49" s="205"/>
      <c r="H49" s="206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7" priority="7" operator="greaterThan">
      <formula>$AA$28</formula>
    </cfRule>
    <cfRule type="cellIs" dxfId="46" priority="8" operator="lessThan">
      <formula>$AA$29</formula>
    </cfRule>
  </conditionalFormatting>
  <conditionalFormatting sqref="I32:X33">
    <cfRule type="cellIs" dxfId="45" priority="5" operator="greaterThan">
      <formula>$AA$32</formula>
    </cfRule>
    <cfRule type="cellIs" dxfId="44" priority="6" operator="lessThan">
      <formula>$AA$33</formula>
    </cfRule>
  </conditionalFormatting>
  <conditionalFormatting sqref="I30:X31">
    <cfRule type="cellIs" dxfId="43" priority="3" operator="greaterThan">
      <formula>$AA$30</formula>
    </cfRule>
    <cfRule type="cellIs" dxfId="42" priority="4" operator="lessThan">
      <formula>$AA$31</formula>
    </cfRule>
  </conditionalFormatting>
  <conditionalFormatting sqref="I26:X27">
    <cfRule type="cellIs" dxfId="41" priority="1" operator="greaterThan">
      <formula>$AA$26</formula>
    </cfRule>
    <cfRule type="cellIs" dxfId="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207" t="s">
        <v>2</v>
      </c>
      <c r="E2" s="42"/>
      <c r="F2" s="286" t="s">
        <v>93</v>
      </c>
      <c r="G2" s="286"/>
      <c r="H2" s="286"/>
      <c r="I2" s="286"/>
      <c r="J2" s="286"/>
      <c r="K2" s="340"/>
      <c r="L2" s="207" t="s">
        <v>4</v>
      </c>
      <c r="M2" s="286">
        <v>9</v>
      </c>
      <c r="N2" s="287"/>
      <c r="O2" s="207" t="s">
        <v>6</v>
      </c>
      <c r="P2" s="290" t="s">
        <v>83</v>
      </c>
      <c r="Q2" s="291"/>
      <c r="R2" s="291"/>
      <c r="S2" s="291"/>
      <c r="T2" s="291"/>
      <c r="U2" s="291"/>
      <c r="V2" s="292"/>
      <c r="W2" s="207" t="s">
        <v>34</v>
      </c>
      <c r="X2" s="32">
        <v>2</v>
      </c>
      <c r="Z2" s="34" t="s">
        <v>48</v>
      </c>
    </row>
    <row r="3" spans="1:26" ht="10" customHeight="1">
      <c r="A3" s="284" t="s">
        <v>1</v>
      </c>
      <c r="B3" s="285"/>
      <c r="C3" s="219"/>
      <c r="D3" s="208" t="s">
        <v>3</v>
      </c>
      <c r="E3" s="43"/>
      <c r="F3" s="341"/>
      <c r="G3" s="341"/>
      <c r="H3" s="341"/>
      <c r="I3" s="341"/>
      <c r="J3" s="341"/>
      <c r="K3" s="342"/>
      <c r="L3" s="208" t="s">
        <v>5</v>
      </c>
      <c r="M3" s="288"/>
      <c r="N3" s="289"/>
      <c r="O3" s="208" t="s">
        <v>7</v>
      </c>
      <c r="P3" s="293"/>
      <c r="Q3" s="293"/>
      <c r="R3" s="293"/>
      <c r="S3" s="293"/>
      <c r="T3" s="293"/>
      <c r="U3" s="293"/>
      <c r="V3" s="294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7" t="s">
        <v>9</v>
      </c>
      <c r="P4" s="6"/>
      <c r="Q4" s="295" t="s">
        <v>132</v>
      </c>
      <c r="R4" s="296"/>
      <c r="S4" s="296"/>
      <c r="T4" s="297"/>
      <c r="U4" s="207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208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9</v>
      </c>
      <c r="J24" s="248"/>
      <c r="K24" s="248">
        <v>10</v>
      </c>
      <c r="L24" s="248"/>
      <c r="M24" s="248">
        <v>11</v>
      </c>
      <c r="N24" s="248"/>
      <c r="O24" s="248">
        <v>12</v>
      </c>
      <c r="P24" s="248"/>
      <c r="Q24" s="248">
        <v>13</v>
      </c>
      <c r="R24" s="248"/>
      <c r="S24" s="248">
        <v>14</v>
      </c>
      <c r="T24" s="248"/>
      <c r="U24" s="248">
        <v>15</v>
      </c>
      <c r="V24" s="248"/>
      <c r="W24" s="248">
        <v>16</v>
      </c>
      <c r="X24" s="248"/>
      <c r="Z24" s="50"/>
    </row>
    <row r="25" spans="1:28">
      <c r="A25" s="251" t="s">
        <v>15</v>
      </c>
      <c r="B25" s="252"/>
      <c r="C25" s="209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2.093</v>
      </c>
      <c r="J26" s="229"/>
      <c r="K26" s="229">
        <v>2.0960000000000001</v>
      </c>
      <c r="L26" s="229"/>
      <c r="M26" s="229">
        <v>2.0990000000000002</v>
      </c>
      <c r="N26" s="229"/>
      <c r="O26" s="229">
        <v>2.105</v>
      </c>
      <c r="P26" s="229"/>
      <c r="Q26" s="229">
        <v>2.1040000000000001</v>
      </c>
      <c r="R26" s="229"/>
      <c r="S26" s="229">
        <v>2.1019999999999999</v>
      </c>
      <c r="T26" s="229"/>
      <c r="U26" s="229">
        <v>2.0939999999999999</v>
      </c>
      <c r="V26" s="229"/>
      <c r="W26" s="229">
        <v>2.1070000000000002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1.98</v>
      </c>
      <c r="J28" s="229"/>
      <c r="K28" s="229">
        <v>1.99</v>
      </c>
      <c r="L28" s="229"/>
      <c r="M28" s="229">
        <v>1.99</v>
      </c>
      <c r="N28" s="229"/>
      <c r="O28" s="229">
        <v>1.99</v>
      </c>
      <c r="P28" s="229"/>
      <c r="Q28" s="229">
        <v>1.98</v>
      </c>
      <c r="R28" s="229"/>
      <c r="S28" s="229">
        <v>1.99</v>
      </c>
      <c r="T28" s="229"/>
      <c r="U28" s="229">
        <v>1.99</v>
      </c>
      <c r="V28" s="229"/>
      <c r="W28" s="229">
        <v>1.98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2.0720000000000001</v>
      </c>
      <c r="J30" s="229"/>
      <c r="K30" s="229">
        <v>2.085</v>
      </c>
      <c r="L30" s="229"/>
      <c r="M30" s="229">
        <v>2.0880000000000001</v>
      </c>
      <c r="N30" s="229"/>
      <c r="O30" s="229">
        <v>2.097</v>
      </c>
      <c r="P30" s="229"/>
      <c r="Q30" s="229">
        <v>2.1</v>
      </c>
      <c r="R30" s="229"/>
      <c r="S30" s="229">
        <v>2.093</v>
      </c>
      <c r="T30" s="229"/>
      <c r="U30" s="229">
        <v>2.0870000000000002</v>
      </c>
      <c r="V30" s="229"/>
      <c r="W30" s="229">
        <v>2.0859999999999999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10.99</v>
      </c>
      <c r="J32" s="269"/>
      <c r="K32" s="269">
        <v>10.99</v>
      </c>
      <c r="L32" s="269"/>
      <c r="M32" s="269">
        <v>11</v>
      </c>
      <c r="N32" s="269"/>
      <c r="O32" s="269">
        <v>11.02</v>
      </c>
      <c r="P32" s="269"/>
      <c r="Q32" s="269">
        <v>11.02</v>
      </c>
      <c r="R32" s="269"/>
      <c r="S32" s="269">
        <v>11</v>
      </c>
      <c r="T32" s="269"/>
      <c r="U32" s="269">
        <v>10.99</v>
      </c>
      <c r="V32" s="269"/>
      <c r="W32" s="269">
        <v>10.98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201" t="s">
        <v>89</v>
      </c>
      <c r="E34" s="202"/>
      <c r="F34" s="202"/>
      <c r="G34" s="202"/>
      <c r="H34" s="203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204" t="s">
        <v>90</v>
      </c>
      <c r="E35" s="205"/>
      <c r="F35" s="205"/>
      <c r="G35" s="205"/>
      <c r="H35" s="206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204" t="s">
        <v>69</v>
      </c>
      <c r="E37" s="205"/>
      <c r="F37" s="205"/>
      <c r="G37" s="205"/>
      <c r="H37" s="206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201" t="s">
        <v>71</v>
      </c>
      <c r="E38" s="202"/>
      <c r="F38" s="202"/>
      <c r="G38" s="202"/>
      <c r="H38" s="203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204" t="s">
        <v>72</v>
      </c>
      <c r="E39" s="205"/>
      <c r="F39" s="205"/>
      <c r="G39" s="205"/>
      <c r="H39" s="206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201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204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201" t="s">
        <v>75</v>
      </c>
      <c r="E42" s="198"/>
      <c r="F42" s="199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204" t="s">
        <v>76</v>
      </c>
      <c r="E43" s="200"/>
      <c r="F43" s="200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201" t="s">
        <v>77</v>
      </c>
      <c r="E44" s="198"/>
      <c r="F44" s="199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204" t="s">
        <v>78</v>
      </c>
      <c r="E45" s="200"/>
      <c r="F45" s="200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201" t="s">
        <v>79</v>
      </c>
      <c r="E46" s="202"/>
      <c r="F46" s="202"/>
      <c r="G46" s="202"/>
      <c r="H46" s="203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204" t="s">
        <v>80</v>
      </c>
      <c r="E47" s="205"/>
      <c r="F47" s="205"/>
      <c r="G47" s="205"/>
      <c r="H47" s="206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201" t="s">
        <v>81</v>
      </c>
      <c r="E48" s="202"/>
      <c r="F48" s="202"/>
      <c r="G48" s="202"/>
      <c r="H48" s="203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204" t="s">
        <v>82</v>
      </c>
      <c r="E49" s="205"/>
      <c r="F49" s="205"/>
      <c r="G49" s="205"/>
      <c r="H49" s="206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9" priority="7" operator="greaterThan">
      <formula>$AA$28</formula>
    </cfRule>
    <cfRule type="cellIs" dxfId="38" priority="8" operator="lessThan">
      <formula>$AA$29</formula>
    </cfRule>
  </conditionalFormatting>
  <conditionalFormatting sqref="I32:X33">
    <cfRule type="cellIs" dxfId="37" priority="5" operator="greaterThan">
      <formula>$AA$32</formula>
    </cfRule>
    <cfRule type="cellIs" dxfId="36" priority="6" operator="lessThan">
      <formula>$AA$33</formula>
    </cfRule>
  </conditionalFormatting>
  <conditionalFormatting sqref="I30:X31">
    <cfRule type="cellIs" dxfId="35" priority="3" operator="greaterThan">
      <formula>$AA$30</formula>
    </cfRule>
    <cfRule type="cellIs" dxfId="34" priority="4" operator="lessThan">
      <formula>$AA$31</formula>
    </cfRule>
  </conditionalFormatting>
  <conditionalFormatting sqref="I26:X27">
    <cfRule type="cellIs" dxfId="33" priority="1" operator="greaterThan">
      <formula>$AA$26</formula>
    </cfRule>
    <cfRule type="cellIs" dxfId="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207" t="s">
        <v>2</v>
      </c>
      <c r="E2" s="42"/>
      <c r="F2" s="286" t="s">
        <v>93</v>
      </c>
      <c r="G2" s="286"/>
      <c r="H2" s="286"/>
      <c r="I2" s="286"/>
      <c r="J2" s="286"/>
      <c r="K2" s="340"/>
      <c r="L2" s="207" t="s">
        <v>4</v>
      </c>
      <c r="M2" s="286">
        <v>9</v>
      </c>
      <c r="N2" s="287"/>
      <c r="O2" s="207" t="s">
        <v>6</v>
      </c>
      <c r="P2" s="290" t="s">
        <v>83</v>
      </c>
      <c r="Q2" s="291"/>
      <c r="R2" s="291"/>
      <c r="S2" s="291"/>
      <c r="T2" s="291"/>
      <c r="U2" s="291"/>
      <c r="V2" s="292"/>
      <c r="W2" s="207" t="s">
        <v>34</v>
      </c>
      <c r="X2" s="32">
        <v>1</v>
      </c>
      <c r="Z2" s="34" t="s">
        <v>48</v>
      </c>
    </row>
    <row r="3" spans="1:26" ht="10" customHeight="1">
      <c r="A3" s="284" t="s">
        <v>1</v>
      </c>
      <c r="B3" s="285"/>
      <c r="C3" s="219"/>
      <c r="D3" s="208" t="s">
        <v>3</v>
      </c>
      <c r="E3" s="43"/>
      <c r="F3" s="341"/>
      <c r="G3" s="341"/>
      <c r="H3" s="341"/>
      <c r="I3" s="341"/>
      <c r="J3" s="341"/>
      <c r="K3" s="342"/>
      <c r="L3" s="208" t="s">
        <v>5</v>
      </c>
      <c r="M3" s="288"/>
      <c r="N3" s="289"/>
      <c r="O3" s="208" t="s">
        <v>7</v>
      </c>
      <c r="P3" s="293"/>
      <c r="Q3" s="293"/>
      <c r="R3" s="293"/>
      <c r="S3" s="293"/>
      <c r="T3" s="293"/>
      <c r="U3" s="293"/>
      <c r="V3" s="294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7" t="s">
        <v>9</v>
      </c>
      <c r="P4" s="6"/>
      <c r="Q4" s="295" t="s">
        <v>131</v>
      </c>
      <c r="R4" s="296"/>
      <c r="S4" s="296"/>
      <c r="T4" s="297"/>
      <c r="U4" s="207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208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1</v>
      </c>
      <c r="J24" s="248"/>
      <c r="K24" s="248">
        <v>2</v>
      </c>
      <c r="L24" s="248"/>
      <c r="M24" s="248">
        <v>3</v>
      </c>
      <c r="N24" s="248"/>
      <c r="O24" s="248">
        <v>4</v>
      </c>
      <c r="P24" s="248"/>
      <c r="Q24" s="248">
        <v>5</v>
      </c>
      <c r="R24" s="248"/>
      <c r="S24" s="248">
        <v>6</v>
      </c>
      <c r="T24" s="248"/>
      <c r="U24" s="248">
        <v>7</v>
      </c>
      <c r="V24" s="248"/>
      <c r="W24" s="248">
        <v>8</v>
      </c>
      <c r="X24" s="248"/>
      <c r="Z24" s="50"/>
    </row>
    <row r="25" spans="1:28">
      <c r="A25" s="251" t="s">
        <v>15</v>
      </c>
      <c r="B25" s="252"/>
      <c r="C25" s="209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2.1019999999999999</v>
      </c>
      <c r="J26" s="229"/>
      <c r="K26" s="229">
        <v>2.0990000000000002</v>
      </c>
      <c r="L26" s="229"/>
      <c r="M26" s="229">
        <v>2.0950000000000002</v>
      </c>
      <c r="N26" s="229"/>
      <c r="O26" s="229">
        <v>2.105</v>
      </c>
      <c r="P26" s="229"/>
      <c r="Q26" s="229">
        <v>2.1040000000000001</v>
      </c>
      <c r="R26" s="229"/>
      <c r="S26" s="229">
        <v>2.0950000000000002</v>
      </c>
      <c r="T26" s="229"/>
      <c r="U26" s="229">
        <v>2.097</v>
      </c>
      <c r="V26" s="229"/>
      <c r="W26" s="229">
        <v>2.0979999999999999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1.98</v>
      </c>
      <c r="J28" s="229"/>
      <c r="K28" s="229">
        <v>1.97</v>
      </c>
      <c r="L28" s="229"/>
      <c r="M28" s="229">
        <v>1.99</v>
      </c>
      <c r="N28" s="229"/>
      <c r="O28" s="229">
        <v>1.99</v>
      </c>
      <c r="P28" s="229"/>
      <c r="Q28" s="229">
        <v>1.99</v>
      </c>
      <c r="R28" s="229"/>
      <c r="S28" s="229">
        <v>1.99</v>
      </c>
      <c r="T28" s="229"/>
      <c r="U28" s="229">
        <v>1.99</v>
      </c>
      <c r="V28" s="229"/>
      <c r="W28" s="229">
        <v>1.99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2.09</v>
      </c>
      <c r="J30" s="229"/>
      <c r="K30" s="229">
        <v>2.1019999999999999</v>
      </c>
      <c r="L30" s="229"/>
      <c r="M30" s="229">
        <v>2.0939999999999999</v>
      </c>
      <c r="N30" s="229"/>
      <c r="O30" s="229">
        <v>2.101</v>
      </c>
      <c r="P30" s="229"/>
      <c r="Q30" s="229">
        <v>2.1019999999999999</v>
      </c>
      <c r="R30" s="229"/>
      <c r="S30" s="229">
        <v>2.101</v>
      </c>
      <c r="T30" s="229"/>
      <c r="U30" s="229">
        <v>2.0840000000000001</v>
      </c>
      <c r="V30" s="229"/>
      <c r="W30" s="229">
        <v>2.0910000000000002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11</v>
      </c>
      <c r="J32" s="269"/>
      <c r="K32" s="269">
        <v>11.01</v>
      </c>
      <c r="L32" s="269"/>
      <c r="M32" s="269">
        <v>11.02</v>
      </c>
      <c r="N32" s="269"/>
      <c r="O32" s="269">
        <v>11.03</v>
      </c>
      <c r="P32" s="269"/>
      <c r="Q32" s="269">
        <v>11.02</v>
      </c>
      <c r="R32" s="269"/>
      <c r="S32" s="269">
        <v>11</v>
      </c>
      <c r="T32" s="269"/>
      <c r="U32" s="269">
        <v>10.98</v>
      </c>
      <c r="V32" s="269"/>
      <c r="W32" s="269">
        <v>10.98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201" t="s">
        <v>89</v>
      </c>
      <c r="E34" s="202"/>
      <c r="F34" s="202"/>
      <c r="G34" s="202"/>
      <c r="H34" s="203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204" t="s">
        <v>90</v>
      </c>
      <c r="E35" s="205"/>
      <c r="F35" s="205"/>
      <c r="G35" s="205"/>
      <c r="H35" s="206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204" t="s">
        <v>69</v>
      </c>
      <c r="E37" s="205"/>
      <c r="F37" s="205"/>
      <c r="G37" s="205"/>
      <c r="H37" s="206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201" t="s">
        <v>71</v>
      </c>
      <c r="E38" s="202"/>
      <c r="F38" s="202"/>
      <c r="G38" s="202"/>
      <c r="H38" s="203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204" t="s">
        <v>72</v>
      </c>
      <c r="E39" s="205"/>
      <c r="F39" s="205"/>
      <c r="G39" s="205"/>
      <c r="H39" s="206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201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204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201" t="s">
        <v>75</v>
      </c>
      <c r="E42" s="198"/>
      <c r="F42" s="199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204" t="s">
        <v>76</v>
      </c>
      <c r="E43" s="200"/>
      <c r="F43" s="200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201" t="s">
        <v>77</v>
      </c>
      <c r="E44" s="198"/>
      <c r="F44" s="199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204" t="s">
        <v>78</v>
      </c>
      <c r="E45" s="200"/>
      <c r="F45" s="200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201" t="s">
        <v>79</v>
      </c>
      <c r="E46" s="202"/>
      <c r="F46" s="202"/>
      <c r="G46" s="202"/>
      <c r="H46" s="203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204" t="s">
        <v>80</v>
      </c>
      <c r="E47" s="205"/>
      <c r="F47" s="205"/>
      <c r="G47" s="205"/>
      <c r="H47" s="206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201" t="s">
        <v>81</v>
      </c>
      <c r="E48" s="202"/>
      <c r="F48" s="202"/>
      <c r="G48" s="202"/>
      <c r="H48" s="203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204" t="s">
        <v>82</v>
      </c>
      <c r="E49" s="205"/>
      <c r="F49" s="205"/>
      <c r="G49" s="205"/>
      <c r="H49" s="206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1" priority="7" operator="greaterThan">
      <formula>$AA$28</formula>
    </cfRule>
    <cfRule type="cellIs" dxfId="30" priority="8" operator="lessThan">
      <formula>$AA$29</formula>
    </cfRule>
  </conditionalFormatting>
  <conditionalFormatting sqref="I32:X33">
    <cfRule type="cellIs" dxfId="29" priority="5" operator="greaterThan">
      <formula>$AA$32</formula>
    </cfRule>
    <cfRule type="cellIs" dxfId="28" priority="6" operator="lessThan">
      <formula>$AA$33</formula>
    </cfRule>
  </conditionalFormatting>
  <conditionalFormatting sqref="I30:X31">
    <cfRule type="cellIs" dxfId="27" priority="3" operator="greaterThan">
      <formula>$AA$30</formula>
    </cfRule>
    <cfRule type="cellIs" dxfId="26" priority="4" operator="lessThan">
      <formula>$AA$31</formula>
    </cfRule>
  </conditionalFormatting>
  <conditionalFormatting sqref="I26:X27">
    <cfRule type="cellIs" dxfId="25" priority="1" operator="greaterThan">
      <formula>$AA$26</formula>
    </cfRule>
    <cfRule type="cellIs" dxfId="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207" t="s">
        <v>2</v>
      </c>
      <c r="E2" s="42"/>
      <c r="F2" s="286" t="s">
        <v>93</v>
      </c>
      <c r="G2" s="286"/>
      <c r="H2" s="286"/>
      <c r="I2" s="286"/>
      <c r="J2" s="286"/>
      <c r="K2" s="340"/>
      <c r="L2" s="207" t="s">
        <v>4</v>
      </c>
      <c r="M2" s="286">
        <v>9</v>
      </c>
      <c r="N2" s="287"/>
      <c r="O2" s="207" t="s">
        <v>6</v>
      </c>
      <c r="P2" s="290" t="s">
        <v>83</v>
      </c>
      <c r="Q2" s="291"/>
      <c r="R2" s="291"/>
      <c r="S2" s="291"/>
      <c r="T2" s="291"/>
      <c r="U2" s="291"/>
      <c r="V2" s="292"/>
      <c r="W2" s="207" t="s">
        <v>34</v>
      </c>
      <c r="X2" s="32">
        <v>2</v>
      </c>
      <c r="Z2" s="34" t="s">
        <v>48</v>
      </c>
    </row>
    <row r="3" spans="1:26" ht="10" customHeight="1">
      <c r="A3" s="284" t="s">
        <v>1</v>
      </c>
      <c r="B3" s="285"/>
      <c r="C3" s="219"/>
      <c r="D3" s="208" t="s">
        <v>3</v>
      </c>
      <c r="E3" s="43"/>
      <c r="F3" s="341"/>
      <c r="G3" s="341"/>
      <c r="H3" s="341"/>
      <c r="I3" s="341"/>
      <c r="J3" s="341"/>
      <c r="K3" s="342"/>
      <c r="L3" s="208" t="s">
        <v>5</v>
      </c>
      <c r="M3" s="288"/>
      <c r="N3" s="289"/>
      <c r="O3" s="208" t="s">
        <v>7</v>
      </c>
      <c r="P3" s="293"/>
      <c r="Q3" s="293"/>
      <c r="R3" s="293"/>
      <c r="S3" s="293"/>
      <c r="T3" s="293"/>
      <c r="U3" s="293"/>
      <c r="V3" s="294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7" t="s">
        <v>9</v>
      </c>
      <c r="P4" s="6"/>
      <c r="Q4" s="295" t="s">
        <v>131</v>
      </c>
      <c r="R4" s="296"/>
      <c r="S4" s="296"/>
      <c r="T4" s="297"/>
      <c r="U4" s="207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208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9</v>
      </c>
      <c r="J24" s="248"/>
      <c r="K24" s="248">
        <v>10</v>
      </c>
      <c r="L24" s="248"/>
      <c r="M24" s="248">
        <v>11</v>
      </c>
      <c r="N24" s="248"/>
      <c r="O24" s="248">
        <v>12</v>
      </c>
      <c r="P24" s="248"/>
      <c r="Q24" s="248">
        <v>13</v>
      </c>
      <c r="R24" s="248"/>
      <c r="S24" s="248">
        <v>14</v>
      </c>
      <c r="T24" s="248"/>
      <c r="U24" s="248">
        <v>15</v>
      </c>
      <c r="V24" s="248"/>
      <c r="W24" s="248">
        <v>16</v>
      </c>
      <c r="X24" s="248"/>
      <c r="Z24" s="50"/>
    </row>
    <row r="25" spans="1:28">
      <c r="A25" s="251" t="s">
        <v>15</v>
      </c>
      <c r="B25" s="252"/>
      <c r="C25" s="209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2.1</v>
      </c>
      <c r="J26" s="229"/>
      <c r="K26" s="229">
        <v>2.097</v>
      </c>
      <c r="L26" s="229"/>
      <c r="M26" s="229">
        <v>2.1</v>
      </c>
      <c r="N26" s="229"/>
      <c r="O26" s="229">
        <v>2.101</v>
      </c>
      <c r="P26" s="229"/>
      <c r="Q26" s="229">
        <v>2.1059999999999999</v>
      </c>
      <c r="R26" s="229"/>
      <c r="S26" s="229">
        <v>2.097</v>
      </c>
      <c r="T26" s="229"/>
      <c r="U26" s="229">
        <v>2.0920000000000001</v>
      </c>
      <c r="V26" s="229"/>
      <c r="W26" s="229">
        <v>2.0910000000000002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1.98</v>
      </c>
      <c r="J28" s="229"/>
      <c r="K28" s="229">
        <v>1.99</v>
      </c>
      <c r="L28" s="229"/>
      <c r="M28" s="229">
        <v>1.99</v>
      </c>
      <c r="N28" s="229"/>
      <c r="O28" s="229">
        <v>1.99</v>
      </c>
      <c r="P28" s="229"/>
      <c r="Q28" s="229">
        <v>1.98</v>
      </c>
      <c r="R28" s="229"/>
      <c r="S28" s="229">
        <v>1.99</v>
      </c>
      <c r="T28" s="229"/>
      <c r="U28" s="229">
        <v>1.99</v>
      </c>
      <c r="V28" s="229"/>
      <c r="W28" s="229">
        <v>1.98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2.085</v>
      </c>
      <c r="J30" s="229"/>
      <c r="K30" s="229">
        <v>2.093</v>
      </c>
      <c r="L30" s="229"/>
      <c r="M30" s="229">
        <v>2.089</v>
      </c>
      <c r="N30" s="229"/>
      <c r="O30" s="229">
        <v>2.097</v>
      </c>
      <c r="P30" s="229"/>
      <c r="Q30" s="229">
        <v>2.1030000000000002</v>
      </c>
      <c r="R30" s="229"/>
      <c r="S30" s="229">
        <v>2.0950000000000002</v>
      </c>
      <c r="T30" s="229"/>
      <c r="U30" s="229">
        <v>2.0910000000000002</v>
      </c>
      <c r="V30" s="229"/>
      <c r="W30" s="229">
        <v>2.0859999999999999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10.98</v>
      </c>
      <c r="J32" s="269"/>
      <c r="K32" s="269">
        <v>10.99</v>
      </c>
      <c r="L32" s="269"/>
      <c r="M32" s="269">
        <v>11</v>
      </c>
      <c r="N32" s="269"/>
      <c r="O32" s="269">
        <v>11.03</v>
      </c>
      <c r="P32" s="269"/>
      <c r="Q32" s="269">
        <v>11.02</v>
      </c>
      <c r="R32" s="269"/>
      <c r="S32" s="269">
        <v>11</v>
      </c>
      <c r="T32" s="269"/>
      <c r="U32" s="269">
        <v>10.99</v>
      </c>
      <c r="V32" s="269"/>
      <c r="W32" s="269">
        <v>10.98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201" t="s">
        <v>89</v>
      </c>
      <c r="E34" s="202"/>
      <c r="F34" s="202"/>
      <c r="G34" s="202"/>
      <c r="H34" s="203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204" t="s">
        <v>90</v>
      </c>
      <c r="E35" s="205"/>
      <c r="F35" s="205"/>
      <c r="G35" s="205"/>
      <c r="H35" s="206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204" t="s">
        <v>69</v>
      </c>
      <c r="E37" s="205"/>
      <c r="F37" s="205"/>
      <c r="G37" s="205"/>
      <c r="H37" s="206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201" t="s">
        <v>71</v>
      </c>
      <c r="E38" s="202"/>
      <c r="F38" s="202"/>
      <c r="G38" s="202"/>
      <c r="H38" s="203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204" t="s">
        <v>72</v>
      </c>
      <c r="E39" s="205"/>
      <c r="F39" s="205"/>
      <c r="G39" s="205"/>
      <c r="H39" s="206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201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204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201" t="s">
        <v>75</v>
      </c>
      <c r="E42" s="198"/>
      <c r="F42" s="199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204" t="s">
        <v>76</v>
      </c>
      <c r="E43" s="200"/>
      <c r="F43" s="200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201" t="s">
        <v>77</v>
      </c>
      <c r="E44" s="198"/>
      <c r="F44" s="199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204" t="s">
        <v>78</v>
      </c>
      <c r="E45" s="200"/>
      <c r="F45" s="200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201" t="s">
        <v>79</v>
      </c>
      <c r="E46" s="202"/>
      <c r="F46" s="202"/>
      <c r="G46" s="202"/>
      <c r="H46" s="203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204" t="s">
        <v>80</v>
      </c>
      <c r="E47" s="205"/>
      <c r="F47" s="205"/>
      <c r="G47" s="205"/>
      <c r="H47" s="206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201" t="s">
        <v>81</v>
      </c>
      <c r="E48" s="202"/>
      <c r="F48" s="202"/>
      <c r="G48" s="202"/>
      <c r="H48" s="203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204" t="s">
        <v>82</v>
      </c>
      <c r="E49" s="205"/>
      <c r="F49" s="205"/>
      <c r="G49" s="205"/>
      <c r="H49" s="206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3" priority="7" operator="greaterThan">
      <formula>$AA$28</formula>
    </cfRule>
    <cfRule type="cellIs" dxfId="22" priority="8" operator="lessThan">
      <formula>$AA$29</formula>
    </cfRule>
  </conditionalFormatting>
  <conditionalFormatting sqref="I32:X33">
    <cfRule type="cellIs" dxfId="21" priority="5" operator="greaterThan">
      <formula>$AA$32</formula>
    </cfRule>
    <cfRule type="cellIs" dxfId="20" priority="6" operator="lessThan">
      <formula>$AA$33</formula>
    </cfRule>
  </conditionalFormatting>
  <conditionalFormatting sqref="I30:X31">
    <cfRule type="cellIs" dxfId="19" priority="3" operator="greaterThan">
      <formula>$AA$30</formula>
    </cfRule>
    <cfRule type="cellIs" dxfId="18" priority="4" operator="lessThan">
      <formula>$AA$31</formula>
    </cfRule>
  </conditionalFormatting>
  <conditionalFormatting sqref="I26:X27">
    <cfRule type="cellIs" dxfId="17" priority="1" operator="greaterThan">
      <formula>$AA$26</formula>
    </cfRule>
    <cfRule type="cellIs" dxfId="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207" t="s">
        <v>2</v>
      </c>
      <c r="E2" s="42"/>
      <c r="F2" s="286" t="s">
        <v>93</v>
      </c>
      <c r="G2" s="286"/>
      <c r="H2" s="286"/>
      <c r="I2" s="286"/>
      <c r="J2" s="286"/>
      <c r="K2" s="340"/>
      <c r="L2" s="207" t="s">
        <v>4</v>
      </c>
      <c r="M2" s="286">
        <v>9</v>
      </c>
      <c r="N2" s="287"/>
      <c r="O2" s="207" t="s">
        <v>6</v>
      </c>
      <c r="P2" s="290" t="s">
        <v>83</v>
      </c>
      <c r="Q2" s="291"/>
      <c r="R2" s="291"/>
      <c r="S2" s="291"/>
      <c r="T2" s="291"/>
      <c r="U2" s="291"/>
      <c r="V2" s="292"/>
      <c r="W2" s="207" t="s">
        <v>34</v>
      </c>
      <c r="X2" s="32">
        <v>1</v>
      </c>
      <c r="Z2" s="34" t="s">
        <v>48</v>
      </c>
    </row>
    <row r="3" spans="1:26" ht="10" customHeight="1">
      <c r="A3" s="284" t="s">
        <v>1</v>
      </c>
      <c r="B3" s="285"/>
      <c r="C3" s="219"/>
      <c r="D3" s="208" t="s">
        <v>3</v>
      </c>
      <c r="E3" s="43"/>
      <c r="F3" s="341"/>
      <c r="G3" s="341"/>
      <c r="H3" s="341"/>
      <c r="I3" s="341"/>
      <c r="J3" s="341"/>
      <c r="K3" s="342"/>
      <c r="L3" s="208" t="s">
        <v>5</v>
      </c>
      <c r="M3" s="288"/>
      <c r="N3" s="289"/>
      <c r="O3" s="208" t="s">
        <v>7</v>
      </c>
      <c r="P3" s="293"/>
      <c r="Q3" s="293"/>
      <c r="R3" s="293"/>
      <c r="S3" s="293"/>
      <c r="T3" s="293"/>
      <c r="U3" s="293"/>
      <c r="V3" s="294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7" t="s">
        <v>9</v>
      </c>
      <c r="P4" s="6"/>
      <c r="Q4" s="295" t="s">
        <v>130</v>
      </c>
      <c r="R4" s="296"/>
      <c r="S4" s="296"/>
      <c r="T4" s="297"/>
      <c r="U4" s="207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208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1</v>
      </c>
      <c r="J24" s="248"/>
      <c r="K24" s="248">
        <v>2</v>
      </c>
      <c r="L24" s="248"/>
      <c r="M24" s="248">
        <v>3</v>
      </c>
      <c r="N24" s="248"/>
      <c r="O24" s="248">
        <v>4</v>
      </c>
      <c r="P24" s="248"/>
      <c r="Q24" s="248">
        <v>5</v>
      </c>
      <c r="R24" s="248"/>
      <c r="S24" s="248">
        <v>6</v>
      </c>
      <c r="T24" s="248"/>
      <c r="U24" s="248">
        <v>7</v>
      </c>
      <c r="V24" s="248"/>
      <c r="W24" s="248">
        <v>8</v>
      </c>
      <c r="X24" s="248"/>
      <c r="Z24" s="50"/>
    </row>
    <row r="25" spans="1:28">
      <c r="A25" s="251" t="s">
        <v>15</v>
      </c>
      <c r="B25" s="252"/>
      <c r="C25" s="209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2.1030000000000002</v>
      </c>
      <c r="J26" s="229"/>
      <c r="K26" s="229">
        <v>2.1</v>
      </c>
      <c r="L26" s="229"/>
      <c r="M26" s="229">
        <v>2.097</v>
      </c>
      <c r="N26" s="229"/>
      <c r="O26" s="229">
        <v>2.101</v>
      </c>
      <c r="P26" s="229"/>
      <c r="Q26" s="229">
        <v>2.0990000000000002</v>
      </c>
      <c r="R26" s="229"/>
      <c r="S26" s="229">
        <v>2.0960000000000001</v>
      </c>
      <c r="T26" s="229"/>
      <c r="U26" s="229">
        <v>2.097</v>
      </c>
      <c r="V26" s="229"/>
      <c r="W26" s="229">
        <v>2.109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2.0099999999999998</v>
      </c>
      <c r="J28" s="229"/>
      <c r="K28" s="229">
        <v>1.97</v>
      </c>
      <c r="L28" s="229"/>
      <c r="M28" s="229">
        <v>1.99</v>
      </c>
      <c r="N28" s="229"/>
      <c r="O28" s="229">
        <v>1.99</v>
      </c>
      <c r="P28" s="229"/>
      <c r="Q28" s="229">
        <v>1.99</v>
      </c>
      <c r="R28" s="229"/>
      <c r="S28" s="229">
        <v>1.99</v>
      </c>
      <c r="T28" s="229"/>
      <c r="U28" s="229">
        <v>1.99</v>
      </c>
      <c r="V28" s="229"/>
      <c r="W28" s="229">
        <v>2.0099999999999998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2.0859999999999999</v>
      </c>
      <c r="J30" s="229"/>
      <c r="K30" s="229">
        <v>2.089</v>
      </c>
      <c r="L30" s="229"/>
      <c r="M30" s="229">
        <v>2.0960000000000001</v>
      </c>
      <c r="N30" s="229"/>
      <c r="O30" s="229">
        <v>2.0950000000000002</v>
      </c>
      <c r="P30" s="229"/>
      <c r="Q30" s="229">
        <v>2.093</v>
      </c>
      <c r="R30" s="229"/>
      <c r="S30" s="229">
        <v>2.0950000000000002</v>
      </c>
      <c r="T30" s="229"/>
      <c r="U30" s="229">
        <v>2.0859999999999999</v>
      </c>
      <c r="V30" s="229"/>
      <c r="W30" s="229">
        <v>2.0840000000000001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11</v>
      </c>
      <c r="J32" s="269"/>
      <c r="K32" s="269">
        <v>11</v>
      </c>
      <c r="L32" s="269"/>
      <c r="M32" s="269">
        <v>11</v>
      </c>
      <c r="N32" s="269"/>
      <c r="O32" s="269">
        <v>11.01</v>
      </c>
      <c r="P32" s="269"/>
      <c r="Q32" s="269">
        <v>11.01</v>
      </c>
      <c r="R32" s="269"/>
      <c r="S32" s="269">
        <v>11</v>
      </c>
      <c r="T32" s="269"/>
      <c r="U32" s="269">
        <v>10.98</v>
      </c>
      <c r="V32" s="269"/>
      <c r="W32" s="269">
        <v>10.99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201" t="s">
        <v>89</v>
      </c>
      <c r="E34" s="202"/>
      <c r="F34" s="202"/>
      <c r="G34" s="202"/>
      <c r="H34" s="203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204" t="s">
        <v>90</v>
      </c>
      <c r="E35" s="205"/>
      <c r="F35" s="205"/>
      <c r="G35" s="205"/>
      <c r="H35" s="206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204" t="s">
        <v>69</v>
      </c>
      <c r="E37" s="205"/>
      <c r="F37" s="205"/>
      <c r="G37" s="205"/>
      <c r="H37" s="206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201" t="s">
        <v>71</v>
      </c>
      <c r="E38" s="202"/>
      <c r="F38" s="202"/>
      <c r="G38" s="202"/>
      <c r="H38" s="203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204" t="s">
        <v>72</v>
      </c>
      <c r="E39" s="205"/>
      <c r="F39" s="205"/>
      <c r="G39" s="205"/>
      <c r="H39" s="206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201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204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201" t="s">
        <v>75</v>
      </c>
      <c r="E42" s="198"/>
      <c r="F42" s="199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204" t="s">
        <v>76</v>
      </c>
      <c r="E43" s="200"/>
      <c r="F43" s="200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201" t="s">
        <v>77</v>
      </c>
      <c r="E44" s="198"/>
      <c r="F44" s="199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204" t="s">
        <v>78</v>
      </c>
      <c r="E45" s="200"/>
      <c r="F45" s="200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201" t="s">
        <v>79</v>
      </c>
      <c r="E46" s="202"/>
      <c r="F46" s="202"/>
      <c r="G46" s="202"/>
      <c r="H46" s="203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204" t="s">
        <v>80</v>
      </c>
      <c r="E47" s="205"/>
      <c r="F47" s="205"/>
      <c r="G47" s="205"/>
      <c r="H47" s="206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201" t="s">
        <v>81</v>
      </c>
      <c r="E48" s="202"/>
      <c r="F48" s="202"/>
      <c r="G48" s="202"/>
      <c r="H48" s="203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204" t="s">
        <v>82</v>
      </c>
      <c r="E49" s="205"/>
      <c r="F49" s="205"/>
      <c r="G49" s="205"/>
      <c r="H49" s="206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" priority="7" operator="greaterThan">
      <formula>$AA$28</formula>
    </cfRule>
    <cfRule type="cellIs" dxfId="14" priority="8" operator="lessThan">
      <formula>$AA$29</formula>
    </cfRule>
  </conditionalFormatting>
  <conditionalFormatting sqref="I32:X33">
    <cfRule type="cellIs" dxfId="13" priority="5" operator="greaterThan">
      <formula>$AA$32</formula>
    </cfRule>
    <cfRule type="cellIs" dxfId="12" priority="6" operator="lessThan">
      <formula>$AA$33</formula>
    </cfRule>
  </conditionalFormatting>
  <conditionalFormatting sqref="I30:X31">
    <cfRule type="cellIs" dxfId="11" priority="3" operator="greaterThan">
      <formula>$AA$30</formula>
    </cfRule>
    <cfRule type="cellIs" dxfId="10" priority="4" operator="lessThan">
      <formula>$AA$31</formula>
    </cfRule>
  </conditionalFormatting>
  <conditionalFormatting sqref="I26:X27">
    <cfRule type="cellIs" dxfId="9" priority="1" operator="greaterThan">
      <formula>$AA$26</formula>
    </cfRule>
    <cfRule type="cellIs" dxfId="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</row>
    <row r="2" spans="1:26" ht="13.5" customHeight="1">
      <c r="A2" s="282" t="s">
        <v>30</v>
      </c>
      <c r="B2" s="283"/>
      <c r="C2" s="232" t="s">
        <v>94</v>
      </c>
      <c r="D2" s="207" t="s">
        <v>2</v>
      </c>
      <c r="E2" s="42"/>
      <c r="F2" s="286" t="s">
        <v>93</v>
      </c>
      <c r="G2" s="286"/>
      <c r="H2" s="286"/>
      <c r="I2" s="286"/>
      <c r="J2" s="286"/>
      <c r="K2" s="340"/>
      <c r="L2" s="207" t="s">
        <v>4</v>
      </c>
      <c r="M2" s="286">
        <v>9</v>
      </c>
      <c r="N2" s="287"/>
      <c r="O2" s="207" t="s">
        <v>6</v>
      </c>
      <c r="P2" s="290" t="s">
        <v>83</v>
      </c>
      <c r="Q2" s="291"/>
      <c r="R2" s="291"/>
      <c r="S2" s="291"/>
      <c r="T2" s="291"/>
      <c r="U2" s="291"/>
      <c r="V2" s="292"/>
      <c r="W2" s="207" t="s">
        <v>34</v>
      </c>
      <c r="X2" s="32">
        <v>2</v>
      </c>
      <c r="Z2" s="34" t="s">
        <v>48</v>
      </c>
    </row>
    <row r="3" spans="1:26" ht="10" customHeight="1">
      <c r="A3" s="284" t="s">
        <v>1</v>
      </c>
      <c r="B3" s="285"/>
      <c r="C3" s="219"/>
      <c r="D3" s="208" t="s">
        <v>3</v>
      </c>
      <c r="E3" s="43"/>
      <c r="F3" s="341"/>
      <c r="G3" s="341"/>
      <c r="H3" s="341"/>
      <c r="I3" s="341"/>
      <c r="J3" s="341"/>
      <c r="K3" s="342"/>
      <c r="L3" s="208" t="s">
        <v>5</v>
      </c>
      <c r="M3" s="288"/>
      <c r="N3" s="289"/>
      <c r="O3" s="208" t="s">
        <v>7</v>
      </c>
      <c r="P3" s="293"/>
      <c r="Q3" s="293"/>
      <c r="R3" s="293"/>
      <c r="S3" s="293"/>
      <c r="T3" s="293"/>
      <c r="U3" s="293"/>
      <c r="V3" s="294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7" t="s">
        <v>9</v>
      </c>
      <c r="P4" s="6"/>
      <c r="Q4" s="295" t="s">
        <v>130</v>
      </c>
      <c r="R4" s="296"/>
      <c r="S4" s="296"/>
      <c r="T4" s="297"/>
      <c r="U4" s="207" t="s">
        <v>11</v>
      </c>
      <c r="V4" s="7"/>
      <c r="W4" s="286">
        <v>7</v>
      </c>
      <c r="X4" s="28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98"/>
      <c r="R5" s="298"/>
      <c r="S5" s="298"/>
      <c r="T5" s="299"/>
      <c r="U5" s="208" t="s">
        <v>12</v>
      </c>
      <c r="V5" s="11"/>
      <c r="W5" s="288"/>
      <c r="X5" s="28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33" t="s">
        <v>36</v>
      </c>
      <c r="T6" s="314"/>
      <c r="U6" s="314"/>
      <c r="V6" s="314"/>
      <c r="W6" s="314"/>
      <c r="X6" s="31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36" t="s">
        <v>13</v>
      </c>
      <c r="T7" s="316"/>
      <c r="U7" s="316"/>
      <c r="V7" s="316"/>
      <c r="W7" s="316"/>
      <c r="X7" s="317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18" t="s">
        <v>93</v>
      </c>
      <c r="T8" s="319"/>
      <c r="U8" s="319"/>
      <c r="V8" s="243"/>
      <c r="W8" s="243"/>
      <c r="X8" s="24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12"/>
      <c r="T9" s="320"/>
      <c r="U9" s="320"/>
      <c r="V9" s="321"/>
      <c r="W9" s="321"/>
      <c r="X9" s="322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12"/>
      <c r="T10" s="320"/>
      <c r="U10" s="320"/>
      <c r="V10" s="321"/>
      <c r="W10" s="321"/>
      <c r="X10" s="322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12"/>
      <c r="T11" s="320"/>
      <c r="U11" s="320"/>
      <c r="V11" s="321"/>
      <c r="W11" s="321"/>
      <c r="X11" s="322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12"/>
      <c r="T12" s="320"/>
      <c r="U12" s="320"/>
      <c r="V12" s="321"/>
      <c r="W12" s="321"/>
      <c r="X12" s="322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12"/>
      <c r="T13" s="320"/>
      <c r="U13" s="320"/>
      <c r="V13" s="321"/>
      <c r="W13" s="321"/>
      <c r="X13" s="322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12"/>
      <c r="T14" s="213"/>
      <c r="U14" s="213"/>
      <c r="V14" s="214"/>
      <c r="W14" s="215"/>
      <c r="X14" s="216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12"/>
      <c r="T15" s="213"/>
      <c r="U15" s="213"/>
      <c r="V15" s="214"/>
      <c r="W15" s="215"/>
      <c r="X15" s="216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12"/>
      <c r="T16" s="213"/>
      <c r="U16" s="213"/>
      <c r="V16" s="214"/>
      <c r="W16" s="215"/>
      <c r="X16" s="216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12"/>
      <c r="T17" s="213"/>
      <c r="U17" s="213"/>
      <c r="V17" s="214"/>
      <c r="W17" s="215"/>
      <c r="X17" s="216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12"/>
      <c r="T18" s="213"/>
      <c r="U18" s="213"/>
      <c r="V18" s="214"/>
      <c r="W18" s="215"/>
      <c r="X18" s="216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12"/>
      <c r="T19" s="213"/>
      <c r="U19" s="213"/>
      <c r="V19" s="214"/>
      <c r="W19" s="215"/>
      <c r="X19" s="216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12"/>
      <c r="T20" s="213"/>
      <c r="U20" s="213"/>
      <c r="V20" s="214"/>
      <c r="W20" s="215"/>
      <c r="X20" s="216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12"/>
      <c r="T21" s="213"/>
      <c r="U21" s="213"/>
      <c r="V21" s="217"/>
      <c r="W21" s="218"/>
      <c r="X21" s="219"/>
    </row>
    <row r="22" spans="1:28" ht="12.75" customHeight="1">
      <c r="A22" s="233" t="s">
        <v>35</v>
      </c>
      <c r="B22" s="234"/>
      <c r="C22" s="235"/>
      <c r="D22" s="241" t="s">
        <v>40</v>
      </c>
      <c r="E22" s="242"/>
      <c r="F22" s="242"/>
      <c r="G22" s="242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39" t="s">
        <v>37</v>
      </c>
      <c r="X22" s="240"/>
      <c r="Z22" s="52" t="s">
        <v>53</v>
      </c>
    </row>
    <row r="23" spans="1:28" ht="11.25" customHeight="1">
      <c r="A23" s="236" t="s">
        <v>14</v>
      </c>
      <c r="B23" s="237"/>
      <c r="C23" s="238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7"/>
      <c r="W23" s="236" t="s">
        <v>50</v>
      </c>
      <c r="X23" s="238"/>
      <c r="Z23" s="51" t="s">
        <v>54</v>
      </c>
    </row>
    <row r="24" spans="1:28" ht="14.25" customHeight="1">
      <c r="A24" s="233" t="s">
        <v>29</v>
      </c>
      <c r="B24" s="250"/>
      <c r="C24" s="33" t="s">
        <v>16</v>
      </c>
      <c r="D24" s="253" t="s">
        <v>38</v>
      </c>
      <c r="E24" s="254"/>
      <c r="F24" s="254"/>
      <c r="G24" s="254"/>
      <c r="H24" s="255"/>
      <c r="I24" s="248">
        <v>9</v>
      </c>
      <c r="J24" s="248"/>
      <c r="K24" s="248">
        <v>10</v>
      </c>
      <c r="L24" s="248"/>
      <c r="M24" s="248">
        <v>11</v>
      </c>
      <c r="N24" s="248"/>
      <c r="O24" s="248">
        <v>12</v>
      </c>
      <c r="P24" s="248"/>
      <c r="Q24" s="248">
        <v>13</v>
      </c>
      <c r="R24" s="248"/>
      <c r="S24" s="248">
        <v>14</v>
      </c>
      <c r="T24" s="248"/>
      <c r="U24" s="248">
        <v>15</v>
      </c>
      <c r="V24" s="248"/>
      <c r="W24" s="248">
        <v>16</v>
      </c>
      <c r="X24" s="248"/>
      <c r="Z24" s="50"/>
    </row>
    <row r="25" spans="1:28">
      <c r="A25" s="251" t="s">
        <v>15</v>
      </c>
      <c r="B25" s="252"/>
      <c r="C25" s="209" t="s">
        <v>46</v>
      </c>
      <c r="D25" s="256" t="s">
        <v>41</v>
      </c>
      <c r="E25" s="257"/>
      <c r="F25" s="257"/>
      <c r="G25" s="257"/>
      <c r="H25" s="258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Z25" s="334" t="s">
        <v>51</v>
      </c>
    </row>
    <row r="26" spans="1:28" s="19" customFormat="1" ht="10" customHeight="1">
      <c r="A26" s="261" t="s">
        <v>55</v>
      </c>
      <c r="B26" s="261"/>
      <c r="C26" s="259" t="s">
        <v>84</v>
      </c>
      <c r="D26" s="334" t="s">
        <v>51</v>
      </c>
      <c r="E26" s="337">
        <v>2.08</v>
      </c>
      <c r="F26" s="338"/>
      <c r="G26" s="52" t="s">
        <v>53</v>
      </c>
      <c r="H26" s="44">
        <v>0.05</v>
      </c>
      <c r="I26" s="229">
        <v>2.1030000000000002</v>
      </c>
      <c r="J26" s="229"/>
      <c r="K26" s="229">
        <v>2.0960000000000001</v>
      </c>
      <c r="L26" s="229"/>
      <c r="M26" s="229">
        <v>2.0979999999999999</v>
      </c>
      <c r="N26" s="229"/>
      <c r="O26" s="229">
        <v>2.101</v>
      </c>
      <c r="P26" s="229"/>
      <c r="Q26" s="229">
        <v>2.105</v>
      </c>
      <c r="R26" s="229"/>
      <c r="S26" s="229">
        <v>2.1030000000000002</v>
      </c>
      <c r="T26" s="229"/>
      <c r="U26" s="229">
        <v>2.1</v>
      </c>
      <c r="V26" s="229"/>
      <c r="W26" s="229">
        <v>2.0910000000000002</v>
      </c>
      <c r="X26" s="229"/>
      <c r="Z26" s="335"/>
      <c r="AA26" s="46">
        <f>E26+H26</f>
        <v>2.13</v>
      </c>
      <c r="AB26" s="56">
        <v>26</v>
      </c>
    </row>
    <row r="27" spans="1:28" s="19" customFormat="1" ht="10" customHeight="1">
      <c r="A27" s="262"/>
      <c r="B27" s="262"/>
      <c r="C27" s="260"/>
      <c r="D27" s="335"/>
      <c r="E27" s="339"/>
      <c r="F27" s="339"/>
      <c r="G27" s="51" t="s">
        <v>54</v>
      </c>
      <c r="H27" s="48">
        <v>0.05</v>
      </c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AA27" s="46">
        <f>E26-H27</f>
        <v>2.0300000000000002</v>
      </c>
      <c r="AB27" s="56">
        <v>27</v>
      </c>
    </row>
    <row r="28" spans="1:28" s="19" customFormat="1" ht="10" customHeight="1">
      <c r="A28" s="261" t="s">
        <v>56</v>
      </c>
      <c r="B28" s="261"/>
      <c r="C28" s="259" t="s">
        <v>85</v>
      </c>
      <c r="D28" s="334" t="s">
        <v>51</v>
      </c>
      <c r="E28" s="337">
        <v>1.97</v>
      </c>
      <c r="F28" s="338"/>
      <c r="G28" s="52" t="s">
        <v>53</v>
      </c>
      <c r="H28" s="44">
        <v>0.05</v>
      </c>
      <c r="I28" s="229">
        <v>1.98</v>
      </c>
      <c r="J28" s="229"/>
      <c r="K28" s="229">
        <v>1.99</v>
      </c>
      <c r="L28" s="229"/>
      <c r="M28" s="229">
        <v>1.99</v>
      </c>
      <c r="N28" s="229"/>
      <c r="O28" s="229">
        <v>1.99</v>
      </c>
      <c r="P28" s="229"/>
      <c r="Q28" s="229">
        <v>1.98</v>
      </c>
      <c r="R28" s="229"/>
      <c r="S28" s="229">
        <v>1.99</v>
      </c>
      <c r="T28" s="229"/>
      <c r="U28" s="229">
        <v>1.99</v>
      </c>
      <c r="V28" s="229"/>
      <c r="W28" s="229">
        <v>1.98</v>
      </c>
      <c r="X28" s="229"/>
      <c r="AA28" s="46">
        <f>E28+H28</f>
        <v>2.02</v>
      </c>
      <c r="AB28" s="56">
        <v>28</v>
      </c>
    </row>
    <row r="29" spans="1:28" s="19" customFormat="1" ht="10" customHeight="1">
      <c r="A29" s="262"/>
      <c r="B29" s="262"/>
      <c r="C29" s="260"/>
      <c r="D29" s="335"/>
      <c r="E29" s="339"/>
      <c r="F29" s="339"/>
      <c r="G29" s="51" t="s">
        <v>54</v>
      </c>
      <c r="H29" s="48">
        <v>0.05</v>
      </c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AA29" s="46">
        <f>E28-H29</f>
        <v>1.92</v>
      </c>
      <c r="AB29" s="56">
        <v>29</v>
      </c>
    </row>
    <row r="30" spans="1:28" s="19" customFormat="1" ht="10" customHeight="1">
      <c r="A30" s="261" t="s">
        <v>57</v>
      </c>
      <c r="B30" s="261"/>
      <c r="C30" s="259" t="s">
        <v>84</v>
      </c>
      <c r="D30" s="334" t="s">
        <v>51</v>
      </c>
      <c r="E30" s="337">
        <v>2.08</v>
      </c>
      <c r="F30" s="338"/>
      <c r="G30" s="52" t="s">
        <v>53</v>
      </c>
      <c r="H30" s="44">
        <v>0.05</v>
      </c>
      <c r="I30" s="229">
        <v>2.0760000000000001</v>
      </c>
      <c r="J30" s="229"/>
      <c r="K30" s="229">
        <v>2.085</v>
      </c>
      <c r="L30" s="229"/>
      <c r="M30" s="229">
        <v>2.09</v>
      </c>
      <c r="N30" s="229"/>
      <c r="O30" s="229">
        <v>2.0950000000000002</v>
      </c>
      <c r="P30" s="229"/>
      <c r="Q30" s="229">
        <v>2.0979999999999999</v>
      </c>
      <c r="R30" s="229"/>
      <c r="S30" s="229">
        <v>2.093</v>
      </c>
      <c r="T30" s="229"/>
      <c r="U30" s="229">
        <v>2.0859999999999999</v>
      </c>
      <c r="V30" s="229"/>
      <c r="W30" s="229">
        <v>2.0779999999999998</v>
      </c>
      <c r="X30" s="229"/>
      <c r="AA30" s="46">
        <f>E30+H30</f>
        <v>2.13</v>
      </c>
      <c r="AB30" s="56">
        <v>30</v>
      </c>
    </row>
    <row r="31" spans="1:28" s="19" customFormat="1" ht="10" customHeight="1">
      <c r="A31" s="262"/>
      <c r="B31" s="262"/>
      <c r="C31" s="260"/>
      <c r="D31" s="335"/>
      <c r="E31" s="339"/>
      <c r="F31" s="339"/>
      <c r="G31" s="51" t="s">
        <v>54</v>
      </c>
      <c r="H31" s="48">
        <v>0.05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AA31" s="46">
        <f>E30-H31</f>
        <v>2.0300000000000002</v>
      </c>
      <c r="AB31" s="56">
        <v>31</v>
      </c>
    </row>
    <row r="32" spans="1:28" s="19" customFormat="1" ht="10" customHeight="1">
      <c r="A32" s="261" t="s">
        <v>58</v>
      </c>
      <c r="B32" s="261"/>
      <c r="C32" s="259" t="s">
        <v>86</v>
      </c>
      <c r="D32" s="334" t="s">
        <v>51</v>
      </c>
      <c r="E32" s="337">
        <v>10.92</v>
      </c>
      <c r="F32" s="338"/>
      <c r="G32" s="52" t="s">
        <v>53</v>
      </c>
      <c r="H32" s="44">
        <v>0.13</v>
      </c>
      <c r="I32" s="269">
        <v>10.98</v>
      </c>
      <c r="J32" s="269"/>
      <c r="K32" s="269">
        <v>11</v>
      </c>
      <c r="L32" s="269"/>
      <c r="M32" s="269">
        <v>11</v>
      </c>
      <c r="N32" s="269"/>
      <c r="O32" s="269">
        <v>11.02</v>
      </c>
      <c r="P32" s="269"/>
      <c r="Q32" s="269">
        <v>11.02</v>
      </c>
      <c r="R32" s="269"/>
      <c r="S32" s="269">
        <v>11</v>
      </c>
      <c r="T32" s="269"/>
      <c r="U32" s="269">
        <v>10.99</v>
      </c>
      <c r="V32" s="269"/>
      <c r="W32" s="269">
        <v>10.98</v>
      </c>
      <c r="X32" s="269"/>
      <c r="AA32" s="46">
        <f>E32+H32</f>
        <v>11.05</v>
      </c>
      <c r="AB32" s="56">
        <v>32</v>
      </c>
    </row>
    <row r="33" spans="1:28" s="19" customFormat="1" ht="10" customHeight="1">
      <c r="A33" s="262"/>
      <c r="B33" s="262"/>
      <c r="C33" s="260"/>
      <c r="D33" s="335"/>
      <c r="E33" s="339"/>
      <c r="F33" s="339"/>
      <c r="G33" s="51" t="s">
        <v>54</v>
      </c>
      <c r="H33" s="48">
        <v>0.13</v>
      </c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AA33" s="46">
        <f>E32-H33</f>
        <v>10.79</v>
      </c>
      <c r="AB33" s="56">
        <v>33</v>
      </c>
    </row>
    <row r="34" spans="1:28" s="19" customFormat="1" ht="10" customHeight="1">
      <c r="A34" s="261" t="s">
        <v>59</v>
      </c>
      <c r="B34" s="261"/>
      <c r="C34" s="226" t="s">
        <v>88</v>
      </c>
      <c r="D34" s="201" t="s">
        <v>89</v>
      </c>
      <c r="E34" s="202"/>
      <c r="F34" s="202"/>
      <c r="G34" s="202"/>
      <c r="H34" s="203"/>
      <c r="I34" s="224" t="s">
        <v>96</v>
      </c>
      <c r="J34" s="224"/>
      <c r="K34" s="224" t="s">
        <v>96</v>
      </c>
      <c r="L34" s="224"/>
      <c r="M34" s="224" t="s">
        <v>96</v>
      </c>
      <c r="N34" s="224"/>
      <c r="O34" s="224" t="s">
        <v>96</v>
      </c>
      <c r="P34" s="224"/>
      <c r="Q34" s="224" t="s">
        <v>96</v>
      </c>
      <c r="R34" s="224"/>
      <c r="S34" s="224" t="s">
        <v>96</v>
      </c>
      <c r="T34" s="224"/>
      <c r="U34" s="224" t="s">
        <v>96</v>
      </c>
      <c r="V34" s="224"/>
      <c r="W34" s="224" t="s">
        <v>96</v>
      </c>
      <c r="X34" s="224"/>
      <c r="AA34" s="47"/>
      <c r="AB34" s="56">
        <v>34</v>
      </c>
    </row>
    <row r="35" spans="1:28" s="19" customFormat="1" ht="10" customHeight="1">
      <c r="A35" s="262"/>
      <c r="B35" s="262"/>
      <c r="C35" s="228"/>
      <c r="D35" s="204" t="s">
        <v>90</v>
      </c>
      <c r="E35" s="205"/>
      <c r="F35" s="205"/>
      <c r="G35" s="205"/>
      <c r="H35" s="206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AA35" s="47"/>
      <c r="AB35" s="56">
        <v>35</v>
      </c>
    </row>
    <row r="36" spans="1:28" s="20" customFormat="1" ht="10" customHeight="1">
      <c r="A36" s="261" t="s">
        <v>60</v>
      </c>
      <c r="B36" s="261"/>
      <c r="C36" s="31" t="s">
        <v>64</v>
      </c>
      <c r="D36" s="57" t="s">
        <v>70</v>
      </c>
      <c r="E36" s="53"/>
      <c r="F36" s="53"/>
      <c r="G36" s="53"/>
      <c r="H36" s="37"/>
      <c r="I36" s="224" t="s">
        <v>96</v>
      </c>
      <c r="J36" s="224"/>
      <c r="K36" s="224" t="s">
        <v>96</v>
      </c>
      <c r="L36" s="224"/>
      <c r="M36" s="224" t="s">
        <v>96</v>
      </c>
      <c r="N36" s="224"/>
      <c r="O36" s="224" t="s">
        <v>96</v>
      </c>
      <c r="P36" s="224"/>
      <c r="Q36" s="224" t="s">
        <v>96</v>
      </c>
      <c r="R36" s="224"/>
      <c r="S36" s="224" t="s">
        <v>96</v>
      </c>
      <c r="T36" s="224"/>
      <c r="U36" s="224" t="s">
        <v>96</v>
      </c>
      <c r="V36" s="224"/>
      <c r="W36" s="224" t="s">
        <v>96</v>
      </c>
      <c r="X36" s="224"/>
      <c r="AA36" s="45"/>
      <c r="AB36" s="56">
        <v>36</v>
      </c>
    </row>
    <row r="37" spans="1:28" s="20" customFormat="1" ht="10" customHeight="1">
      <c r="A37" s="262"/>
      <c r="B37" s="262"/>
      <c r="C37" s="30" t="s">
        <v>65</v>
      </c>
      <c r="D37" s="204" t="s">
        <v>69</v>
      </c>
      <c r="E37" s="205"/>
      <c r="F37" s="205"/>
      <c r="G37" s="205"/>
      <c r="H37" s="206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AA37" s="45"/>
      <c r="AB37" s="56">
        <v>37</v>
      </c>
    </row>
    <row r="38" spans="1:28" s="20" customFormat="1" ht="10" customHeight="1">
      <c r="A38" s="261" t="s">
        <v>87</v>
      </c>
      <c r="B38" s="261"/>
      <c r="C38" s="31" t="s">
        <v>66</v>
      </c>
      <c r="D38" s="201" t="s">
        <v>71</v>
      </c>
      <c r="E38" s="202"/>
      <c r="F38" s="202"/>
      <c r="G38" s="202"/>
      <c r="H38" s="203"/>
      <c r="I38" s="224" t="s">
        <v>98</v>
      </c>
      <c r="J38" s="224"/>
      <c r="K38" s="224" t="s">
        <v>98</v>
      </c>
      <c r="L38" s="224"/>
      <c r="M38" s="224" t="s">
        <v>98</v>
      </c>
      <c r="N38" s="224"/>
      <c r="O38" s="224" t="s">
        <v>98</v>
      </c>
      <c r="P38" s="224"/>
      <c r="Q38" s="224" t="s">
        <v>98</v>
      </c>
      <c r="R38" s="224"/>
      <c r="S38" s="224" t="s">
        <v>98</v>
      </c>
      <c r="T38" s="224"/>
      <c r="U38" s="224" t="s">
        <v>98</v>
      </c>
      <c r="V38" s="224"/>
      <c r="W38" s="224" t="s">
        <v>98</v>
      </c>
      <c r="X38" s="224"/>
      <c r="AA38" s="45"/>
      <c r="AB38" s="56">
        <v>38</v>
      </c>
    </row>
    <row r="39" spans="1:28" s="20" customFormat="1" ht="10" customHeight="1">
      <c r="A39" s="262"/>
      <c r="B39" s="262"/>
      <c r="C39" s="30" t="s">
        <v>65</v>
      </c>
      <c r="D39" s="204" t="s">
        <v>72</v>
      </c>
      <c r="E39" s="205"/>
      <c r="F39" s="205"/>
      <c r="G39" s="205"/>
      <c r="H39" s="206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AA39" s="45"/>
      <c r="AB39" s="56">
        <v>39</v>
      </c>
    </row>
    <row r="40" spans="1:28" s="20" customFormat="1" ht="10" customHeight="1">
      <c r="A40" s="261" t="s">
        <v>61</v>
      </c>
      <c r="B40" s="261"/>
      <c r="C40" s="31" t="s">
        <v>66</v>
      </c>
      <c r="D40" s="201" t="s">
        <v>73</v>
      </c>
      <c r="E40" s="54"/>
      <c r="F40" s="54"/>
      <c r="G40" s="54"/>
      <c r="H40" s="38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AA40" s="45"/>
      <c r="AB40" s="56">
        <v>40</v>
      </c>
    </row>
    <row r="41" spans="1:28" s="20" customFormat="1" ht="10" customHeight="1">
      <c r="A41" s="262"/>
      <c r="B41" s="262"/>
      <c r="C41" s="30" t="s">
        <v>65</v>
      </c>
      <c r="D41" s="204" t="s">
        <v>74</v>
      </c>
      <c r="E41" s="55"/>
      <c r="F41" s="55"/>
      <c r="G41" s="55"/>
      <c r="H41" s="39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AA41" s="45"/>
      <c r="AB41" s="56"/>
    </row>
    <row r="42" spans="1:28" s="20" customFormat="1" ht="10" customHeight="1">
      <c r="A42" s="261" t="s">
        <v>62</v>
      </c>
      <c r="B42" s="261"/>
      <c r="C42" s="226" t="s">
        <v>67</v>
      </c>
      <c r="D42" s="201" t="s">
        <v>75</v>
      </c>
      <c r="E42" s="198"/>
      <c r="F42" s="199"/>
      <c r="G42" s="52"/>
      <c r="H42" s="4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AA42" s="45"/>
      <c r="AB42" s="56"/>
    </row>
    <row r="43" spans="1:28" s="20" customFormat="1" ht="10" customHeight="1">
      <c r="A43" s="262"/>
      <c r="B43" s="262"/>
      <c r="C43" s="227"/>
      <c r="D43" s="204" t="s">
        <v>76</v>
      </c>
      <c r="E43" s="200"/>
      <c r="F43" s="200"/>
      <c r="G43" s="51"/>
      <c r="H43" s="48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AA43" s="45"/>
      <c r="AB43" s="56"/>
    </row>
    <row r="44" spans="1:28" s="20" customFormat="1" ht="10" customHeight="1">
      <c r="A44" s="261" t="s">
        <v>63</v>
      </c>
      <c r="B44" s="261"/>
      <c r="C44" s="226" t="s">
        <v>67</v>
      </c>
      <c r="D44" s="201" t="s">
        <v>77</v>
      </c>
      <c r="E44" s="198"/>
      <c r="F44" s="199"/>
      <c r="G44" s="52"/>
      <c r="H44" s="4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AA44" s="45"/>
      <c r="AB44" s="56"/>
    </row>
    <row r="45" spans="1:28" s="20" customFormat="1" ht="10" customHeight="1">
      <c r="A45" s="262"/>
      <c r="B45" s="262"/>
      <c r="C45" s="228"/>
      <c r="D45" s="204" t="s">
        <v>78</v>
      </c>
      <c r="E45" s="200"/>
      <c r="F45" s="200"/>
      <c r="G45" s="51"/>
      <c r="H45" s="48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AA45" s="45"/>
      <c r="AB45" s="56"/>
    </row>
    <row r="46" spans="1:28" s="20" customFormat="1" ht="10" customHeight="1">
      <c r="A46" s="261" t="s">
        <v>92</v>
      </c>
      <c r="B46" s="261"/>
      <c r="C46" s="226" t="s">
        <v>67</v>
      </c>
      <c r="D46" s="201" t="s">
        <v>79</v>
      </c>
      <c r="E46" s="202"/>
      <c r="F46" s="202"/>
      <c r="G46" s="202"/>
      <c r="H46" s="203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AA46" s="45"/>
      <c r="AB46" s="56"/>
    </row>
    <row r="47" spans="1:28" s="20" customFormat="1" ht="10" customHeight="1">
      <c r="A47" s="262"/>
      <c r="B47" s="262"/>
      <c r="C47" s="228"/>
      <c r="D47" s="204" t="s">
        <v>80</v>
      </c>
      <c r="E47" s="205"/>
      <c r="F47" s="205"/>
      <c r="G47" s="205"/>
      <c r="H47" s="206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AA47" s="45"/>
      <c r="AB47" s="56"/>
    </row>
    <row r="48" spans="1:28" s="20" customFormat="1" ht="10" customHeight="1">
      <c r="A48" s="261" t="s">
        <v>91</v>
      </c>
      <c r="B48" s="261"/>
      <c r="C48" s="259" t="s">
        <v>68</v>
      </c>
      <c r="D48" s="201" t="s">
        <v>81</v>
      </c>
      <c r="E48" s="202"/>
      <c r="F48" s="202"/>
      <c r="G48" s="202"/>
      <c r="H48" s="203"/>
      <c r="I48" s="224" t="s">
        <v>98</v>
      </c>
      <c r="J48" s="224"/>
      <c r="K48" s="224" t="s">
        <v>98</v>
      </c>
      <c r="L48" s="224"/>
      <c r="M48" s="224" t="s">
        <v>98</v>
      </c>
      <c r="N48" s="224"/>
      <c r="O48" s="224" t="s">
        <v>98</v>
      </c>
      <c r="P48" s="224"/>
      <c r="Q48" s="224" t="s">
        <v>98</v>
      </c>
      <c r="R48" s="224"/>
      <c r="S48" s="224" t="s">
        <v>98</v>
      </c>
      <c r="T48" s="224"/>
      <c r="U48" s="224" t="s">
        <v>98</v>
      </c>
      <c r="V48" s="224"/>
      <c r="W48" s="224" t="s">
        <v>98</v>
      </c>
      <c r="X48" s="224"/>
      <c r="AA48" s="45"/>
      <c r="AB48" s="56"/>
    </row>
    <row r="49" spans="1:28" s="20" customFormat="1" ht="10" customHeight="1">
      <c r="A49" s="262"/>
      <c r="B49" s="262"/>
      <c r="C49" s="336"/>
      <c r="D49" s="204" t="s">
        <v>82</v>
      </c>
      <c r="E49" s="205"/>
      <c r="F49" s="205"/>
      <c r="G49" s="205"/>
      <c r="H49" s="206"/>
      <c r="I49" s="224"/>
      <c r="J49" s="224"/>
      <c r="K49" s="224"/>
      <c r="L49" s="224"/>
      <c r="M49" s="224"/>
      <c r="N49" s="224"/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AA49" s="45"/>
      <c r="AB49" s="56"/>
    </row>
    <row r="50" spans="1:28" s="20" customFormat="1" ht="10" customHeight="1">
      <c r="A50" s="261"/>
      <c r="B50" s="261"/>
      <c r="C50" s="40"/>
      <c r="D50" s="263"/>
      <c r="E50" s="264"/>
      <c r="F50" s="264"/>
      <c r="G50" s="264"/>
      <c r="H50" s="265"/>
      <c r="I50" s="224"/>
      <c r="J50" s="224"/>
      <c r="K50" s="224"/>
      <c r="L50" s="224"/>
      <c r="M50" s="224"/>
      <c r="N50" s="224"/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AA50" s="45"/>
      <c r="AB50" s="56"/>
    </row>
    <row r="51" spans="1:28" s="20" customFormat="1" ht="10" customHeight="1">
      <c r="A51" s="262"/>
      <c r="B51" s="262"/>
      <c r="C51" s="41"/>
      <c r="D51" s="266"/>
      <c r="E51" s="267"/>
      <c r="F51" s="267"/>
      <c r="G51" s="267"/>
      <c r="H51" s="268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AA51" s="45"/>
      <c r="AB51" s="56"/>
    </row>
    <row r="52" spans="1:28" s="20" customFormat="1" ht="10" customHeight="1">
      <c r="A52" s="261"/>
      <c r="B52" s="261"/>
      <c r="C52" s="259"/>
      <c r="D52" s="263"/>
      <c r="E52" s="264"/>
      <c r="F52" s="264"/>
      <c r="G52" s="264"/>
      <c r="H52" s="265"/>
      <c r="I52" s="224"/>
      <c r="J52" s="224"/>
      <c r="K52" s="224"/>
      <c r="L52" s="224"/>
      <c r="M52" s="224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AA52" s="45"/>
      <c r="AB52" s="56"/>
    </row>
    <row r="53" spans="1:28" s="20" customFormat="1" ht="10" customHeight="1">
      <c r="A53" s="262"/>
      <c r="B53" s="262"/>
      <c r="C53" s="260"/>
      <c r="D53" s="266"/>
      <c r="E53" s="267"/>
      <c r="F53" s="267"/>
      <c r="G53" s="267"/>
      <c r="H53" s="268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AA53" s="45"/>
      <c r="AB53" s="56"/>
    </row>
    <row r="54" spans="1:28" s="20" customFormat="1" ht="10" customHeight="1">
      <c r="A54" s="261"/>
      <c r="B54" s="261"/>
      <c r="C54" s="259"/>
      <c r="D54" s="334"/>
      <c r="E54" s="281"/>
      <c r="F54" s="343"/>
      <c r="G54" s="52"/>
      <c r="H54" s="4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AA54" s="45"/>
      <c r="AB54" s="56"/>
    </row>
    <row r="55" spans="1:28" s="20" customFormat="1" ht="10" customHeight="1">
      <c r="A55" s="262"/>
      <c r="B55" s="262"/>
      <c r="C55" s="260"/>
      <c r="D55" s="335"/>
      <c r="E55" s="344"/>
      <c r="F55" s="344"/>
      <c r="G55" s="51"/>
      <c r="H55" s="48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AA55" s="45"/>
      <c r="AB55" s="56"/>
    </row>
    <row r="56" spans="1:28" s="20" customFormat="1" ht="10" customHeight="1">
      <c r="A56" s="261"/>
      <c r="B56" s="261"/>
      <c r="C56" s="259"/>
      <c r="D56" s="334"/>
      <c r="E56" s="281"/>
      <c r="F56" s="343"/>
      <c r="G56" s="52"/>
      <c r="H56" s="4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AA56" s="45"/>
      <c r="AB56" s="56"/>
    </row>
    <row r="57" spans="1:28" s="20" customFormat="1" ht="10" customHeight="1">
      <c r="A57" s="262"/>
      <c r="B57" s="262"/>
      <c r="C57" s="260"/>
      <c r="D57" s="335"/>
      <c r="E57" s="344"/>
      <c r="F57" s="344"/>
      <c r="G57" s="51"/>
      <c r="H57" s="48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4"/>
      <c r="V57" s="224"/>
      <c r="W57" s="224"/>
      <c r="X57" s="224"/>
      <c r="AA57" s="45"/>
      <c r="AB57" s="56"/>
    </row>
    <row r="58" spans="1:28" s="20" customFormat="1" ht="10" customHeight="1">
      <c r="A58" s="261"/>
      <c r="B58" s="261"/>
      <c r="C58" s="40"/>
      <c r="D58" s="263"/>
      <c r="E58" s="264"/>
      <c r="F58" s="264"/>
      <c r="G58" s="264"/>
      <c r="H58" s="265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AA58" s="45"/>
      <c r="AB58" s="56"/>
    </row>
    <row r="59" spans="1:28" s="20" customFormat="1" ht="10" customHeight="1">
      <c r="A59" s="262"/>
      <c r="B59" s="262"/>
      <c r="C59" s="41"/>
      <c r="D59" s="266"/>
      <c r="E59" s="267"/>
      <c r="F59" s="267"/>
      <c r="G59" s="267"/>
      <c r="H59" s="268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4"/>
      <c r="AA59" s="45"/>
      <c r="AB59" s="56"/>
    </row>
    <row r="60" spans="1:28" s="20" customFormat="1" ht="10" customHeight="1">
      <c r="A60" s="261"/>
      <c r="B60" s="261"/>
      <c r="C60" s="259"/>
      <c r="D60" s="263"/>
      <c r="E60" s="264"/>
      <c r="F60" s="264"/>
      <c r="G60" s="264"/>
      <c r="H60" s="265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AA60" s="45"/>
      <c r="AB60" s="56"/>
    </row>
    <row r="61" spans="1:28" s="20" customFormat="1" ht="10" customHeight="1">
      <c r="A61" s="262"/>
      <c r="B61" s="262"/>
      <c r="C61" s="260"/>
      <c r="D61" s="266"/>
      <c r="E61" s="267"/>
      <c r="F61" s="267"/>
      <c r="G61" s="267"/>
      <c r="H61" s="268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AA61" s="45"/>
      <c r="AB61" s="56"/>
    </row>
    <row r="62" spans="1:28" s="20" customFormat="1" ht="10" customHeight="1">
      <c r="A62" s="261"/>
      <c r="B62" s="261"/>
      <c r="C62" s="259"/>
      <c r="D62" s="263"/>
      <c r="E62" s="264"/>
      <c r="F62" s="264"/>
      <c r="G62" s="264"/>
      <c r="H62" s="265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AA62" s="45"/>
      <c r="AB62" s="56"/>
    </row>
    <row r="63" spans="1:28" s="20" customFormat="1" ht="10" customHeight="1">
      <c r="A63" s="262"/>
      <c r="B63" s="262"/>
      <c r="C63" s="260"/>
      <c r="D63" s="266"/>
      <c r="E63" s="267"/>
      <c r="F63" s="267"/>
      <c r="G63" s="267"/>
      <c r="H63" s="268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4"/>
      <c r="V63" s="224"/>
      <c r="W63" s="224"/>
      <c r="X63" s="224"/>
      <c r="AA63" s="45"/>
      <c r="AB63" s="56"/>
    </row>
    <row r="64" spans="1:28" s="20" customFormat="1" ht="10" customHeight="1">
      <c r="A64" s="274"/>
      <c r="B64" s="275"/>
      <c r="C64" s="278"/>
      <c r="D64" s="280"/>
      <c r="E64" s="281"/>
      <c r="F64" s="281"/>
      <c r="G64" s="281"/>
      <c r="H64" s="232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AA64" s="45"/>
      <c r="AB64" s="56"/>
    </row>
    <row r="65" spans="1:28" s="20" customFormat="1" ht="10" customHeight="1" thickBot="1">
      <c r="A65" s="276"/>
      <c r="B65" s="277"/>
      <c r="C65" s="279"/>
      <c r="D65" s="271"/>
      <c r="E65" s="272"/>
      <c r="F65" s="272"/>
      <c r="G65" s="272"/>
      <c r="H65" s="27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AA65" s="45"/>
      <c r="AB65" s="56"/>
    </row>
    <row r="66" spans="1:28" ht="12.75" customHeight="1" thickTop="1">
      <c r="A66" s="301" t="s">
        <v>42</v>
      </c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3"/>
      <c r="Q66" s="327"/>
      <c r="R66" s="328"/>
      <c r="S66" s="327"/>
      <c r="T66" s="328"/>
      <c r="U66" s="327"/>
      <c r="V66" s="328"/>
      <c r="W66" s="327"/>
      <c r="X66" s="328"/>
    </row>
    <row r="67" spans="1:28" ht="9.75" customHeight="1">
      <c r="A67" s="304" t="s">
        <v>43</v>
      </c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6"/>
      <c r="Q67" s="329"/>
      <c r="R67" s="330"/>
      <c r="S67" s="329"/>
      <c r="T67" s="330"/>
      <c r="U67" s="329"/>
      <c r="V67" s="330"/>
      <c r="W67" s="329"/>
      <c r="X67" s="330"/>
    </row>
    <row r="68" spans="1:28" ht="12.75" customHeight="1">
      <c r="A68" s="307" t="s">
        <v>39</v>
      </c>
      <c r="B68" s="308"/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9"/>
      <c r="Q68" s="326"/>
      <c r="R68" s="315"/>
      <c r="S68" s="326"/>
      <c r="T68" s="315"/>
      <c r="U68" s="326"/>
      <c r="V68" s="315"/>
      <c r="W68" s="326"/>
      <c r="X68" s="315"/>
    </row>
    <row r="69" spans="1:28" ht="9.75" customHeight="1">
      <c r="A69" s="331" t="s">
        <v>44</v>
      </c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3"/>
      <c r="Q69" s="324"/>
      <c r="R69" s="325"/>
      <c r="S69" s="324"/>
      <c r="T69" s="325"/>
      <c r="U69" s="324"/>
      <c r="V69" s="325"/>
      <c r="W69" s="324"/>
      <c r="X69" s="325"/>
    </row>
    <row r="70" spans="1:28" ht="12.75" customHeight="1">
      <c r="A70" s="307"/>
      <c r="B70" s="308"/>
      <c r="C70" s="30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308"/>
      <c r="P70" s="309"/>
      <c r="Q70" s="326"/>
      <c r="R70" s="315"/>
      <c r="S70" s="326"/>
      <c r="T70" s="315"/>
      <c r="U70" s="326"/>
      <c r="V70" s="315"/>
      <c r="W70" s="326"/>
      <c r="X70" s="315"/>
    </row>
    <row r="71" spans="1:28" ht="9.75" customHeight="1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24"/>
      <c r="R71" s="325"/>
      <c r="S71" s="324"/>
      <c r="T71" s="325"/>
      <c r="U71" s="324"/>
      <c r="V71" s="325"/>
      <c r="W71" s="324"/>
      <c r="X71" s="325"/>
    </row>
    <row r="72" spans="1:28" ht="12.75" customHeight="1">
      <c r="A72" s="307"/>
      <c r="B72" s="308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08"/>
      <c r="O72" s="308"/>
      <c r="P72" s="309"/>
      <c r="Q72" s="326"/>
      <c r="R72" s="315"/>
      <c r="S72" s="326"/>
      <c r="T72" s="315"/>
      <c r="U72" s="326"/>
      <c r="V72" s="315"/>
      <c r="W72" s="326"/>
      <c r="X72" s="315"/>
    </row>
    <row r="73" spans="1:28" ht="9.75" customHeight="1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24"/>
      <c r="R73" s="325"/>
      <c r="S73" s="324"/>
      <c r="T73" s="325"/>
      <c r="U73" s="324"/>
      <c r="V73" s="325"/>
      <c r="W73" s="324"/>
      <c r="X73" s="325"/>
    </row>
    <row r="74" spans="1:28" ht="12.75" customHeight="1">
      <c r="A74" s="307"/>
      <c r="B74" s="308"/>
      <c r="C74" s="308"/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326"/>
      <c r="R74" s="315"/>
      <c r="S74" s="323"/>
      <c r="T74" s="315"/>
      <c r="U74" s="326"/>
      <c r="V74" s="315"/>
      <c r="W74" s="326"/>
      <c r="X74" s="315"/>
    </row>
    <row r="75" spans="1:28" ht="9.75" customHeight="1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24"/>
      <c r="R75" s="325"/>
      <c r="S75" s="324"/>
      <c r="T75" s="325"/>
      <c r="U75" s="324"/>
      <c r="V75" s="325"/>
      <c r="W75" s="324"/>
      <c r="X75" s="325"/>
    </row>
    <row r="76" spans="1:28" ht="12.75" customHeight="1">
      <c r="A76" s="307"/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9"/>
      <c r="Q76" s="326" t="s">
        <v>17</v>
      </c>
      <c r="R76" s="315"/>
      <c r="S76" s="323">
        <v>42285</v>
      </c>
      <c r="T76" s="315"/>
      <c r="U76" s="326"/>
      <c r="V76" s="315"/>
      <c r="W76" s="326"/>
      <c r="X76" s="315"/>
    </row>
    <row r="77" spans="1:28" ht="9.75" customHeight="1">
      <c r="A77" s="331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3"/>
      <c r="Q77" s="324"/>
      <c r="R77" s="325"/>
      <c r="S77" s="324"/>
      <c r="T77" s="325"/>
      <c r="U77" s="324"/>
      <c r="V77" s="325"/>
      <c r="W77" s="324"/>
      <c r="X77" s="32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20" t="s">
        <v>47</v>
      </c>
      <c r="K78" s="221"/>
      <c r="L78" s="310"/>
      <c r="M78" s="310"/>
      <c r="N78" s="310"/>
      <c r="O78" s="310"/>
      <c r="P78" s="311"/>
      <c r="Q78" s="300" t="s">
        <v>18</v>
      </c>
      <c r="R78" s="300"/>
      <c r="S78" s="300" t="s">
        <v>19</v>
      </c>
      <c r="T78" s="300"/>
      <c r="U78" s="300" t="s">
        <v>20</v>
      </c>
      <c r="V78" s="300"/>
      <c r="W78" s="300" t="s">
        <v>22</v>
      </c>
      <c r="X78" s="30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22" t="s">
        <v>45</v>
      </c>
      <c r="K79" s="223"/>
      <c r="L79" s="312"/>
      <c r="M79" s="312"/>
      <c r="N79" s="312"/>
      <c r="O79" s="312"/>
      <c r="P79" s="313"/>
      <c r="Q79" s="270" t="s">
        <v>5</v>
      </c>
      <c r="R79" s="270"/>
      <c r="S79" s="270" t="s">
        <v>10</v>
      </c>
      <c r="T79" s="270"/>
      <c r="U79" s="270" t="s">
        <v>21</v>
      </c>
      <c r="V79" s="270"/>
      <c r="W79" s="270" t="s">
        <v>23</v>
      </c>
      <c r="X79" s="270"/>
    </row>
    <row r="80" spans="1:28" ht="13.5" customHeight="1">
      <c r="A80" s="210" t="s">
        <v>24</v>
      </c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54</vt:i4>
      </vt:variant>
      <vt:variant>
        <vt:lpstr>已命名的範圍</vt:lpstr>
      </vt:variant>
      <vt:variant>
        <vt:i4>54</vt:i4>
      </vt:variant>
    </vt:vector>
  </HeadingPairs>
  <TitlesOfParts>
    <vt:vector size="108" baseType="lpstr">
      <vt:lpstr>SETUP</vt:lpstr>
      <vt:lpstr>SETUP (2)</vt:lpstr>
      <vt:lpstr>160818D-1</vt:lpstr>
      <vt:lpstr>160818D-2</vt:lpstr>
      <vt:lpstr>160818E-1</vt:lpstr>
      <vt:lpstr>160818E-2</vt:lpstr>
      <vt:lpstr>160819D-1</vt:lpstr>
      <vt:lpstr>160819D-2</vt:lpstr>
      <vt:lpstr>160821E-1</vt:lpstr>
      <vt:lpstr>160821E-2</vt:lpstr>
      <vt:lpstr>160822D-1</vt:lpstr>
      <vt:lpstr>160822D-2</vt:lpstr>
      <vt:lpstr>160822E-1</vt:lpstr>
      <vt:lpstr>160822E-2</vt:lpstr>
      <vt:lpstr>160823D-1</vt:lpstr>
      <vt:lpstr>160823D-2</vt:lpstr>
      <vt:lpstr>160823E-1</vt:lpstr>
      <vt:lpstr>160823E-2</vt:lpstr>
      <vt:lpstr>160824D-1</vt:lpstr>
      <vt:lpstr>160824D-2</vt:lpstr>
      <vt:lpstr>160824E-1</vt:lpstr>
      <vt:lpstr>160824E-2</vt:lpstr>
      <vt:lpstr>160825D-1</vt:lpstr>
      <vt:lpstr>160825D-2</vt:lpstr>
      <vt:lpstr>160825E-1</vt:lpstr>
      <vt:lpstr>160825E-2</vt:lpstr>
      <vt:lpstr>160826D-1</vt:lpstr>
      <vt:lpstr>160826D-2</vt:lpstr>
      <vt:lpstr>160828E-1</vt:lpstr>
      <vt:lpstr>160828E-2</vt:lpstr>
      <vt:lpstr>160829D-1</vt:lpstr>
      <vt:lpstr>160829D-2</vt:lpstr>
      <vt:lpstr>160829E-1</vt:lpstr>
      <vt:lpstr>160829E-2</vt:lpstr>
      <vt:lpstr>160830D-1</vt:lpstr>
      <vt:lpstr>160830D-2</vt:lpstr>
      <vt:lpstr>160830E-1</vt:lpstr>
      <vt:lpstr>160830E-2</vt:lpstr>
      <vt:lpstr>160831D-1</vt:lpstr>
      <vt:lpstr>160831D-2</vt:lpstr>
      <vt:lpstr>160831E-1</vt:lpstr>
      <vt:lpstr>160831E-2</vt:lpstr>
      <vt:lpstr>160901D-1</vt:lpstr>
      <vt:lpstr>160901D-2</vt:lpstr>
      <vt:lpstr>160901E-1</vt:lpstr>
      <vt:lpstr>160901E-2</vt:lpstr>
      <vt:lpstr>160902D-1</vt:lpstr>
      <vt:lpstr>160902D-2</vt:lpstr>
      <vt:lpstr>160904E-1</vt:lpstr>
      <vt:lpstr>160904E-2</vt:lpstr>
      <vt:lpstr>160905D-1</vt:lpstr>
      <vt:lpstr>160905D-2</vt:lpstr>
      <vt:lpstr>160905E-1</vt:lpstr>
      <vt:lpstr>160905E-2</vt:lpstr>
      <vt:lpstr>'160818D-1'!Print_Area</vt:lpstr>
      <vt:lpstr>'160818D-2'!Print_Area</vt:lpstr>
      <vt:lpstr>'160818E-1'!Print_Area</vt:lpstr>
      <vt:lpstr>'160818E-2'!Print_Area</vt:lpstr>
      <vt:lpstr>'160819D-1'!Print_Area</vt:lpstr>
      <vt:lpstr>'160819D-2'!Print_Area</vt:lpstr>
      <vt:lpstr>'160821E-1'!Print_Area</vt:lpstr>
      <vt:lpstr>'160821E-2'!Print_Area</vt:lpstr>
      <vt:lpstr>'160822D-1'!Print_Area</vt:lpstr>
      <vt:lpstr>'160822D-2'!Print_Area</vt:lpstr>
      <vt:lpstr>'160822E-1'!Print_Area</vt:lpstr>
      <vt:lpstr>'160822E-2'!Print_Area</vt:lpstr>
      <vt:lpstr>'160823D-1'!Print_Area</vt:lpstr>
      <vt:lpstr>'160823D-2'!Print_Area</vt:lpstr>
      <vt:lpstr>'160823E-1'!Print_Area</vt:lpstr>
      <vt:lpstr>'160823E-2'!Print_Area</vt:lpstr>
      <vt:lpstr>'160824D-1'!Print_Area</vt:lpstr>
      <vt:lpstr>'160824D-2'!Print_Area</vt:lpstr>
      <vt:lpstr>'160824E-1'!Print_Area</vt:lpstr>
      <vt:lpstr>'160824E-2'!Print_Area</vt:lpstr>
      <vt:lpstr>'160825D-1'!Print_Area</vt:lpstr>
      <vt:lpstr>'160825D-2'!Print_Area</vt:lpstr>
      <vt:lpstr>'160825E-1'!Print_Area</vt:lpstr>
      <vt:lpstr>'160825E-2'!Print_Area</vt:lpstr>
      <vt:lpstr>'160826D-1'!Print_Area</vt:lpstr>
      <vt:lpstr>'160826D-2'!Print_Area</vt:lpstr>
      <vt:lpstr>'160828E-1'!Print_Area</vt:lpstr>
      <vt:lpstr>'160828E-2'!Print_Area</vt:lpstr>
      <vt:lpstr>'160829D-1'!Print_Area</vt:lpstr>
      <vt:lpstr>'160829D-2'!Print_Area</vt:lpstr>
      <vt:lpstr>'160829E-1'!Print_Area</vt:lpstr>
      <vt:lpstr>'160829E-2'!Print_Area</vt:lpstr>
      <vt:lpstr>'160830D-1'!Print_Area</vt:lpstr>
      <vt:lpstr>'160830D-2'!Print_Area</vt:lpstr>
      <vt:lpstr>'160830E-1'!Print_Area</vt:lpstr>
      <vt:lpstr>'160830E-2'!Print_Area</vt:lpstr>
      <vt:lpstr>'160831D-1'!Print_Area</vt:lpstr>
      <vt:lpstr>'160831D-2'!Print_Area</vt:lpstr>
      <vt:lpstr>'160831E-1'!Print_Area</vt:lpstr>
      <vt:lpstr>'160831E-2'!Print_Area</vt:lpstr>
      <vt:lpstr>'160901D-1'!Print_Area</vt:lpstr>
      <vt:lpstr>'160901D-2'!Print_Area</vt:lpstr>
      <vt:lpstr>'160901E-1'!Print_Area</vt:lpstr>
      <vt:lpstr>'160901E-2'!Print_Area</vt:lpstr>
      <vt:lpstr>'160902D-1'!Print_Area</vt:lpstr>
      <vt:lpstr>'160902D-2'!Print_Area</vt:lpstr>
      <vt:lpstr>'160904E-1'!Print_Area</vt:lpstr>
      <vt:lpstr>'160904E-2'!Print_Area</vt:lpstr>
      <vt:lpstr>'160905D-1'!Print_Area</vt:lpstr>
      <vt:lpstr>'160905D-2'!Print_Area</vt:lpstr>
      <vt:lpstr>'160905E-1'!Print_Area</vt:lpstr>
      <vt:lpstr>'160905E-2'!Print_Area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moholai</cp:lastModifiedBy>
  <cp:lastPrinted>2015-10-21T03:01:42Z</cp:lastPrinted>
  <dcterms:created xsi:type="dcterms:W3CDTF">2014-12-29T06:32:15Z</dcterms:created>
  <dcterms:modified xsi:type="dcterms:W3CDTF">2016-09-06T05:48:27Z</dcterms:modified>
</cp:coreProperties>
</file>