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5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5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 firstSheet="50" activeTab="57"/>
  </bookViews>
  <sheets>
    <sheet name="SETUP" sheetId="2" r:id="rId1"/>
    <sheet name="SETUP (2)" sheetId="3" r:id="rId2"/>
    <sheet name="160505D-1" sheetId="4" r:id="rId3"/>
    <sheet name="160505D-2" sheetId="5" r:id="rId4"/>
    <sheet name="160505E-1" sheetId="6" r:id="rId5"/>
    <sheet name="160505E-2" sheetId="7" r:id="rId6"/>
    <sheet name="160506D-1" sheetId="8" r:id="rId7"/>
    <sheet name="160506D-2" sheetId="9" r:id="rId8"/>
    <sheet name="160508E-1" sheetId="10" r:id="rId9"/>
    <sheet name="160508E-2" sheetId="11" r:id="rId10"/>
    <sheet name="160509D-1" sheetId="12" r:id="rId11"/>
    <sheet name="160509D-2" sheetId="13" r:id="rId12"/>
    <sheet name="160509E-1" sheetId="14" r:id="rId13"/>
    <sheet name="160509E-2" sheetId="15" r:id="rId14"/>
    <sheet name="160510D-1" sheetId="16" r:id="rId15"/>
    <sheet name="160510D-2" sheetId="19" r:id="rId16"/>
    <sheet name="160510E-1" sheetId="18" r:id="rId17"/>
    <sheet name="160510E-2" sheetId="17" r:id="rId18"/>
    <sheet name="160511D-1" sheetId="20" r:id="rId19"/>
    <sheet name="160511D-2" sheetId="21" r:id="rId20"/>
    <sheet name="160511E-1" sheetId="22" r:id="rId21"/>
    <sheet name="160511E-2" sheetId="23" r:id="rId22"/>
    <sheet name="160512D-1" sheetId="24" r:id="rId23"/>
    <sheet name="160512D-2" sheetId="25" r:id="rId24"/>
    <sheet name="160512E-1" sheetId="26" r:id="rId25"/>
    <sheet name="160512E-2" sheetId="27" r:id="rId26"/>
    <sheet name="160513D-1" sheetId="28" r:id="rId27"/>
    <sheet name="160513D-2" sheetId="29" r:id="rId28"/>
    <sheet name="160515E-1" sheetId="30" r:id="rId29"/>
    <sheet name="160515E-2" sheetId="31" r:id="rId30"/>
    <sheet name="160516D-1" sheetId="32" r:id="rId31"/>
    <sheet name="160516D-2" sheetId="33" r:id="rId32"/>
    <sheet name="160516E-1" sheetId="34" r:id="rId33"/>
    <sheet name="160516E-2" sheetId="35" r:id="rId34"/>
    <sheet name="160517D-1" sheetId="36" r:id="rId35"/>
    <sheet name="160517D-2" sheetId="37" r:id="rId36"/>
    <sheet name="160517E-1" sheetId="38" r:id="rId37"/>
    <sheet name="160517E-2" sheetId="39" r:id="rId38"/>
    <sheet name="160518D-1 " sheetId="40" r:id="rId39"/>
    <sheet name="160518D-2" sheetId="41" r:id="rId40"/>
    <sheet name="160518E-1" sheetId="42" r:id="rId41"/>
    <sheet name="160518E-2" sheetId="43" r:id="rId42"/>
    <sheet name="160519D-1" sheetId="44" r:id="rId43"/>
    <sheet name="160519D-2" sheetId="45" r:id="rId44"/>
    <sheet name="160519E-1" sheetId="46" r:id="rId45"/>
    <sheet name="160519E-2" sheetId="47" r:id="rId46"/>
    <sheet name="160520D-1" sheetId="48" r:id="rId47"/>
    <sheet name="160520D-2" sheetId="49" r:id="rId48"/>
    <sheet name="160522E-1" sheetId="50" r:id="rId49"/>
    <sheet name="160522E-2" sheetId="52" r:id="rId50"/>
    <sheet name="160523D-1" sheetId="53" r:id="rId51"/>
    <sheet name="160523D-2" sheetId="54" r:id="rId52"/>
    <sheet name="160523E-1" sheetId="55" r:id="rId53"/>
    <sheet name="160523E-2" sheetId="56" r:id="rId54"/>
    <sheet name="160524D-1" sheetId="57" r:id="rId55"/>
    <sheet name="160524D-2" sheetId="58" r:id="rId56"/>
    <sheet name="160524E-1" sheetId="59" r:id="rId57"/>
    <sheet name="160524E-2" sheetId="60" r:id="rId58"/>
  </sheets>
  <definedNames>
    <definedName name="_xlnm.Print_Area" localSheetId="2">'160505D-1'!$A$1:$X$80</definedName>
    <definedName name="_xlnm.Print_Area" localSheetId="3">'160505D-2'!$A$1:$X$80</definedName>
    <definedName name="_xlnm.Print_Area" localSheetId="4">'160505E-1'!$A$1:$X$80</definedName>
    <definedName name="_xlnm.Print_Area" localSheetId="5">'160505E-2'!$A$1:$X$80</definedName>
    <definedName name="_xlnm.Print_Area" localSheetId="6">'160506D-1'!$A$1:$X$80</definedName>
    <definedName name="_xlnm.Print_Area" localSheetId="7">'160506D-2'!$A$1:$X$80</definedName>
    <definedName name="_xlnm.Print_Area" localSheetId="8">'160508E-1'!$A$1:$X$80</definedName>
    <definedName name="_xlnm.Print_Area" localSheetId="9">'160508E-2'!$A$1:$X$80</definedName>
    <definedName name="_xlnm.Print_Area" localSheetId="10">'160509D-1'!$A$1:$X$80</definedName>
    <definedName name="_xlnm.Print_Area" localSheetId="11">'160509D-2'!$A$1:$X$80</definedName>
    <definedName name="_xlnm.Print_Area" localSheetId="12">'160509E-1'!$A$1:$X$80</definedName>
    <definedName name="_xlnm.Print_Area" localSheetId="13">'160509E-2'!$A$1:$X$80</definedName>
    <definedName name="_xlnm.Print_Area" localSheetId="14">'160510D-1'!$A$1:$X$80</definedName>
    <definedName name="_xlnm.Print_Area" localSheetId="15">'160510D-2'!$A$1:$X$80</definedName>
    <definedName name="_xlnm.Print_Area" localSheetId="16">'160510E-1'!$A$1:$X$80</definedName>
    <definedName name="_xlnm.Print_Area" localSheetId="17">'160510E-2'!$A$1:$X$80</definedName>
    <definedName name="_xlnm.Print_Area" localSheetId="18">'160511D-1'!$A$1:$X$80</definedName>
    <definedName name="_xlnm.Print_Area" localSheetId="19">'160511D-2'!$A$1:$X$80</definedName>
    <definedName name="_xlnm.Print_Area" localSheetId="20">'160511E-1'!$A$1:$X$80</definedName>
    <definedName name="_xlnm.Print_Area" localSheetId="21">'160511E-2'!$A$1:$X$80</definedName>
    <definedName name="_xlnm.Print_Area" localSheetId="22">'160512D-1'!$A$1:$X$80</definedName>
    <definedName name="_xlnm.Print_Area" localSheetId="23">'160512D-2'!$A$1:$X$80</definedName>
    <definedName name="_xlnm.Print_Area" localSheetId="24">'160512E-1'!$A$1:$X$80</definedName>
    <definedName name="_xlnm.Print_Area" localSheetId="25">'160512E-2'!$A$1:$X$80</definedName>
    <definedName name="_xlnm.Print_Area" localSheetId="26">'160513D-1'!$A$1:$X$80</definedName>
    <definedName name="_xlnm.Print_Area" localSheetId="27">'160513D-2'!$A$1:$X$80</definedName>
    <definedName name="_xlnm.Print_Area" localSheetId="28">'160515E-1'!$A$1:$X$80</definedName>
    <definedName name="_xlnm.Print_Area" localSheetId="29">'160515E-2'!$A$1:$X$80</definedName>
    <definedName name="_xlnm.Print_Area" localSheetId="30">'160516D-1'!$A$1:$X$80</definedName>
    <definedName name="_xlnm.Print_Area" localSheetId="31">'160516D-2'!$A$1:$X$80</definedName>
    <definedName name="_xlnm.Print_Area" localSheetId="32">'160516E-1'!$A$1:$X$80</definedName>
    <definedName name="_xlnm.Print_Area" localSheetId="33">'160516E-2'!$A$1:$X$80</definedName>
    <definedName name="_xlnm.Print_Area" localSheetId="34">'160517D-1'!$A$1:$X$80</definedName>
    <definedName name="_xlnm.Print_Area" localSheetId="35">'160517D-2'!$A$1:$X$80</definedName>
    <definedName name="_xlnm.Print_Area" localSheetId="36">'160517E-1'!$A$1:$X$80</definedName>
    <definedName name="_xlnm.Print_Area" localSheetId="37">'160517E-2'!$A$1:$X$80</definedName>
    <definedName name="_xlnm.Print_Area" localSheetId="38">'160518D-1 '!$A$1:$X$80</definedName>
    <definedName name="_xlnm.Print_Area" localSheetId="39">'160518D-2'!$A$1:$X$80</definedName>
    <definedName name="_xlnm.Print_Area" localSheetId="40">'160518E-1'!$A$1:$X$80</definedName>
    <definedName name="_xlnm.Print_Area" localSheetId="41">'160518E-2'!$A$1:$X$80</definedName>
    <definedName name="_xlnm.Print_Area" localSheetId="42">'160519D-1'!$A$1:$X$80</definedName>
    <definedName name="_xlnm.Print_Area" localSheetId="43">'160519D-2'!$A$1:$X$80</definedName>
    <definedName name="_xlnm.Print_Area" localSheetId="44">'160519E-1'!$A$1:$X$80</definedName>
    <definedName name="_xlnm.Print_Area" localSheetId="45">'160519E-2'!$A$1:$X$80</definedName>
    <definedName name="_xlnm.Print_Area" localSheetId="46">'160520D-1'!$A$1:$X$80</definedName>
    <definedName name="_xlnm.Print_Area" localSheetId="47">'160520D-2'!$A$1:$X$80</definedName>
    <definedName name="_xlnm.Print_Area" localSheetId="48">'160522E-1'!$A$1:$X$80</definedName>
    <definedName name="_xlnm.Print_Area" localSheetId="49">'160522E-2'!$A$1:$X$80</definedName>
    <definedName name="_xlnm.Print_Area" localSheetId="50">'160523D-1'!$A$1:$X$80</definedName>
    <definedName name="_xlnm.Print_Area" localSheetId="51">'160523D-2'!$A$1:$X$80</definedName>
    <definedName name="_xlnm.Print_Area" localSheetId="52">'160523E-1'!$A$1:$X$80</definedName>
    <definedName name="_xlnm.Print_Area" localSheetId="53">'160523E-2'!$A$1:$X$80</definedName>
    <definedName name="_xlnm.Print_Area" localSheetId="54">'160524D-1'!$A$1:$X$80</definedName>
    <definedName name="_xlnm.Print_Area" localSheetId="55">'160524D-2'!$A$1:$X$80</definedName>
    <definedName name="_xlnm.Print_Area" localSheetId="56">'160524E-1'!$A$1:$X$80</definedName>
    <definedName name="_xlnm.Print_Area" localSheetId="57">'160524E-2'!$A$1:$X$80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/>
  <c r="AA32"/>
  <c r="AA31"/>
  <c r="AA30"/>
  <c r="AA29"/>
  <c r="AA28"/>
  <c r="AA27"/>
  <c r="AA26"/>
  <c r="AA33" i="56" l="1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 l="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 l="1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 l="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 l="1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 l="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 l="1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 l="1"/>
  <c r="AA32"/>
  <c r="AA31"/>
  <c r="AA30"/>
  <c r="AA29"/>
  <c r="AA28"/>
  <c r="AA27"/>
  <c r="AA26"/>
  <c r="AA33" i="18"/>
  <c r="AA32"/>
  <c r="AA31"/>
  <c r="AA30"/>
  <c r="AA29"/>
  <c r="AA28"/>
  <c r="AA27"/>
  <c r="AA26"/>
  <c r="AA33" i="17" l="1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 l="1"/>
  <c r="AA32"/>
  <c r="AA31"/>
  <c r="AA30"/>
  <c r="AA29"/>
  <c r="AA28"/>
  <c r="AA27"/>
  <c r="AA26"/>
  <c r="AA33" i="10"/>
  <c r="AA32"/>
  <c r="AA31"/>
  <c r="AA30"/>
  <c r="AA29"/>
  <c r="AA28"/>
  <c r="AA27"/>
  <c r="AA26"/>
  <c r="AA33" i="9" l="1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 l="1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<sst xmlns="http://schemas.openxmlformats.org/spreadsheetml/2006/main" count="8706" uniqueCount="129">
  <si>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</si>
  <si>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</si>
  <si>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</si>
  <si>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</si>
  <si>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</si>
  <si>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</si>
  <si>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</si>
  <si>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</si>
  <si>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</si>
  <si>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</si>
  <si>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</si>
  <si>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</si>
  <si>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</si>
  <si>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</si>
  <si>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</si>
  <si>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</si>
  <si>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</si>
  <si>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</si>
  <si>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</si>
  <si>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</si>
  <si>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</si>
  <si>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</si>
  <si>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</si>
  <si>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</si>
  <si>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</si>
  <si>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</si>
  <si>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</si>
  <si>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</si>
  <si>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</si>
  <si>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</si>
  <si>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</si>
  <si>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</si>
  <si>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</si>
  <si>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</si>
  <si>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</si>
  <si>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</si>
  <si>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</si>
  <si>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</si>
  <si>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</si>
  <si>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</si>
  <si>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</si>
  <si>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</si>
  <si>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</si>
  <si>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</si>
  <si>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</si>
  <si>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</si>
  <si>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</si>
  <si>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</si>
  <si>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</si>
  <si>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</si>
  <si>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</si>
  <si>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</si>
  <si>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</si>
  <si>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</si>
  <si>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</si>
  <si>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</si>
  <si>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</si>
  <si>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</si>
  <si>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</si>
  <si>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</si>
  <si>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</si>
  <si>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</si>
  <si>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</si>
  <si>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</si>
  <si>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</si>
  <si>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</si>
  <si>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</si>
  <si>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</si>
  <si>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</si>
  <si>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</si>
  <si>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</si>
  <si>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</si>
  <si>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</si>
  <si>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</si>
  <si>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</si>
  <si>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</si>
  <si>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</si>
  <si>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</si>
  <si>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</si>
  <si>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</si>
  <si>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</si>
  <si>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</si>
  <si>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</si>
  <si>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</si>
  <si>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</si>
  <si>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</si>
  <si>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</si>
  <si>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</si>
  <si>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</si>
  <si>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</si>
  <si>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</si>
  <si>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</si>
  <si>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</si>
  <si>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</si>
  <si>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</si>
  <si>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160505D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</si>
  <si>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</si>
  <si>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</si>
  <si>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</si>
  <si>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</si>
  <si>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R1-2360</t>
    <phoneticPr fontId="10" type="noConversion"/>
  </si>
  <si>
    <t>160505D</t>
    <phoneticPr fontId="10" type="noConversion"/>
  </si>
  <si>
    <t>160505E</t>
    <phoneticPr fontId="10" type="noConversion"/>
  </si>
  <si>
    <t>160506D</t>
    <phoneticPr fontId="10" type="noConversion"/>
  </si>
  <si>
    <t>160508E</t>
    <phoneticPr fontId="10" type="noConversion"/>
  </si>
  <si>
    <t>160509D</t>
    <phoneticPr fontId="10" type="noConversion"/>
  </si>
  <si>
    <t>160509E</t>
    <phoneticPr fontId="10" type="noConversion"/>
  </si>
  <si>
    <t>160510D</t>
    <phoneticPr fontId="10" type="noConversion"/>
  </si>
  <si>
    <t>160510E</t>
    <phoneticPr fontId="10" type="noConversion"/>
  </si>
  <si>
    <t>160511D</t>
    <phoneticPr fontId="10" type="noConversion"/>
  </si>
  <si>
    <t>160511E</t>
    <phoneticPr fontId="10" type="noConversion"/>
  </si>
  <si>
    <t>160512D</t>
    <phoneticPr fontId="10" type="noConversion"/>
  </si>
  <si>
    <t>160512E</t>
    <phoneticPr fontId="10" type="noConversion"/>
  </si>
  <si>
    <t>160513D</t>
    <phoneticPr fontId="10" type="noConversion"/>
  </si>
  <si>
    <t>160515E</t>
    <phoneticPr fontId="10" type="noConversion"/>
  </si>
  <si>
    <t>160516D</t>
    <phoneticPr fontId="10" type="noConversion"/>
  </si>
  <si>
    <t>160516E</t>
    <phoneticPr fontId="10" type="noConversion"/>
  </si>
  <si>
    <t>160517D</t>
    <phoneticPr fontId="10" type="noConversion"/>
  </si>
  <si>
    <t>160517E</t>
    <phoneticPr fontId="10" type="noConversion"/>
  </si>
  <si>
    <t>160518D</t>
    <phoneticPr fontId="10" type="noConversion"/>
  </si>
  <si>
    <t>160518E</t>
    <phoneticPr fontId="10" type="noConversion"/>
  </si>
  <si>
    <t>160519D</t>
    <phoneticPr fontId="10" type="noConversion"/>
  </si>
  <si>
    <t>160519E</t>
    <phoneticPr fontId="10" type="noConversion"/>
  </si>
  <si>
    <t>160520D</t>
    <phoneticPr fontId="10" type="noConversion"/>
  </si>
  <si>
    <t>160522E</t>
    <phoneticPr fontId="10" type="noConversion"/>
  </si>
  <si>
    <t>160523D</t>
    <phoneticPr fontId="10" type="noConversion"/>
  </si>
  <si>
    <t>160523E</t>
    <phoneticPr fontId="10" type="noConversion"/>
  </si>
  <si>
    <t>160524D</t>
    <phoneticPr fontId="10" type="noConversion"/>
  </si>
  <si>
    <t>160524E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</si>
</sst>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9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58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35034</xdr:colOff>
      <xdr:row>75</xdr:row>
      <xdr:rowOff>87587</xdr:rowOff>
    </xdr:from>
    <xdr:to>
      <xdr:col>13</xdr:col>
      <xdr:colOff>145286</xdr:colOff>
      <xdr:row>78</xdr:row>
      <xdr:rowOff>18722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6689" y="10273863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52552</xdr:colOff>
      <xdr:row>75</xdr:row>
      <xdr:rowOff>122621</xdr:rowOff>
    </xdr:from>
    <xdr:to>
      <xdr:col>13</xdr:col>
      <xdr:colOff>162804</xdr:colOff>
      <xdr:row>78</xdr:row>
      <xdr:rowOff>53756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4207" y="10308897"/>
          <a:ext cx="749631" cy="37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34138" y="10392489"/>
          <a:ext cx="512379" cy="3018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1724" y="10418568"/>
          <a:ext cx="503621" cy="2845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218966</xdr:colOff>
      <xdr:row>78</xdr:row>
      <xdr:rowOff>35590</xdr:rowOff>
    </xdr:to>
    <xdr:pic>
      <xdr:nvPicPr>
        <xdr:cNvPr id="9" name="圖片 8" descr="劉淑敏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73690" cy="20200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180076</xdr:colOff>
      <xdr:row>78</xdr:row>
      <xdr:rowOff>21896</xdr:rowOff>
    </xdr:to>
    <xdr:pic>
      <xdr:nvPicPr>
        <xdr:cNvPr id="8" name="圖片 7" descr="劉淑敏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34800" cy="1883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218966</xdr:colOff>
      <xdr:row>78</xdr:row>
      <xdr:rowOff>35590</xdr:rowOff>
    </xdr:to>
    <xdr:pic>
      <xdr:nvPicPr>
        <xdr:cNvPr id="8" name="圖片 7" descr="劉淑敏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58450"/>
          <a:ext cx="574566" cy="20069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180076</xdr:colOff>
      <xdr:row>78</xdr:row>
      <xdr:rowOff>21896</xdr:rowOff>
    </xdr:to>
    <xdr:pic>
      <xdr:nvPicPr>
        <xdr:cNvPr id="8" name="圖片 7" descr="劉淑敏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58450"/>
          <a:ext cx="535676" cy="18699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48558</xdr:rowOff>
    </xdr:from>
    <xdr:to>
      <xdr:col>12</xdr:col>
      <xdr:colOff>140138</xdr:colOff>
      <xdr:row>78</xdr:row>
      <xdr:rowOff>61374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386358"/>
          <a:ext cx="514350" cy="298566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70069</xdr:colOff>
      <xdr:row>76</xdr:row>
      <xdr:rowOff>74637</xdr:rowOff>
    </xdr:from>
    <xdr:to>
      <xdr:col>12</xdr:col>
      <xdr:colOff>218966</xdr:colOff>
      <xdr:row>78</xdr:row>
      <xdr:rowOff>70134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9169" y="10412437"/>
          <a:ext cx="504497" cy="281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" t="s">
        <v>2</v>
      </c>
      <c r="E2" s="42"/>
      <c r="F2" s="273" t="s">
        <v>100</v>
      </c>
      <c r="G2" s="273"/>
      <c r="H2" s="273"/>
      <c r="I2" s="273"/>
      <c r="J2" s="273"/>
      <c r="K2" s="274"/>
      <c r="L2" s="2" t="s">
        <v>4</v>
      </c>
      <c r="M2" s="273">
        <v>9</v>
      </c>
      <c r="N2" s="319"/>
      <c r="O2" s="2" t="s">
        <v>6</v>
      </c>
      <c r="P2" s="322" t="s">
        <v>83</v>
      </c>
      <c r="Q2" s="323"/>
      <c r="R2" s="323"/>
      <c r="S2" s="323"/>
      <c r="T2" s="323"/>
      <c r="U2" s="323"/>
      <c r="V2" s="324"/>
      <c r="W2" s="2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5" t="s">
        <v>3</v>
      </c>
      <c r="E3" s="43"/>
      <c r="F3" s="275"/>
      <c r="G3" s="275"/>
      <c r="H3" s="275"/>
      <c r="I3" s="275"/>
      <c r="J3" s="275"/>
      <c r="K3" s="276"/>
      <c r="L3" s="25" t="s">
        <v>5</v>
      </c>
      <c r="M3" s="320"/>
      <c r="N3" s="321"/>
      <c r="O3" s="25" t="s">
        <v>7</v>
      </c>
      <c r="P3" s="325"/>
      <c r="Q3" s="325"/>
      <c r="R3" s="325"/>
      <c r="S3" s="325"/>
      <c r="T3" s="325"/>
      <c r="U3" s="325"/>
      <c r="V3" s="326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27" t="s">
        <v>101</v>
      </c>
      <c r="R4" s="328"/>
      <c r="S4" s="328"/>
      <c r="T4" s="329"/>
      <c r="U4" s="2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9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52</v>
      </c>
      <c r="E26" s="264">
        <v>2.08</v>
      </c>
      <c r="F26" s="265"/>
      <c r="G26" s="52" t="s">
        <v>53</v>
      </c>
      <c r="H26" s="44">
        <v>0.05</v>
      </c>
      <c r="I26" s="361">
        <v>2.097</v>
      </c>
      <c r="J26" s="361"/>
      <c r="K26" s="361">
        <v>2.0920000000000001</v>
      </c>
      <c r="L26" s="361"/>
      <c r="M26" s="361">
        <v>2.097</v>
      </c>
      <c r="N26" s="361"/>
      <c r="O26" s="361">
        <v>2.0950000000000002</v>
      </c>
      <c r="P26" s="361"/>
      <c r="Q26" s="361">
        <v>2.109</v>
      </c>
      <c r="R26" s="361"/>
      <c r="S26" s="361">
        <v>2.0990000000000002</v>
      </c>
      <c r="T26" s="361"/>
      <c r="U26" s="361">
        <v>2.1</v>
      </c>
      <c r="V26" s="361"/>
      <c r="W26" s="361">
        <v>2.1030000000000002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52</v>
      </c>
      <c r="E28" s="264">
        <v>1.97</v>
      </c>
      <c r="F28" s="265"/>
      <c r="G28" s="52" t="s">
        <v>53</v>
      </c>
      <c r="H28" s="44">
        <v>0.05</v>
      </c>
      <c r="I28" s="361">
        <v>1.98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52</v>
      </c>
      <c r="E30" s="264">
        <v>2.08</v>
      </c>
      <c r="F30" s="265"/>
      <c r="G30" s="52" t="s">
        <v>53</v>
      </c>
      <c r="H30" s="44">
        <v>0.05</v>
      </c>
      <c r="I30" s="361">
        <v>2.0960000000000001</v>
      </c>
      <c r="J30" s="361"/>
      <c r="K30" s="361">
        <v>2.1019999999999999</v>
      </c>
      <c r="L30" s="361"/>
      <c r="M30" s="361">
        <v>2.0950000000000002</v>
      </c>
      <c r="N30" s="361"/>
      <c r="O30" s="361">
        <v>2.0979999999999999</v>
      </c>
      <c r="P30" s="361"/>
      <c r="Q30" s="361">
        <v>2.101</v>
      </c>
      <c r="R30" s="361"/>
      <c r="S30" s="361">
        <v>2.1074000000000002</v>
      </c>
      <c r="T30" s="361"/>
      <c r="U30" s="361">
        <v>2.1080000000000001</v>
      </c>
      <c r="V30" s="361"/>
      <c r="W30" s="361">
        <v>2.1080000000000001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52</v>
      </c>
      <c r="E32" s="264">
        <v>10.92</v>
      </c>
      <c r="F32" s="265"/>
      <c r="G32" s="52" t="s">
        <v>53</v>
      </c>
      <c r="H32" s="44">
        <v>0.13</v>
      </c>
      <c r="I32" s="314">
        <v>11.01</v>
      </c>
      <c r="J32" s="314"/>
      <c r="K32" s="314">
        <v>11.02</v>
      </c>
      <c r="L32" s="314"/>
      <c r="M32" s="314">
        <v>11.03</v>
      </c>
      <c r="N32" s="314"/>
      <c r="O32" s="314">
        <v>11.04</v>
      </c>
      <c r="P32" s="314"/>
      <c r="Q32" s="314">
        <v>11.03</v>
      </c>
      <c r="R32" s="314"/>
      <c r="S32" s="314">
        <v>11.03</v>
      </c>
      <c r="T32" s="314"/>
      <c r="U32" s="314">
        <v>11.02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62" t="s">
        <v>89</v>
      </c>
      <c r="E34" s="63"/>
      <c r="F34" s="63"/>
      <c r="G34" s="63"/>
      <c r="H34" s="64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58" t="s">
        <v>90</v>
      </c>
      <c r="E35" s="65"/>
      <c r="F35" s="65"/>
      <c r="G35" s="65"/>
      <c r="H35" s="66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98</v>
      </c>
      <c r="J36" s="280"/>
      <c r="K36" s="280" t="s">
        <v>98</v>
      </c>
      <c r="L36" s="280"/>
      <c r="M36" s="280" t="s">
        <v>98</v>
      </c>
      <c r="N36" s="280"/>
      <c r="O36" s="280" t="s">
        <v>98</v>
      </c>
      <c r="P36" s="280"/>
      <c r="Q36" s="280" t="s">
        <v>98</v>
      </c>
      <c r="R36" s="280"/>
      <c r="S36" s="280" t="s">
        <v>98</v>
      </c>
      <c r="T36" s="280"/>
      <c r="U36" s="280" t="s">
        <v>98</v>
      </c>
      <c r="V36" s="280"/>
      <c r="W36" s="280" t="s">
        <v>98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58" t="s">
        <v>69</v>
      </c>
      <c r="E37" s="65"/>
      <c r="F37" s="65"/>
      <c r="G37" s="65"/>
      <c r="H37" s="66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62" t="s">
        <v>71</v>
      </c>
      <c r="E38" s="63"/>
      <c r="F38" s="63"/>
      <c r="G38" s="63"/>
      <c r="H38" s="64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58" t="s">
        <v>72</v>
      </c>
      <c r="E39" s="65"/>
      <c r="F39" s="65"/>
      <c r="G39" s="65"/>
      <c r="H39" s="66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62" t="s">
        <v>73</v>
      </c>
      <c r="E40" s="54"/>
      <c r="F40" s="54"/>
      <c r="G40" s="54"/>
      <c r="H40" s="38"/>
      <c r="I40" s="280" t="s">
        <v>99</v>
      </c>
      <c r="J40" s="280"/>
      <c r="K40" s="280" t="s">
        <v>99</v>
      </c>
      <c r="L40" s="280"/>
      <c r="M40" s="280" t="s">
        <v>99</v>
      </c>
      <c r="N40" s="280"/>
      <c r="O40" s="280" t="s">
        <v>99</v>
      </c>
      <c r="P40" s="280"/>
      <c r="Q40" s="280" t="s">
        <v>99</v>
      </c>
      <c r="R40" s="280"/>
      <c r="S40" s="280" t="s">
        <v>99</v>
      </c>
      <c r="T40" s="280"/>
      <c r="U40" s="280" t="s">
        <v>99</v>
      </c>
      <c r="V40" s="280"/>
      <c r="W40" s="280" t="s">
        <v>99</v>
      </c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58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62" t="s">
        <v>75</v>
      </c>
      <c r="E42" s="59"/>
      <c r="F42" s="60"/>
      <c r="G42" s="52"/>
      <c r="H42" s="44"/>
      <c r="I42" s="280" t="s">
        <v>99</v>
      </c>
      <c r="J42" s="280"/>
      <c r="K42" s="280" t="s">
        <v>99</v>
      </c>
      <c r="L42" s="280"/>
      <c r="M42" s="280" t="s">
        <v>99</v>
      </c>
      <c r="N42" s="280"/>
      <c r="O42" s="280" t="s">
        <v>99</v>
      </c>
      <c r="P42" s="280"/>
      <c r="Q42" s="280" t="s">
        <v>99</v>
      </c>
      <c r="R42" s="280"/>
      <c r="S42" s="280" t="s">
        <v>99</v>
      </c>
      <c r="T42" s="280"/>
      <c r="U42" s="280" t="s">
        <v>99</v>
      </c>
      <c r="V42" s="280"/>
      <c r="W42" s="280" t="s">
        <v>99</v>
      </c>
      <c r="X42" s="280"/>
      <c r="AA42" s="45"/>
      <c r="AB42" s="56"/>
    </row>
    <row r="43" spans="1:28" s="20" customFormat="1" ht="10" customHeight="1">
      <c r="A43" s="282"/>
      <c r="B43" s="282"/>
      <c r="C43" s="396"/>
      <c r="D43" s="58" t="s">
        <v>76</v>
      </c>
      <c r="E43" s="61"/>
      <c r="F43" s="61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62" t="s">
        <v>77</v>
      </c>
      <c r="E44" s="59"/>
      <c r="F44" s="60"/>
      <c r="G44" s="52"/>
      <c r="H44" s="44"/>
      <c r="I44" s="280" t="s">
        <v>99</v>
      </c>
      <c r="J44" s="280"/>
      <c r="K44" s="280" t="s">
        <v>99</v>
      </c>
      <c r="L44" s="280"/>
      <c r="M44" s="280" t="s">
        <v>99</v>
      </c>
      <c r="N44" s="280"/>
      <c r="O44" s="280" t="s">
        <v>99</v>
      </c>
      <c r="P44" s="280"/>
      <c r="Q44" s="280" t="s">
        <v>99</v>
      </c>
      <c r="R44" s="280"/>
      <c r="S44" s="280" t="s">
        <v>99</v>
      </c>
      <c r="T44" s="280"/>
      <c r="U44" s="280" t="s">
        <v>99</v>
      </c>
      <c r="V44" s="280"/>
      <c r="W44" s="280" t="s">
        <v>99</v>
      </c>
      <c r="X44" s="280"/>
      <c r="AA44" s="45"/>
      <c r="AB44" s="56"/>
    </row>
    <row r="45" spans="1:28" s="20" customFormat="1" ht="10" customHeight="1">
      <c r="A45" s="282"/>
      <c r="B45" s="282"/>
      <c r="C45" s="268"/>
      <c r="D45" s="58" t="s">
        <v>78</v>
      </c>
      <c r="E45" s="61"/>
      <c r="F45" s="61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62" t="s">
        <v>79</v>
      </c>
      <c r="E46" s="63"/>
      <c r="F46" s="63"/>
      <c r="G46" s="63"/>
      <c r="H46" s="64"/>
      <c r="I46" s="280" t="s">
        <v>99</v>
      </c>
      <c r="J46" s="280"/>
      <c r="K46" s="280" t="s">
        <v>99</v>
      </c>
      <c r="L46" s="280"/>
      <c r="M46" s="280" t="s">
        <v>99</v>
      </c>
      <c r="N46" s="280"/>
      <c r="O46" s="280" t="s">
        <v>99</v>
      </c>
      <c r="P46" s="280"/>
      <c r="Q46" s="280" t="s">
        <v>99</v>
      </c>
      <c r="R46" s="280"/>
      <c r="S46" s="280" t="s">
        <v>99</v>
      </c>
      <c r="T46" s="280"/>
      <c r="U46" s="280" t="s">
        <v>99</v>
      </c>
      <c r="V46" s="280"/>
      <c r="W46" s="280" t="s">
        <v>99</v>
      </c>
      <c r="X46" s="280"/>
      <c r="AA46" s="45"/>
      <c r="AB46" s="56"/>
    </row>
    <row r="47" spans="1:28" s="20" customFormat="1" ht="10" customHeight="1">
      <c r="A47" s="282"/>
      <c r="B47" s="282"/>
      <c r="C47" s="268"/>
      <c r="D47" s="58" t="s">
        <v>80</v>
      </c>
      <c r="E47" s="65"/>
      <c r="F47" s="65"/>
      <c r="G47" s="65"/>
      <c r="H47" s="66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62" t="s">
        <v>81</v>
      </c>
      <c r="E48" s="63"/>
      <c r="F48" s="63"/>
      <c r="G48" s="63"/>
      <c r="H48" s="64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58" t="s">
        <v>82</v>
      </c>
      <c r="E49" s="65"/>
      <c r="F49" s="65"/>
      <c r="G49" s="65"/>
      <c r="H49" s="66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579" priority="31" operator="greaterThan">
      <formula>$AA$28</formula>
    </cfRule>
    <cfRule type="cellIs" dxfId="578" priority="32" operator="lessThan">
      <formula>$AA$29</formula>
    </cfRule>
  </conditionalFormatting>
  <conditionalFormatting sqref="I32:X33">
    <cfRule type="cellIs" dxfId="577" priority="9" operator="greaterThan">
      <formula>$AA$32</formula>
    </cfRule>
    <cfRule type="cellIs" dxfId="576" priority="10" operator="lessThan">
      <formula>$AA$33</formula>
    </cfRule>
  </conditionalFormatting>
  <conditionalFormatting sqref="I30:X31">
    <cfRule type="cellIs" dxfId="575" priority="7" operator="greaterThan">
      <formula>$AA$30</formula>
    </cfRule>
    <cfRule type="cellIs" dxfId="574" priority="8" operator="lessThan">
      <formula>$AA$31</formula>
    </cfRule>
  </conditionalFormatting>
  <conditionalFormatting sqref="I26:X27">
    <cfRule type="cellIs" dxfId="573" priority="5" operator="greaterThan">
      <formula>$AA$26</formula>
    </cfRule>
    <cfRule type="cellIs" dxfId="572" priority="6" operator="lessThan">
      <formula>$AA$27</formula>
    </cfRule>
  </conditionalFormatting>
  <conditionalFormatting sqref="I32:X33">
    <cfRule type="cellIs" dxfId="571" priority="1" operator="greaterThan">
      <formula>$AA$32</formula>
    </cfRule>
    <cfRule type="cellIs" dxfId="57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77" t="s">
        <v>2</v>
      </c>
      <c r="E2" s="42"/>
      <c r="F2" s="273" t="s">
        <v>96</v>
      </c>
      <c r="G2" s="273"/>
      <c r="H2" s="273"/>
      <c r="I2" s="273"/>
      <c r="J2" s="273"/>
      <c r="K2" s="274"/>
      <c r="L2" s="77" t="s">
        <v>4</v>
      </c>
      <c r="M2" s="273">
        <v>9</v>
      </c>
      <c r="N2" s="319"/>
      <c r="O2" s="77" t="s">
        <v>6</v>
      </c>
      <c r="P2" s="322" t="s">
        <v>83</v>
      </c>
      <c r="Q2" s="323"/>
      <c r="R2" s="323"/>
      <c r="S2" s="323"/>
      <c r="T2" s="323"/>
      <c r="U2" s="323"/>
      <c r="V2" s="324"/>
      <c r="W2" s="77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78" t="s">
        <v>3</v>
      </c>
      <c r="E3" s="43"/>
      <c r="F3" s="275"/>
      <c r="G3" s="275"/>
      <c r="H3" s="275"/>
      <c r="I3" s="275"/>
      <c r="J3" s="275"/>
      <c r="K3" s="276"/>
      <c r="L3" s="78" t="s">
        <v>5</v>
      </c>
      <c r="M3" s="320"/>
      <c r="N3" s="321"/>
      <c r="O3" s="78" t="s">
        <v>7</v>
      </c>
      <c r="P3" s="325"/>
      <c r="Q3" s="325"/>
      <c r="R3" s="325"/>
      <c r="S3" s="325"/>
      <c r="T3" s="325"/>
      <c r="U3" s="325"/>
      <c r="V3" s="326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327" t="s">
        <v>95</v>
      </c>
      <c r="R4" s="328"/>
      <c r="S4" s="328"/>
      <c r="T4" s="329"/>
      <c r="U4" s="77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78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79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2.0880000000000001</v>
      </c>
      <c r="J26" s="361"/>
      <c r="K26" s="361">
        <v>2.0939999999999999</v>
      </c>
      <c r="L26" s="361"/>
      <c r="M26" s="361">
        <v>2.0950000000000002</v>
      </c>
      <c r="N26" s="361"/>
      <c r="O26" s="361">
        <v>2.101</v>
      </c>
      <c r="P26" s="361"/>
      <c r="Q26" s="361">
        <v>2.109</v>
      </c>
      <c r="R26" s="361"/>
      <c r="S26" s="361">
        <v>2.1070000000000002</v>
      </c>
      <c r="T26" s="361"/>
      <c r="U26" s="361">
        <v>2.1070000000000002</v>
      </c>
      <c r="V26" s="361"/>
      <c r="W26" s="361">
        <v>2.097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2.0910000000000002</v>
      </c>
      <c r="J30" s="361"/>
      <c r="K30" s="361">
        <v>2.0960000000000001</v>
      </c>
      <c r="L30" s="361"/>
      <c r="M30" s="361">
        <v>2.0950000000000002</v>
      </c>
      <c r="N30" s="361"/>
      <c r="O30" s="361">
        <v>2.101</v>
      </c>
      <c r="P30" s="361"/>
      <c r="Q30" s="361">
        <v>2.1059999999999999</v>
      </c>
      <c r="R30" s="361"/>
      <c r="S30" s="361">
        <v>2.1080000000000001</v>
      </c>
      <c r="T30" s="361"/>
      <c r="U30" s="361">
        <v>2.1030000000000002</v>
      </c>
      <c r="V30" s="361"/>
      <c r="W30" s="361">
        <v>2.1030000000000002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11.02</v>
      </c>
      <c r="J32" s="314"/>
      <c r="K32" s="314">
        <v>11.02</v>
      </c>
      <c r="L32" s="314"/>
      <c r="M32" s="314">
        <v>11.05</v>
      </c>
      <c r="N32" s="314"/>
      <c r="O32" s="314">
        <v>11.04</v>
      </c>
      <c r="P32" s="314"/>
      <c r="Q32" s="314">
        <v>11.04</v>
      </c>
      <c r="R32" s="314"/>
      <c r="S32" s="314">
        <v>11.03</v>
      </c>
      <c r="T32" s="314"/>
      <c r="U32" s="314">
        <v>11.03</v>
      </c>
      <c r="V32" s="314"/>
      <c r="W32" s="314">
        <v>11.02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71" t="s">
        <v>89</v>
      </c>
      <c r="E34" s="72"/>
      <c r="F34" s="72"/>
      <c r="G34" s="72"/>
      <c r="H34" s="73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74" t="s">
        <v>90</v>
      </c>
      <c r="E35" s="75"/>
      <c r="F35" s="75"/>
      <c r="G35" s="75"/>
      <c r="H35" s="76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98</v>
      </c>
      <c r="J36" s="280"/>
      <c r="K36" s="280" t="s">
        <v>98</v>
      </c>
      <c r="L36" s="280"/>
      <c r="M36" s="280" t="s">
        <v>98</v>
      </c>
      <c r="N36" s="280"/>
      <c r="O36" s="280" t="s">
        <v>98</v>
      </c>
      <c r="P36" s="280"/>
      <c r="Q36" s="280" t="s">
        <v>98</v>
      </c>
      <c r="R36" s="280"/>
      <c r="S36" s="280" t="s">
        <v>98</v>
      </c>
      <c r="T36" s="280"/>
      <c r="U36" s="280" t="s">
        <v>98</v>
      </c>
      <c r="V36" s="280"/>
      <c r="W36" s="280" t="s">
        <v>98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74" t="s">
        <v>69</v>
      </c>
      <c r="E37" s="75"/>
      <c r="F37" s="75"/>
      <c r="G37" s="75"/>
      <c r="H37" s="76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71" t="s">
        <v>71</v>
      </c>
      <c r="E38" s="72"/>
      <c r="F38" s="72"/>
      <c r="G38" s="72"/>
      <c r="H38" s="73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74" t="s">
        <v>72</v>
      </c>
      <c r="E39" s="75"/>
      <c r="F39" s="75"/>
      <c r="G39" s="75"/>
      <c r="H39" s="76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71" t="s">
        <v>73</v>
      </c>
      <c r="E40" s="54"/>
      <c r="F40" s="54"/>
      <c r="G40" s="54"/>
      <c r="H40" s="38"/>
      <c r="I40" s="280" t="s">
        <v>99</v>
      </c>
      <c r="J40" s="280"/>
      <c r="K40" s="280" t="s">
        <v>99</v>
      </c>
      <c r="L40" s="280"/>
      <c r="M40" s="280" t="s">
        <v>99</v>
      </c>
      <c r="N40" s="280"/>
      <c r="O40" s="280" t="s">
        <v>99</v>
      </c>
      <c r="P40" s="280"/>
      <c r="Q40" s="280" t="s">
        <v>99</v>
      </c>
      <c r="R40" s="280"/>
      <c r="S40" s="280" t="s">
        <v>99</v>
      </c>
      <c r="T40" s="280"/>
      <c r="U40" s="280" t="s">
        <v>99</v>
      </c>
      <c r="V40" s="280"/>
      <c r="W40" s="280" t="s">
        <v>99</v>
      </c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74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71" t="s">
        <v>75</v>
      </c>
      <c r="E42" s="68"/>
      <c r="F42" s="69"/>
      <c r="G42" s="52"/>
      <c r="H42" s="44"/>
      <c r="I42" s="280" t="s">
        <v>99</v>
      </c>
      <c r="J42" s="280"/>
      <c r="K42" s="280" t="s">
        <v>99</v>
      </c>
      <c r="L42" s="280"/>
      <c r="M42" s="280" t="s">
        <v>99</v>
      </c>
      <c r="N42" s="280"/>
      <c r="O42" s="280" t="s">
        <v>99</v>
      </c>
      <c r="P42" s="280"/>
      <c r="Q42" s="280" t="s">
        <v>99</v>
      </c>
      <c r="R42" s="280"/>
      <c r="S42" s="280" t="s">
        <v>99</v>
      </c>
      <c r="T42" s="280"/>
      <c r="U42" s="280" t="s">
        <v>99</v>
      </c>
      <c r="V42" s="280"/>
      <c r="W42" s="280" t="s">
        <v>99</v>
      </c>
      <c r="X42" s="280"/>
      <c r="AA42" s="45"/>
      <c r="AB42" s="56"/>
    </row>
    <row r="43" spans="1:28" s="20" customFormat="1" ht="10" customHeight="1">
      <c r="A43" s="282"/>
      <c r="B43" s="282"/>
      <c r="C43" s="396"/>
      <c r="D43" s="74" t="s">
        <v>76</v>
      </c>
      <c r="E43" s="70"/>
      <c r="F43" s="70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71" t="s">
        <v>77</v>
      </c>
      <c r="E44" s="68"/>
      <c r="F44" s="69"/>
      <c r="G44" s="52"/>
      <c r="H44" s="44"/>
      <c r="I44" s="280" t="s">
        <v>99</v>
      </c>
      <c r="J44" s="280"/>
      <c r="K44" s="280" t="s">
        <v>99</v>
      </c>
      <c r="L44" s="280"/>
      <c r="M44" s="280" t="s">
        <v>99</v>
      </c>
      <c r="N44" s="280"/>
      <c r="O44" s="280" t="s">
        <v>99</v>
      </c>
      <c r="P44" s="280"/>
      <c r="Q44" s="280" t="s">
        <v>99</v>
      </c>
      <c r="R44" s="280"/>
      <c r="S44" s="280" t="s">
        <v>99</v>
      </c>
      <c r="T44" s="280"/>
      <c r="U44" s="280" t="s">
        <v>99</v>
      </c>
      <c r="V44" s="280"/>
      <c r="W44" s="280" t="s">
        <v>99</v>
      </c>
      <c r="X44" s="280"/>
      <c r="AA44" s="45"/>
      <c r="AB44" s="56"/>
    </row>
    <row r="45" spans="1:28" s="20" customFormat="1" ht="10" customHeight="1">
      <c r="A45" s="282"/>
      <c r="B45" s="282"/>
      <c r="C45" s="268"/>
      <c r="D45" s="74" t="s">
        <v>78</v>
      </c>
      <c r="E45" s="70"/>
      <c r="F45" s="70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71" t="s">
        <v>79</v>
      </c>
      <c r="E46" s="72"/>
      <c r="F46" s="72"/>
      <c r="G46" s="72"/>
      <c r="H46" s="73"/>
      <c r="I46" s="280" t="s">
        <v>99</v>
      </c>
      <c r="J46" s="280"/>
      <c r="K46" s="280" t="s">
        <v>99</v>
      </c>
      <c r="L46" s="280"/>
      <c r="M46" s="280" t="s">
        <v>99</v>
      </c>
      <c r="N46" s="280"/>
      <c r="O46" s="280" t="s">
        <v>99</v>
      </c>
      <c r="P46" s="280"/>
      <c r="Q46" s="280" t="s">
        <v>99</v>
      </c>
      <c r="R46" s="280"/>
      <c r="S46" s="280" t="s">
        <v>99</v>
      </c>
      <c r="T46" s="280"/>
      <c r="U46" s="280" t="s">
        <v>99</v>
      </c>
      <c r="V46" s="280"/>
      <c r="W46" s="280" t="s">
        <v>99</v>
      </c>
      <c r="X46" s="280"/>
      <c r="AA46" s="45"/>
      <c r="AB46" s="56"/>
    </row>
    <row r="47" spans="1:28" s="20" customFormat="1" ht="10" customHeight="1">
      <c r="A47" s="282"/>
      <c r="B47" s="282"/>
      <c r="C47" s="268"/>
      <c r="D47" s="74" t="s">
        <v>80</v>
      </c>
      <c r="E47" s="75"/>
      <c r="F47" s="75"/>
      <c r="G47" s="75"/>
      <c r="H47" s="76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71" t="s">
        <v>81</v>
      </c>
      <c r="E48" s="72"/>
      <c r="F48" s="72"/>
      <c r="G48" s="72"/>
      <c r="H48" s="73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74" t="s">
        <v>82</v>
      </c>
      <c r="E49" s="75"/>
      <c r="F49" s="75"/>
      <c r="G49" s="75"/>
      <c r="H49" s="76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69" priority="9" operator="greaterThan">
      <formula>$AA$28</formula>
    </cfRule>
    <cfRule type="cellIs" dxfId="568" priority="10" operator="lessThan">
      <formula>$AA$29</formula>
    </cfRule>
  </conditionalFormatting>
  <conditionalFormatting sqref="I32:X33">
    <cfRule type="cellIs" dxfId="567" priority="7" operator="greaterThan">
      <formula>$AA$32</formula>
    </cfRule>
    <cfRule type="cellIs" dxfId="566" priority="8" operator="lessThan">
      <formula>$AA$33</formula>
    </cfRule>
  </conditionalFormatting>
  <conditionalFormatting sqref="I30:X31">
    <cfRule type="cellIs" dxfId="565" priority="5" operator="greaterThan">
      <formula>$AA$30</formula>
    </cfRule>
    <cfRule type="cellIs" dxfId="564" priority="6" operator="lessThan">
      <formula>$AA$31</formula>
    </cfRule>
  </conditionalFormatting>
  <conditionalFormatting sqref="I26:X27">
    <cfRule type="cellIs" dxfId="563" priority="3" operator="greaterThan">
      <formula>$AA$26</formula>
    </cfRule>
    <cfRule type="cellIs" dxfId="562" priority="4" operator="lessThan">
      <formula>$AA$27</formula>
    </cfRule>
  </conditionalFormatting>
  <conditionalFormatting sqref="I32:X33">
    <cfRule type="cellIs" dxfId="561" priority="1" operator="greaterThan">
      <formula>$AA$32</formula>
    </cfRule>
    <cfRule type="cellIs" dxfId="5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88" t="s">
        <v>2</v>
      </c>
      <c r="E2" s="42"/>
      <c r="F2" s="273" t="s">
        <v>93</v>
      </c>
      <c r="G2" s="273"/>
      <c r="H2" s="273"/>
      <c r="I2" s="273"/>
      <c r="J2" s="273"/>
      <c r="K2" s="274"/>
      <c r="L2" s="88" t="s">
        <v>4</v>
      </c>
      <c r="M2" s="273">
        <v>9</v>
      </c>
      <c r="N2" s="319"/>
      <c r="O2" s="88" t="s">
        <v>6</v>
      </c>
      <c r="P2" s="322" t="s">
        <v>83</v>
      </c>
      <c r="Q2" s="323"/>
      <c r="R2" s="323"/>
      <c r="S2" s="323"/>
      <c r="T2" s="323"/>
      <c r="U2" s="323"/>
      <c r="V2" s="324"/>
      <c r="W2" s="88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89" t="s">
        <v>3</v>
      </c>
      <c r="E3" s="43"/>
      <c r="F3" s="275"/>
      <c r="G3" s="275"/>
      <c r="H3" s="275"/>
      <c r="I3" s="275"/>
      <c r="J3" s="275"/>
      <c r="K3" s="276"/>
      <c r="L3" s="89" t="s">
        <v>5</v>
      </c>
      <c r="M3" s="320"/>
      <c r="N3" s="321"/>
      <c r="O3" s="89" t="s">
        <v>7</v>
      </c>
      <c r="P3" s="325"/>
      <c r="Q3" s="325"/>
      <c r="R3" s="325"/>
      <c r="S3" s="325"/>
      <c r="T3" s="325"/>
      <c r="U3" s="325"/>
      <c r="V3" s="32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27" t="s">
        <v>95</v>
      </c>
      <c r="R4" s="328"/>
      <c r="S4" s="328"/>
      <c r="T4" s="329"/>
      <c r="U4" s="88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89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8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</v>
      </c>
      <c r="J26" s="361"/>
      <c r="K26" s="361">
        <v>2.0950000000000002</v>
      </c>
      <c r="L26" s="361"/>
      <c r="M26" s="361">
        <v>2.1019999999999999</v>
      </c>
      <c r="N26" s="361"/>
      <c r="O26" s="361">
        <v>2.1</v>
      </c>
      <c r="P26" s="361"/>
      <c r="Q26" s="361">
        <v>2.0979999999999999</v>
      </c>
      <c r="R26" s="361"/>
      <c r="S26" s="361">
        <v>2.0960000000000001</v>
      </c>
      <c r="T26" s="361"/>
      <c r="U26" s="361">
        <v>2.097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1.98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2.0960000000000001</v>
      </c>
      <c r="J30" s="361"/>
      <c r="K30" s="361">
        <v>2.097</v>
      </c>
      <c r="L30" s="361"/>
      <c r="M30" s="361">
        <v>2.1030000000000002</v>
      </c>
      <c r="N30" s="361"/>
      <c r="O30" s="361">
        <v>2.1</v>
      </c>
      <c r="P30" s="361"/>
      <c r="Q30" s="361">
        <v>2.1019999999999999</v>
      </c>
      <c r="R30" s="361"/>
      <c r="S30" s="361">
        <v>2.1030000000000002</v>
      </c>
      <c r="T30" s="361"/>
      <c r="U30" s="361">
        <v>2.0939999999999999</v>
      </c>
      <c r="V30" s="361"/>
      <c r="W30" s="361">
        <v>2.089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11.02</v>
      </c>
      <c r="L32" s="314"/>
      <c r="M32" s="314">
        <v>11.03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11.01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80" t="s">
        <v>89</v>
      </c>
      <c r="E34" s="81"/>
      <c r="F34" s="81"/>
      <c r="G34" s="81"/>
      <c r="H34" s="8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83" t="s">
        <v>90</v>
      </c>
      <c r="E35" s="84"/>
      <c r="F35" s="84"/>
      <c r="G35" s="84"/>
      <c r="H35" s="8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83" t="s">
        <v>69</v>
      </c>
      <c r="E37" s="84"/>
      <c r="F37" s="84"/>
      <c r="G37" s="84"/>
      <c r="H37" s="8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80" t="s">
        <v>71</v>
      </c>
      <c r="E38" s="81"/>
      <c r="F38" s="81"/>
      <c r="G38" s="81"/>
      <c r="H38" s="8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83" t="s">
        <v>72</v>
      </c>
      <c r="E39" s="84"/>
      <c r="F39" s="84"/>
      <c r="G39" s="84"/>
      <c r="H39" s="8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8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8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80" t="s">
        <v>75</v>
      </c>
      <c r="E42" s="87"/>
      <c r="F42" s="9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83" t="s">
        <v>76</v>
      </c>
      <c r="E43" s="92"/>
      <c r="F43" s="9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80" t="s">
        <v>77</v>
      </c>
      <c r="E44" s="87"/>
      <c r="F44" s="9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83" t="s">
        <v>78</v>
      </c>
      <c r="E45" s="92"/>
      <c r="F45" s="9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80" t="s">
        <v>79</v>
      </c>
      <c r="E46" s="81"/>
      <c r="F46" s="81"/>
      <c r="G46" s="81"/>
      <c r="H46" s="8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83" t="s">
        <v>80</v>
      </c>
      <c r="E47" s="84"/>
      <c r="F47" s="84"/>
      <c r="G47" s="84"/>
      <c r="H47" s="8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80" t="s">
        <v>81</v>
      </c>
      <c r="E48" s="81"/>
      <c r="F48" s="81"/>
      <c r="G48" s="81"/>
      <c r="H48" s="8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83" t="s">
        <v>82</v>
      </c>
      <c r="E49" s="84"/>
      <c r="F49" s="84"/>
      <c r="G49" s="84"/>
      <c r="H49" s="8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9" priority="9" operator="greaterThan">
      <formula>$AA$28</formula>
    </cfRule>
    <cfRule type="cellIs" dxfId="558" priority="10" operator="lessThan">
      <formula>$AA$29</formula>
    </cfRule>
  </conditionalFormatting>
  <conditionalFormatting sqref="I32:X33">
    <cfRule type="cellIs" dxfId="557" priority="7" operator="greaterThan">
      <formula>$AA$32</formula>
    </cfRule>
    <cfRule type="cellIs" dxfId="556" priority="8" operator="lessThan">
      <formula>$AA$33</formula>
    </cfRule>
  </conditionalFormatting>
  <conditionalFormatting sqref="I30:X31">
    <cfRule type="cellIs" dxfId="555" priority="5" operator="greaterThan">
      <formula>$AA$30</formula>
    </cfRule>
    <cfRule type="cellIs" dxfId="554" priority="6" operator="lessThan">
      <formula>$AA$31</formula>
    </cfRule>
  </conditionalFormatting>
  <conditionalFormatting sqref="I26:X27">
    <cfRule type="cellIs" dxfId="553" priority="3" operator="greaterThan">
      <formula>$AA$26</formula>
    </cfRule>
    <cfRule type="cellIs" dxfId="552" priority="4" operator="lessThan">
      <formula>$AA$27</formula>
    </cfRule>
  </conditionalFormatting>
  <conditionalFormatting sqref="I32:X33">
    <cfRule type="cellIs" dxfId="551" priority="1" operator="greaterThan">
      <formula>$AA$32</formula>
    </cfRule>
    <cfRule type="cellIs" dxfId="55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88" t="s">
        <v>2</v>
      </c>
      <c r="E2" s="42"/>
      <c r="F2" s="273" t="s">
        <v>93</v>
      </c>
      <c r="G2" s="273"/>
      <c r="H2" s="273"/>
      <c r="I2" s="273"/>
      <c r="J2" s="273"/>
      <c r="K2" s="274"/>
      <c r="L2" s="88" t="s">
        <v>4</v>
      </c>
      <c r="M2" s="273">
        <v>9</v>
      </c>
      <c r="N2" s="319"/>
      <c r="O2" s="88" t="s">
        <v>6</v>
      </c>
      <c r="P2" s="322" t="s">
        <v>83</v>
      </c>
      <c r="Q2" s="323"/>
      <c r="R2" s="323"/>
      <c r="S2" s="323"/>
      <c r="T2" s="323"/>
      <c r="U2" s="323"/>
      <c r="V2" s="324"/>
      <c r="W2" s="88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89" t="s">
        <v>3</v>
      </c>
      <c r="E3" s="43"/>
      <c r="F3" s="275"/>
      <c r="G3" s="275"/>
      <c r="H3" s="275"/>
      <c r="I3" s="275"/>
      <c r="J3" s="275"/>
      <c r="K3" s="276"/>
      <c r="L3" s="89" t="s">
        <v>5</v>
      </c>
      <c r="M3" s="320"/>
      <c r="N3" s="321"/>
      <c r="O3" s="89" t="s">
        <v>7</v>
      </c>
      <c r="P3" s="325"/>
      <c r="Q3" s="325"/>
      <c r="R3" s="325"/>
      <c r="S3" s="325"/>
      <c r="T3" s="325"/>
      <c r="U3" s="325"/>
      <c r="V3" s="32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8" t="s">
        <v>9</v>
      </c>
      <c r="P4" s="6"/>
      <c r="Q4" s="327" t="s">
        <v>95</v>
      </c>
      <c r="R4" s="328"/>
      <c r="S4" s="328"/>
      <c r="T4" s="329"/>
      <c r="U4" s="88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89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8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2.0939999999999999</v>
      </c>
      <c r="J26" s="361"/>
      <c r="K26" s="361">
        <v>2.0990000000000002</v>
      </c>
      <c r="L26" s="361"/>
      <c r="M26" s="361">
        <v>2.0990000000000002</v>
      </c>
      <c r="N26" s="361"/>
      <c r="O26" s="361">
        <v>2.101</v>
      </c>
      <c r="P26" s="361"/>
      <c r="Q26" s="361">
        <v>2.0979999999999999</v>
      </c>
      <c r="R26" s="361"/>
      <c r="S26" s="361">
        <v>2.1040000000000001</v>
      </c>
      <c r="T26" s="361"/>
      <c r="U26" s="361">
        <v>2.0990000000000002</v>
      </c>
      <c r="V26" s="361"/>
      <c r="W26" s="361">
        <v>2.0979999999999999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2.089</v>
      </c>
      <c r="J30" s="361"/>
      <c r="K30" s="361">
        <v>2.0950000000000002</v>
      </c>
      <c r="L30" s="361"/>
      <c r="M30" s="361">
        <v>2.1</v>
      </c>
      <c r="N30" s="361"/>
      <c r="O30" s="361">
        <v>2.105</v>
      </c>
      <c r="P30" s="361"/>
      <c r="Q30" s="361">
        <v>2.1019999999999999</v>
      </c>
      <c r="R30" s="361"/>
      <c r="S30" s="361">
        <v>2.0950000000000002</v>
      </c>
      <c r="T30" s="361"/>
      <c r="U30" s="361">
        <v>2.0990000000000002</v>
      </c>
      <c r="V30" s="361"/>
      <c r="W30" s="361">
        <v>2.097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11.01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80" t="s">
        <v>89</v>
      </c>
      <c r="E34" s="81"/>
      <c r="F34" s="81"/>
      <c r="G34" s="81"/>
      <c r="H34" s="8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83" t="s">
        <v>90</v>
      </c>
      <c r="E35" s="84"/>
      <c r="F35" s="84"/>
      <c r="G35" s="84"/>
      <c r="H35" s="8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83" t="s">
        <v>69</v>
      </c>
      <c r="E37" s="84"/>
      <c r="F37" s="84"/>
      <c r="G37" s="84"/>
      <c r="H37" s="8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80" t="s">
        <v>71</v>
      </c>
      <c r="E38" s="81"/>
      <c r="F38" s="81"/>
      <c r="G38" s="81"/>
      <c r="H38" s="8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83" t="s">
        <v>72</v>
      </c>
      <c r="E39" s="84"/>
      <c r="F39" s="84"/>
      <c r="G39" s="84"/>
      <c r="H39" s="8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8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8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80" t="s">
        <v>75</v>
      </c>
      <c r="E42" s="87"/>
      <c r="F42" s="9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83" t="s">
        <v>76</v>
      </c>
      <c r="E43" s="92"/>
      <c r="F43" s="9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80" t="s">
        <v>77</v>
      </c>
      <c r="E44" s="87"/>
      <c r="F44" s="9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83" t="s">
        <v>78</v>
      </c>
      <c r="E45" s="92"/>
      <c r="F45" s="9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80" t="s">
        <v>79</v>
      </c>
      <c r="E46" s="81"/>
      <c r="F46" s="81"/>
      <c r="G46" s="81"/>
      <c r="H46" s="8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83" t="s">
        <v>80</v>
      </c>
      <c r="E47" s="84"/>
      <c r="F47" s="84"/>
      <c r="G47" s="84"/>
      <c r="H47" s="8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80" t="s">
        <v>81</v>
      </c>
      <c r="E48" s="81"/>
      <c r="F48" s="81"/>
      <c r="G48" s="81"/>
      <c r="H48" s="8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83" t="s">
        <v>82</v>
      </c>
      <c r="E49" s="84"/>
      <c r="F49" s="84"/>
      <c r="G49" s="84"/>
      <c r="H49" s="8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49" priority="9" operator="greaterThan">
      <formula>$AA$28</formula>
    </cfRule>
    <cfRule type="cellIs" dxfId="548" priority="10" operator="lessThan">
      <formula>$AA$29</formula>
    </cfRule>
  </conditionalFormatting>
  <conditionalFormatting sqref="I32:X33">
    <cfRule type="cellIs" dxfId="547" priority="7" operator="greaterThan">
      <formula>$AA$32</formula>
    </cfRule>
    <cfRule type="cellIs" dxfId="546" priority="8" operator="lessThan">
      <formula>$AA$33</formula>
    </cfRule>
  </conditionalFormatting>
  <conditionalFormatting sqref="I30:X31">
    <cfRule type="cellIs" dxfId="545" priority="5" operator="greaterThan">
      <formula>$AA$30</formula>
    </cfRule>
    <cfRule type="cellIs" dxfId="544" priority="6" operator="lessThan">
      <formula>$AA$31</formula>
    </cfRule>
  </conditionalFormatting>
  <conditionalFormatting sqref="I26:X27">
    <cfRule type="cellIs" dxfId="543" priority="3" operator="greaterThan">
      <formula>$AA$26</formula>
    </cfRule>
    <cfRule type="cellIs" dxfId="542" priority="4" operator="lessThan">
      <formula>$AA$27</formula>
    </cfRule>
  </conditionalFormatting>
  <conditionalFormatting sqref="I32:X33">
    <cfRule type="cellIs" dxfId="541" priority="1" operator="greaterThan">
      <formula>$AA$32</formula>
    </cfRule>
    <cfRule type="cellIs" dxfId="5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88" t="s">
        <v>2</v>
      </c>
      <c r="E2" s="42"/>
      <c r="F2" s="273" t="s">
        <v>93</v>
      </c>
      <c r="G2" s="273"/>
      <c r="H2" s="273"/>
      <c r="I2" s="273"/>
      <c r="J2" s="273"/>
      <c r="K2" s="274"/>
      <c r="L2" s="88" t="s">
        <v>4</v>
      </c>
      <c r="M2" s="273">
        <v>9</v>
      </c>
      <c r="N2" s="319"/>
      <c r="O2" s="88" t="s">
        <v>6</v>
      </c>
      <c r="P2" s="322" t="s">
        <v>83</v>
      </c>
      <c r="Q2" s="323"/>
      <c r="R2" s="323"/>
      <c r="S2" s="323"/>
      <c r="T2" s="323"/>
      <c r="U2" s="323"/>
      <c r="V2" s="324"/>
      <c r="W2" s="88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89" t="s">
        <v>3</v>
      </c>
      <c r="E3" s="43"/>
      <c r="F3" s="275"/>
      <c r="G3" s="275"/>
      <c r="H3" s="275"/>
      <c r="I3" s="275"/>
      <c r="J3" s="275"/>
      <c r="K3" s="276"/>
      <c r="L3" s="89" t="s">
        <v>5</v>
      </c>
      <c r="M3" s="320"/>
      <c r="N3" s="321"/>
      <c r="O3" s="89" t="s">
        <v>7</v>
      </c>
      <c r="P3" s="325"/>
      <c r="Q3" s="325"/>
      <c r="R3" s="325"/>
      <c r="S3" s="325"/>
      <c r="T3" s="325"/>
      <c r="U3" s="325"/>
      <c r="V3" s="32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27" t="s">
        <v>102</v>
      </c>
      <c r="R4" s="328"/>
      <c r="S4" s="328"/>
      <c r="T4" s="329"/>
      <c r="U4" s="88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89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8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2.101</v>
      </c>
      <c r="J26" s="361"/>
      <c r="K26" s="361">
        <v>2.0990000000000002</v>
      </c>
      <c r="L26" s="361"/>
      <c r="M26" s="361">
        <v>2.101</v>
      </c>
      <c r="N26" s="361"/>
      <c r="O26" s="361">
        <v>2.1030000000000002</v>
      </c>
      <c r="P26" s="361"/>
      <c r="Q26" s="361">
        <v>2.101</v>
      </c>
      <c r="R26" s="361"/>
      <c r="S26" s="361">
        <v>2.1019999999999999</v>
      </c>
      <c r="T26" s="361"/>
      <c r="U26" s="361">
        <v>2.1040000000000001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1.98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</v>
      </c>
      <c r="J30" s="361"/>
      <c r="K30" s="361">
        <v>2.0950000000000002</v>
      </c>
      <c r="L30" s="361"/>
      <c r="M30" s="361">
        <v>2.1019999999999999</v>
      </c>
      <c r="N30" s="361"/>
      <c r="O30" s="361">
        <v>2.1019999999999999</v>
      </c>
      <c r="P30" s="361"/>
      <c r="Q30" s="361">
        <v>2.105</v>
      </c>
      <c r="R30" s="361"/>
      <c r="S30" s="361">
        <v>2.097</v>
      </c>
      <c r="T30" s="361"/>
      <c r="U30" s="361">
        <v>2.0950000000000002</v>
      </c>
      <c r="V30" s="361"/>
      <c r="W30" s="361">
        <v>2.0960000000000001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11.01</v>
      </c>
      <c r="N32" s="314"/>
      <c r="O32" s="314">
        <v>11.02</v>
      </c>
      <c r="P32" s="314"/>
      <c r="Q32" s="314">
        <v>11.03</v>
      </c>
      <c r="R32" s="314"/>
      <c r="S32" s="314">
        <v>11.02</v>
      </c>
      <c r="T32" s="314"/>
      <c r="U32" s="314">
        <v>11.02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80" t="s">
        <v>89</v>
      </c>
      <c r="E34" s="81"/>
      <c r="F34" s="81"/>
      <c r="G34" s="81"/>
      <c r="H34" s="8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83" t="s">
        <v>90</v>
      </c>
      <c r="E35" s="84"/>
      <c r="F35" s="84"/>
      <c r="G35" s="84"/>
      <c r="H35" s="8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83" t="s">
        <v>69</v>
      </c>
      <c r="E37" s="84"/>
      <c r="F37" s="84"/>
      <c r="G37" s="84"/>
      <c r="H37" s="8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80" t="s">
        <v>71</v>
      </c>
      <c r="E38" s="81"/>
      <c r="F38" s="81"/>
      <c r="G38" s="81"/>
      <c r="H38" s="8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83" t="s">
        <v>72</v>
      </c>
      <c r="E39" s="84"/>
      <c r="F39" s="84"/>
      <c r="G39" s="84"/>
      <c r="H39" s="8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8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8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80" t="s">
        <v>75</v>
      </c>
      <c r="E42" s="87"/>
      <c r="F42" s="9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83" t="s">
        <v>76</v>
      </c>
      <c r="E43" s="92"/>
      <c r="F43" s="9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80" t="s">
        <v>77</v>
      </c>
      <c r="E44" s="87"/>
      <c r="F44" s="9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83" t="s">
        <v>78</v>
      </c>
      <c r="E45" s="92"/>
      <c r="F45" s="9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80" t="s">
        <v>79</v>
      </c>
      <c r="E46" s="81"/>
      <c r="F46" s="81"/>
      <c r="G46" s="81"/>
      <c r="H46" s="8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83" t="s">
        <v>80</v>
      </c>
      <c r="E47" s="84"/>
      <c r="F47" s="84"/>
      <c r="G47" s="84"/>
      <c r="H47" s="8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80" t="s">
        <v>81</v>
      </c>
      <c r="E48" s="81"/>
      <c r="F48" s="81"/>
      <c r="G48" s="81"/>
      <c r="H48" s="8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83" t="s">
        <v>82</v>
      </c>
      <c r="E49" s="84"/>
      <c r="F49" s="84"/>
      <c r="G49" s="84"/>
      <c r="H49" s="8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9" priority="9" operator="greaterThan">
      <formula>$AA$28</formula>
    </cfRule>
    <cfRule type="cellIs" dxfId="538" priority="10" operator="lessThan">
      <formula>$AA$29</formula>
    </cfRule>
  </conditionalFormatting>
  <conditionalFormatting sqref="I32:X33">
    <cfRule type="cellIs" dxfId="537" priority="7" operator="greaterThan">
      <formula>$AA$32</formula>
    </cfRule>
    <cfRule type="cellIs" dxfId="536" priority="8" operator="lessThan">
      <formula>$AA$33</formula>
    </cfRule>
  </conditionalFormatting>
  <conditionalFormatting sqref="I30:X31">
    <cfRule type="cellIs" dxfId="535" priority="5" operator="greaterThan">
      <formula>$AA$30</formula>
    </cfRule>
    <cfRule type="cellIs" dxfId="534" priority="6" operator="lessThan">
      <formula>$AA$31</formula>
    </cfRule>
  </conditionalFormatting>
  <conditionalFormatting sqref="I26:X27">
    <cfRule type="cellIs" dxfId="533" priority="3" operator="greaterThan">
      <formula>$AA$26</formula>
    </cfRule>
    <cfRule type="cellIs" dxfId="532" priority="4" operator="lessThan">
      <formula>$AA$27</formula>
    </cfRule>
  </conditionalFormatting>
  <conditionalFormatting sqref="I32:X33">
    <cfRule type="cellIs" dxfId="531" priority="1" operator="greaterThan">
      <formula>$AA$32</formula>
    </cfRule>
    <cfRule type="cellIs" dxfId="53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88" t="s">
        <v>2</v>
      </c>
      <c r="E2" s="42"/>
      <c r="F2" s="273" t="s">
        <v>93</v>
      </c>
      <c r="G2" s="273"/>
      <c r="H2" s="273"/>
      <c r="I2" s="273"/>
      <c r="J2" s="273"/>
      <c r="K2" s="274"/>
      <c r="L2" s="88" t="s">
        <v>4</v>
      </c>
      <c r="M2" s="273">
        <v>9</v>
      </c>
      <c r="N2" s="319"/>
      <c r="O2" s="88" t="s">
        <v>6</v>
      </c>
      <c r="P2" s="322" t="s">
        <v>83</v>
      </c>
      <c r="Q2" s="323"/>
      <c r="R2" s="323"/>
      <c r="S2" s="323"/>
      <c r="T2" s="323"/>
      <c r="U2" s="323"/>
      <c r="V2" s="324"/>
      <c r="W2" s="88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89" t="s">
        <v>3</v>
      </c>
      <c r="E3" s="43"/>
      <c r="F3" s="275"/>
      <c r="G3" s="275"/>
      <c r="H3" s="275"/>
      <c r="I3" s="275"/>
      <c r="J3" s="275"/>
      <c r="K3" s="276"/>
      <c r="L3" s="89" t="s">
        <v>5</v>
      </c>
      <c r="M3" s="320"/>
      <c r="N3" s="321"/>
      <c r="O3" s="89" t="s">
        <v>7</v>
      </c>
      <c r="P3" s="325"/>
      <c r="Q3" s="325"/>
      <c r="R3" s="325"/>
      <c r="S3" s="325"/>
      <c r="T3" s="325"/>
      <c r="U3" s="325"/>
      <c r="V3" s="32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8" t="s">
        <v>9</v>
      </c>
      <c r="P4" s="6"/>
      <c r="Q4" s="327" t="s">
        <v>102</v>
      </c>
      <c r="R4" s="328"/>
      <c r="S4" s="328"/>
      <c r="T4" s="329"/>
      <c r="U4" s="88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89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8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2.0979999999999999</v>
      </c>
      <c r="J26" s="361"/>
      <c r="K26" s="361">
        <v>2.0960000000000001</v>
      </c>
      <c r="L26" s="361"/>
      <c r="M26" s="361">
        <v>2.101</v>
      </c>
      <c r="N26" s="361"/>
      <c r="O26" s="361">
        <v>2.0990000000000002</v>
      </c>
      <c r="P26" s="361"/>
      <c r="Q26" s="361">
        <v>2.1019999999999999</v>
      </c>
      <c r="R26" s="361"/>
      <c r="S26" s="361">
        <v>2.101</v>
      </c>
      <c r="T26" s="361"/>
      <c r="U26" s="361">
        <v>2.0990000000000002</v>
      </c>
      <c r="V26" s="361"/>
      <c r="W26" s="361">
        <v>2.101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2.089</v>
      </c>
      <c r="J30" s="361"/>
      <c r="K30" s="361">
        <v>2.0950000000000002</v>
      </c>
      <c r="L30" s="361"/>
      <c r="M30" s="361">
        <v>2.101</v>
      </c>
      <c r="N30" s="361"/>
      <c r="O30" s="361">
        <v>2.101</v>
      </c>
      <c r="P30" s="361"/>
      <c r="Q30" s="361">
        <v>2.101</v>
      </c>
      <c r="R30" s="361"/>
      <c r="S30" s="361">
        <v>2.1</v>
      </c>
      <c r="T30" s="361"/>
      <c r="U30" s="361">
        <v>2.0960000000000001</v>
      </c>
      <c r="V30" s="361"/>
      <c r="W30" s="361">
        <v>2.1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11.02</v>
      </c>
      <c r="J32" s="314"/>
      <c r="K32" s="314">
        <v>11</v>
      </c>
      <c r="L32" s="314"/>
      <c r="M32" s="314">
        <v>11.03</v>
      </c>
      <c r="N32" s="314"/>
      <c r="O32" s="314">
        <v>11.04</v>
      </c>
      <c r="P32" s="314"/>
      <c r="Q32" s="314">
        <v>11.03</v>
      </c>
      <c r="R32" s="314"/>
      <c r="S32" s="314">
        <v>11.03</v>
      </c>
      <c r="T32" s="314"/>
      <c r="U32" s="314">
        <v>11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80" t="s">
        <v>89</v>
      </c>
      <c r="E34" s="81"/>
      <c r="F34" s="81"/>
      <c r="G34" s="81"/>
      <c r="H34" s="8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83" t="s">
        <v>90</v>
      </c>
      <c r="E35" s="84"/>
      <c r="F35" s="84"/>
      <c r="G35" s="84"/>
      <c r="H35" s="8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83" t="s">
        <v>69</v>
      </c>
      <c r="E37" s="84"/>
      <c r="F37" s="84"/>
      <c r="G37" s="84"/>
      <c r="H37" s="8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80" t="s">
        <v>71</v>
      </c>
      <c r="E38" s="81"/>
      <c r="F38" s="81"/>
      <c r="G38" s="81"/>
      <c r="H38" s="8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83" t="s">
        <v>72</v>
      </c>
      <c r="E39" s="84"/>
      <c r="F39" s="84"/>
      <c r="G39" s="84"/>
      <c r="H39" s="8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8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8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80" t="s">
        <v>75</v>
      </c>
      <c r="E42" s="87"/>
      <c r="F42" s="9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83" t="s">
        <v>76</v>
      </c>
      <c r="E43" s="92"/>
      <c r="F43" s="9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80" t="s">
        <v>77</v>
      </c>
      <c r="E44" s="87"/>
      <c r="F44" s="9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83" t="s">
        <v>78</v>
      </c>
      <c r="E45" s="92"/>
      <c r="F45" s="9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80" t="s">
        <v>79</v>
      </c>
      <c r="E46" s="81"/>
      <c r="F46" s="81"/>
      <c r="G46" s="81"/>
      <c r="H46" s="8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83" t="s">
        <v>80</v>
      </c>
      <c r="E47" s="84"/>
      <c r="F47" s="84"/>
      <c r="G47" s="84"/>
      <c r="H47" s="8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80" t="s">
        <v>81</v>
      </c>
      <c r="E48" s="81"/>
      <c r="F48" s="81"/>
      <c r="G48" s="81"/>
      <c r="H48" s="8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83" t="s">
        <v>82</v>
      </c>
      <c r="E49" s="84"/>
      <c r="F49" s="84"/>
      <c r="G49" s="84"/>
      <c r="H49" s="8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29" priority="9" operator="greaterThan">
      <formula>$AA$28</formula>
    </cfRule>
    <cfRule type="cellIs" dxfId="528" priority="10" operator="lessThan">
      <formula>$AA$29</formula>
    </cfRule>
  </conditionalFormatting>
  <conditionalFormatting sqref="I32:X33">
    <cfRule type="cellIs" dxfId="527" priority="7" operator="greaterThan">
      <formula>$AA$32</formula>
    </cfRule>
    <cfRule type="cellIs" dxfId="526" priority="8" operator="lessThan">
      <formula>$AA$33</formula>
    </cfRule>
  </conditionalFormatting>
  <conditionalFormatting sqref="I30:X31">
    <cfRule type="cellIs" dxfId="525" priority="5" operator="greaterThan">
      <formula>$AA$30</formula>
    </cfRule>
    <cfRule type="cellIs" dxfId="524" priority="6" operator="lessThan">
      <formula>$AA$31</formula>
    </cfRule>
  </conditionalFormatting>
  <conditionalFormatting sqref="I26:X27">
    <cfRule type="cellIs" dxfId="523" priority="3" operator="greaterThan">
      <formula>$AA$26</formula>
    </cfRule>
    <cfRule type="cellIs" dxfId="522" priority="4" operator="lessThan">
      <formula>$AA$27</formula>
    </cfRule>
  </conditionalFormatting>
  <conditionalFormatting sqref="I32:X33">
    <cfRule type="cellIs" dxfId="521" priority="1" operator="greaterThan">
      <formula>$AA$32</formula>
    </cfRule>
    <cfRule type="cellIs" dxfId="5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88" t="s">
        <v>2</v>
      </c>
      <c r="E2" s="42"/>
      <c r="F2" s="273" t="s">
        <v>93</v>
      </c>
      <c r="G2" s="273"/>
      <c r="H2" s="273"/>
      <c r="I2" s="273"/>
      <c r="J2" s="273"/>
      <c r="K2" s="274"/>
      <c r="L2" s="88" t="s">
        <v>4</v>
      </c>
      <c r="M2" s="273">
        <v>9</v>
      </c>
      <c r="N2" s="319"/>
      <c r="O2" s="88" t="s">
        <v>6</v>
      </c>
      <c r="P2" s="322" t="s">
        <v>83</v>
      </c>
      <c r="Q2" s="323"/>
      <c r="R2" s="323"/>
      <c r="S2" s="323"/>
      <c r="T2" s="323"/>
      <c r="U2" s="323"/>
      <c r="V2" s="324"/>
      <c r="W2" s="88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89" t="s">
        <v>3</v>
      </c>
      <c r="E3" s="43"/>
      <c r="F3" s="275"/>
      <c r="G3" s="275"/>
      <c r="H3" s="275"/>
      <c r="I3" s="275"/>
      <c r="J3" s="275"/>
      <c r="K3" s="276"/>
      <c r="L3" s="89" t="s">
        <v>5</v>
      </c>
      <c r="M3" s="320"/>
      <c r="N3" s="321"/>
      <c r="O3" s="89" t="s">
        <v>7</v>
      </c>
      <c r="P3" s="325"/>
      <c r="Q3" s="325"/>
      <c r="R3" s="325"/>
      <c r="S3" s="325"/>
      <c r="T3" s="325"/>
      <c r="U3" s="325"/>
      <c r="V3" s="32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27" t="s">
        <v>103</v>
      </c>
      <c r="R4" s="328"/>
      <c r="S4" s="328"/>
      <c r="T4" s="329"/>
      <c r="U4" s="88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89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8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2.105</v>
      </c>
      <c r="J26" s="361"/>
      <c r="K26" s="361">
        <v>2.1019999999999999</v>
      </c>
      <c r="L26" s="361"/>
      <c r="M26" s="361">
        <v>2.1030000000000002</v>
      </c>
      <c r="N26" s="361"/>
      <c r="O26" s="361">
        <v>2.105</v>
      </c>
      <c r="P26" s="361"/>
      <c r="Q26" s="361">
        <v>2.101</v>
      </c>
      <c r="R26" s="361"/>
      <c r="S26" s="361">
        <v>2.0990000000000002</v>
      </c>
      <c r="T26" s="361"/>
      <c r="U26" s="361">
        <v>2.0990000000000002</v>
      </c>
      <c r="V26" s="361"/>
      <c r="W26" s="361">
        <v>2.1059999999999999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1.98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2.0990000000000002</v>
      </c>
      <c r="J30" s="361"/>
      <c r="K30" s="361">
        <v>2.097</v>
      </c>
      <c r="L30" s="361"/>
      <c r="M30" s="361">
        <v>2.1030000000000002</v>
      </c>
      <c r="N30" s="361"/>
      <c r="O30" s="361">
        <v>2.1030000000000002</v>
      </c>
      <c r="P30" s="361"/>
      <c r="Q30" s="361">
        <v>2.1019999999999999</v>
      </c>
      <c r="R30" s="361"/>
      <c r="S30" s="361">
        <v>2.101</v>
      </c>
      <c r="T30" s="361"/>
      <c r="U30" s="361">
        <v>2.0960000000000001</v>
      </c>
      <c r="V30" s="361"/>
      <c r="W30" s="361">
        <v>2.1080000000000001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11.01</v>
      </c>
      <c r="L32" s="314"/>
      <c r="M32" s="314">
        <v>11.02</v>
      </c>
      <c r="N32" s="314"/>
      <c r="O32" s="314">
        <v>11.03</v>
      </c>
      <c r="P32" s="314"/>
      <c r="Q32" s="314">
        <v>11.04</v>
      </c>
      <c r="R32" s="314"/>
      <c r="S32" s="314">
        <v>11.02</v>
      </c>
      <c r="T32" s="314"/>
      <c r="U32" s="314">
        <v>11.01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80" t="s">
        <v>89</v>
      </c>
      <c r="E34" s="81"/>
      <c r="F34" s="81"/>
      <c r="G34" s="81"/>
      <c r="H34" s="8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83" t="s">
        <v>90</v>
      </c>
      <c r="E35" s="84"/>
      <c r="F35" s="84"/>
      <c r="G35" s="84"/>
      <c r="H35" s="8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83" t="s">
        <v>69</v>
      </c>
      <c r="E37" s="84"/>
      <c r="F37" s="84"/>
      <c r="G37" s="84"/>
      <c r="H37" s="8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80" t="s">
        <v>71</v>
      </c>
      <c r="E38" s="81"/>
      <c r="F38" s="81"/>
      <c r="G38" s="81"/>
      <c r="H38" s="8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83" t="s">
        <v>72</v>
      </c>
      <c r="E39" s="84"/>
      <c r="F39" s="84"/>
      <c r="G39" s="84"/>
      <c r="H39" s="8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8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8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80" t="s">
        <v>75</v>
      </c>
      <c r="E42" s="87"/>
      <c r="F42" s="9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83" t="s">
        <v>76</v>
      </c>
      <c r="E43" s="92"/>
      <c r="F43" s="9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80" t="s">
        <v>77</v>
      </c>
      <c r="E44" s="87"/>
      <c r="F44" s="9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83" t="s">
        <v>78</v>
      </c>
      <c r="E45" s="92"/>
      <c r="F45" s="9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80" t="s">
        <v>79</v>
      </c>
      <c r="E46" s="81"/>
      <c r="F46" s="81"/>
      <c r="G46" s="81"/>
      <c r="H46" s="8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83" t="s">
        <v>80</v>
      </c>
      <c r="E47" s="84"/>
      <c r="F47" s="84"/>
      <c r="G47" s="84"/>
      <c r="H47" s="8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80" t="s">
        <v>81</v>
      </c>
      <c r="E48" s="81"/>
      <c r="F48" s="81"/>
      <c r="G48" s="81"/>
      <c r="H48" s="8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83" t="s">
        <v>82</v>
      </c>
      <c r="E49" s="84"/>
      <c r="F49" s="84"/>
      <c r="G49" s="84"/>
      <c r="H49" s="8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9" priority="9" operator="greaterThan">
      <formula>$AA$28</formula>
    </cfRule>
    <cfRule type="cellIs" dxfId="518" priority="10" operator="lessThan">
      <formula>$AA$29</formula>
    </cfRule>
  </conditionalFormatting>
  <conditionalFormatting sqref="I32:X33">
    <cfRule type="cellIs" dxfId="517" priority="7" operator="greaterThan">
      <formula>$AA$32</formula>
    </cfRule>
    <cfRule type="cellIs" dxfId="516" priority="8" operator="lessThan">
      <formula>$AA$33</formula>
    </cfRule>
  </conditionalFormatting>
  <conditionalFormatting sqref="I30:X31">
    <cfRule type="cellIs" dxfId="515" priority="5" operator="greaterThan">
      <formula>$AA$30</formula>
    </cfRule>
    <cfRule type="cellIs" dxfId="514" priority="6" operator="lessThan">
      <formula>$AA$31</formula>
    </cfRule>
  </conditionalFormatting>
  <conditionalFormatting sqref="I26:X27">
    <cfRule type="cellIs" dxfId="513" priority="3" operator="greaterThan">
      <formula>$AA$26</formula>
    </cfRule>
    <cfRule type="cellIs" dxfId="512" priority="4" operator="lessThan">
      <formula>$AA$27</formula>
    </cfRule>
  </conditionalFormatting>
  <conditionalFormatting sqref="I32:X33">
    <cfRule type="cellIs" dxfId="511" priority="1" operator="greaterThan">
      <formula>$AA$32</formula>
    </cfRule>
    <cfRule type="cellIs" dxfId="51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M26" sqref="M26:N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88" t="s">
        <v>2</v>
      </c>
      <c r="E2" s="42"/>
      <c r="F2" s="273" t="s">
        <v>93</v>
      </c>
      <c r="G2" s="273"/>
      <c r="H2" s="273"/>
      <c r="I2" s="273"/>
      <c r="J2" s="273"/>
      <c r="K2" s="274"/>
      <c r="L2" s="88" t="s">
        <v>4</v>
      </c>
      <c r="M2" s="273">
        <v>9</v>
      </c>
      <c r="N2" s="319"/>
      <c r="O2" s="88" t="s">
        <v>6</v>
      </c>
      <c r="P2" s="322" t="s">
        <v>83</v>
      </c>
      <c r="Q2" s="323"/>
      <c r="R2" s="323"/>
      <c r="S2" s="323"/>
      <c r="T2" s="323"/>
      <c r="U2" s="323"/>
      <c r="V2" s="324"/>
      <c r="W2" s="88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89" t="s">
        <v>3</v>
      </c>
      <c r="E3" s="43"/>
      <c r="F3" s="275"/>
      <c r="G3" s="275"/>
      <c r="H3" s="275"/>
      <c r="I3" s="275"/>
      <c r="J3" s="275"/>
      <c r="K3" s="276"/>
      <c r="L3" s="89" t="s">
        <v>5</v>
      </c>
      <c r="M3" s="320"/>
      <c r="N3" s="321"/>
      <c r="O3" s="89" t="s">
        <v>7</v>
      </c>
      <c r="P3" s="325"/>
      <c r="Q3" s="325"/>
      <c r="R3" s="325"/>
      <c r="S3" s="325"/>
      <c r="T3" s="325"/>
      <c r="U3" s="325"/>
      <c r="V3" s="32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8" t="s">
        <v>9</v>
      </c>
      <c r="P4" s="6"/>
      <c r="Q4" s="327" t="s">
        <v>103</v>
      </c>
      <c r="R4" s="328"/>
      <c r="S4" s="328"/>
      <c r="T4" s="329"/>
      <c r="U4" s="88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89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8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2.097</v>
      </c>
      <c r="J26" s="361"/>
      <c r="K26" s="361">
        <v>2.1</v>
      </c>
      <c r="L26" s="361"/>
      <c r="M26" s="361">
        <v>2.1030000000000002</v>
      </c>
      <c r="N26" s="361"/>
      <c r="O26" s="361">
        <v>2.1</v>
      </c>
      <c r="P26" s="361"/>
      <c r="Q26" s="361">
        <v>2.0990000000000002</v>
      </c>
      <c r="R26" s="361"/>
      <c r="S26" s="361">
        <v>2.1</v>
      </c>
      <c r="T26" s="361"/>
      <c r="U26" s="361">
        <v>2.1030000000000002</v>
      </c>
      <c r="V26" s="361"/>
      <c r="W26" s="361">
        <v>2.0979999999999999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2.0910000000000002</v>
      </c>
      <c r="J30" s="361"/>
      <c r="K30" s="361">
        <v>2.097</v>
      </c>
      <c r="L30" s="361"/>
      <c r="M30" s="361">
        <v>2.0990000000000002</v>
      </c>
      <c r="N30" s="361"/>
      <c r="O30" s="361">
        <v>2.1030000000000002</v>
      </c>
      <c r="P30" s="361"/>
      <c r="Q30" s="361">
        <v>2.1030000000000002</v>
      </c>
      <c r="R30" s="361"/>
      <c r="S30" s="361">
        <v>2.1019999999999999</v>
      </c>
      <c r="T30" s="361"/>
      <c r="U30" s="361">
        <v>2.1</v>
      </c>
      <c r="V30" s="361"/>
      <c r="W30" s="361">
        <v>2.0939999999999999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11.01</v>
      </c>
      <c r="J32" s="314"/>
      <c r="K32" s="314">
        <v>11.01</v>
      </c>
      <c r="L32" s="314"/>
      <c r="M32" s="314">
        <v>11.03</v>
      </c>
      <c r="N32" s="314"/>
      <c r="O32" s="314">
        <v>11.04</v>
      </c>
      <c r="P32" s="314"/>
      <c r="Q32" s="314">
        <v>11.03</v>
      </c>
      <c r="R32" s="314"/>
      <c r="S32" s="314">
        <v>11.02</v>
      </c>
      <c r="T32" s="314"/>
      <c r="U32" s="314">
        <v>11</v>
      </c>
      <c r="V32" s="314"/>
      <c r="W32" s="314">
        <v>11.02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80" t="s">
        <v>89</v>
      </c>
      <c r="E34" s="81"/>
      <c r="F34" s="81"/>
      <c r="G34" s="81"/>
      <c r="H34" s="8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83" t="s">
        <v>90</v>
      </c>
      <c r="E35" s="84"/>
      <c r="F35" s="84"/>
      <c r="G35" s="84"/>
      <c r="H35" s="8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83" t="s">
        <v>69</v>
      </c>
      <c r="E37" s="84"/>
      <c r="F37" s="84"/>
      <c r="G37" s="84"/>
      <c r="H37" s="8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80" t="s">
        <v>71</v>
      </c>
      <c r="E38" s="81"/>
      <c r="F38" s="81"/>
      <c r="G38" s="81"/>
      <c r="H38" s="8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83" t="s">
        <v>72</v>
      </c>
      <c r="E39" s="84"/>
      <c r="F39" s="84"/>
      <c r="G39" s="84"/>
      <c r="H39" s="8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8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8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80" t="s">
        <v>75</v>
      </c>
      <c r="E42" s="87"/>
      <c r="F42" s="9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83" t="s">
        <v>76</v>
      </c>
      <c r="E43" s="92"/>
      <c r="F43" s="9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80" t="s">
        <v>77</v>
      </c>
      <c r="E44" s="87"/>
      <c r="F44" s="9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83" t="s">
        <v>78</v>
      </c>
      <c r="E45" s="92"/>
      <c r="F45" s="9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80" t="s">
        <v>79</v>
      </c>
      <c r="E46" s="81"/>
      <c r="F46" s="81"/>
      <c r="G46" s="81"/>
      <c r="H46" s="8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83" t="s">
        <v>80</v>
      </c>
      <c r="E47" s="84"/>
      <c r="F47" s="84"/>
      <c r="G47" s="84"/>
      <c r="H47" s="8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80" t="s">
        <v>81</v>
      </c>
      <c r="E48" s="81"/>
      <c r="F48" s="81"/>
      <c r="G48" s="81"/>
      <c r="H48" s="8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83" t="s">
        <v>82</v>
      </c>
      <c r="E49" s="84"/>
      <c r="F49" s="84"/>
      <c r="G49" s="84"/>
      <c r="H49" s="8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09" priority="9" operator="greaterThan">
      <formula>$AA$28</formula>
    </cfRule>
    <cfRule type="cellIs" dxfId="508" priority="10" operator="lessThan">
      <formula>$AA$29</formula>
    </cfRule>
  </conditionalFormatting>
  <conditionalFormatting sqref="I32:X33">
    <cfRule type="cellIs" dxfId="507" priority="7" operator="greaterThan">
      <formula>$AA$32</formula>
    </cfRule>
    <cfRule type="cellIs" dxfId="506" priority="8" operator="lessThan">
      <formula>$AA$33</formula>
    </cfRule>
  </conditionalFormatting>
  <conditionalFormatting sqref="I30:X31">
    <cfRule type="cellIs" dxfId="505" priority="5" operator="greaterThan">
      <formula>$AA$30</formula>
    </cfRule>
    <cfRule type="cellIs" dxfId="504" priority="6" operator="lessThan">
      <formula>$AA$31</formula>
    </cfRule>
  </conditionalFormatting>
  <conditionalFormatting sqref="I26:X27">
    <cfRule type="cellIs" dxfId="503" priority="3" operator="greaterThan">
      <formula>$AA$26</formula>
    </cfRule>
    <cfRule type="cellIs" dxfId="502" priority="4" operator="lessThan">
      <formula>$AA$27</formula>
    </cfRule>
  </conditionalFormatting>
  <conditionalFormatting sqref="I32:X33">
    <cfRule type="cellIs" dxfId="501" priority="1" operator="greaterThan">
      <formula>$AA$32</formula>
    </cfRule>
    <cfRule type="cellIs" dxfId="50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01" t="s">
        <v>2</v>
      </c>
      <c r="E2" s="42"/>
      <c r="F2" s="273" t="s">
        <v>93</v>
      </c>
      <c r="G2" s="273"/>
      <c r="H2" s="273"/>
      <c r="I2" s="273"/>
      <c r="J2" s="273"/>
      <c r="K2" s="274"/>
      <c r="L2" s="101" t="s">
        <v>4</v>
      </c>
      <c r="M2" s="273">
        <v>9</v>
      </c>
      <c r="N2" s="319"/>
      <c r="O2" s="101" t="s">
        <v>6</v>
      </c>
      <c r="P2" s="322" t="s">
        <v>83</v>
      </c>
      <c r="Q2" s="323"/>
      <c r="R2" s="323"/>
      <c r="S2" s="323"/>
      <c r="T2" s="323"/>
      <c r="U2" s="323"/>
      <c r="V2" s="324"/>
      <c r="W2" s="101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02" t="s">
        <v>3</v>
      </c>
      <c r="E3" s="43"/>
      <c r="F3" s="275"/>
      <c r="G3" s="275"/>
      <c r="H3" s="275"/>
      <c r="I3" s="275"/>
      <c r="J3" s="275"/>
      <c r="K3" s="276"/>
      <c r="L3" s="102" t="s">
        <v>5</v>
      </c>
      <c r="M3" s="320"/>
      <c r="N3" s="321"/>
      <c r="O3" s="102" t="s">
        <v>7</v>
      </c>
      <c r="P3" s="325"/>
      <c r="Q3" s="325"/>
      <c r="R3" s="325"/>
      <c r="S3" s="325"/>
      <c r="T3" s="325"/>
      <c r="U3" s="325"/>
      <c r="V3" s="326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27" t="s">
        <v>104</v>
      </c>
      <c r="R4" s="328"/>
      <c r="S4" s="328"/>
      <c r="T4" s="329"/>
      <c r="U4" s="101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02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99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2.0979999999999999</v>
      </c>
      <c r="J26" s="361"/>
      <c r="K26" s="361">
        <v>2.0979999999999999</v>
      </c>
      <c r="L26" s="361"/>
      <c r="M26" s="361">
        <v>2.1019999999999999</v>
      </c>
      <c r="N26" s="361"/>
      <c r="O26" s="361">
        <v>2.1059999999999999</v>
      </c>
      <c r="P26" s="361"/>
      <c r="Q26" s="361">
        <v>2.101</v>
      </c>
      <c r="R26" s="361"/>
      <c r="S26" s="361">
        <v>2.0979999999999999</v>
      </c>
      <c r="T26" s="361"/>
      <c r="U26" s="361">
        <v>2.0979999999999999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2.0979999999999999</v>
      </c>
      <c r="J30" s="361"/>
      <c r="K30" s="361">
        <v>2.0960000000000001</v>
      </c>
      <c r="L30" s="361"/>
      <c r="M30" s="361">
        <v>2.1</v>
      </c>
      <c r="N30" s="361"/>
      <c r="O30" s="361">
        <v>2.1</v>
      </c>
      <c r="P30" s="361"/>
      <c r="Q30" s="361">
        <v>2.1030000000000002</v>
      </c>
      <c r="R30" s="361"/>
      <c r="S30" s="361">
        <v>2.0979999999999999</v>
      </c>
      <c r="T30" s="361"/>
      <c r="U30" s="361">
        <v>2.0990000000000002</v>
      </c>
      <c r="V30" s="361"/>
      <c r="W30" s="361">
        <v>2.093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11.01</v>
      </c>
      <c r="J32" s="314"/>
      <c r="K32" s="314">
        <v>11.01</v>
      </c>
      <c r="L32" s="314"/>
      <c r="M32" s="314">
        <v>11.02</v>
      </c>
      <c r="N32" s="314"/>
      <c r="O32" s="314">
        <v>11.03</v>
      </c>
      <c r="P32" s="314"/>
      <c r="Q32" s="314">
        <v>11.02</v>
      </c>
      <c r="R32" s="314"/>
      <c r="S32" s="314">
        <v>11.03</v>
      </c>
      <c r="T32" s="314"/>
      <c r="U32" s="314">
        <v>11.02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93" t="s">
        <v>89</v>
      </c>
      <c r="E34" s="94"/>
      <c r="F34" s="94"/>
      <c r="G34" s="94"/>
      <c r="H34" s="95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96" t="s">
        <v>90</v>
      </c>
      <c r="E35" s="97"/>
      <c r="F35" s="97"/>
      <c r="G35" s="97"/>
      <c r="H35" s="98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96" t="s">
        <v>69</v>
      </c>
      <c r="E37" s="97"/>
      <c r="F37" s="97"/>
      <c r="G37" s="97"/>
      <c r="H37" s="98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93" t="s">
        <v>71</v>
      </c>
      <c r="E38" s="94"/>
      <c r="F38" s="94"/>
      <c r="G38" s="94"/>
      <c r="H38" s="95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96" t="s">
        <v>72</v>
      </c>
      <c r="E39" s="97"/>
      <c r="F39" s="97"/>
      <c r="G39" s="97"/>
      <c r="H39" s="98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93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96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93" t="s">
        <v>75</v>
      </c>
      <c r="E42" s="100"/>
      <c r="F42" s="104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96" t="s">
        <v>76</v>
      </c>
      <c r="E43" s="105"/>
      <c r="F43" s="105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93" t="s">
        <v>77</v>
      </c>
      <c r="E44" s="100"/>
      <c r="F44" s="104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96" t="s">
        <v>78</v>
      </c>
      <c r="E45" s="105"/>
      <c r="F45" s="105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93" t="s">
        <v>79</v>
      </c>
      <c r="E46" s="94"/>
      <c r="F46" s="94"/>
      <c r="G46" s="94"/>
      <c r="H46" s="95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96" t="s">
        <v>80</v>
      </c>
      <c r="E47" s="97"/>
      <c r="F47" s="97"/>
      <c r="G47" s="97"/>
      <c r="H47" s="98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93" t="s">
        <v>81</v>
      </c>
      <c r="E48" s="94"/>
      <c r="F48" s="94"/>
      <c r="G48" s="94"/>
      <c r="H48" s="95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96" t="s">
        <v>82</v>
      </c>
      <c r="E49" s="97"/>
      <c r="F49" s="97"/>
      <c r="G49" s="97"/>
      <c r="H49" s="98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99" priority="9" operator="greaterThan">
      <formula>$AA$28</formula>
    </cfRule>
    <cfRule type="cellIs" dxfId="498" priority="10" operator="lessThan">
      <formula>$AA$29</formula>
    </cfRule>
  </conditionalFormatting>
  <conditionalFormatting sqref="I32:X33">
    <cfRule type="cellIs" dxfId="497" priority="7" operator="greaterThan">
      <formula>$AA$32</formula>
    </cfRule>
    <cfRule type="cellIs" dxfId="496" priority="8" operator="lessThan">
      <formula>$AA$33</formula>
    </cfRule>
  </conditionalFormatting>
  <conditionalFormatting sqref="I30:X31">
    <cfRule type="cellIs" dxfId="495" priority="5" operator="greaterThan">
      <formula>$AA$30</formula>
    </cfRule>
    <cfRule type="cellIs" dxfId="494" priority="6" operator="lessThan">
      <formula>$AA$31</formula>
    </cfRule>
  </conditionalFormatting>
  <conditionalFormatting sqref="I26:X27">
    <cfRule type="cellIs" dxfId="493" priority="3" operator="greaterThan">
      <formula>$AA$26</formula>
    </cfRule>
    <cfRule type="cellIs" dxfId="492" priority="4" operator="lessThan">
      <formula>$AA$27</formula>
    </cfRule>
  </conditionalFormatting>
  <conditionalFormatting sqref="I32:X33">
    <cfRule type="cellIs" dxfId="491" priority="1" operator="greaterThan">
      <formula>$AA$32</formula>
    </cfRule>
    <cfRule type="cellIs" dxfId="4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01" t="s">
        <v>2</v>
      </c>
      <c r="E2" s="42"/>
      <c r="F2" s="273" t="s">
        <v>93</v>
      </c>
      <c r="G2" s="273"/>
      <c r="H2" s="273"/>
      <c r="I2" s="273"/>
      <c r="J2" s="273"/>
      <c r="K2" s="274"/>
      <c r="L2" s="101" t="s">
        <v>4</v>
      </c>
      <c r="M2" s="273">
        <v>9</v>
      </c>
      <c r="N2" s="319"/>
      <c r="O2" s="101" t="s">
        <v>6</v>
      </c>
      <c r="P2" s="322" t="s">
        <v>83</v>
      </c>
      <c r="Q2" s="323"/>
      <c r="R2" s="323"/>
      <c r="S2" s="323"/>
      <c r="T2" s="323"/>
      <c r="U2" s="323"/>
      <c r="V2" s="324"/>
      <c r="W2" s="101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02" t="s">
        <v>3</v>
      </c>
      <c r="E3" s="43"/>
      <c r="F3" s="275"/>
      <c r="G3" s="275"/>
      <c r="H3" s="275"/>
      <c r="I3" s="275"/>
      <c r="J3" s="275"/>
      <c r="K3" s="276"/>
      <c r="L3" s="102" t="s">
        <v>5</v>
      </c>
      <c r="M3" s="320"/>
      <c r="N3" s="321"/>
      <c r="O3" s="102" t="s">
        <v>7</v>
      </c>
      <c r="P3" s="325"/>
      <c r="Q3" s="325"/>
      <c r="R3" s="325"/>
      <c r="S3" s="325"/>
      <c r="T3" s="325"/>
      <c r="U3" s="325"/>
      <c r="V3" s="326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01" t="s">
        <v>9</v>
      </c>
      <c r="P4" s="6"/>
      <c r="Q4" s="327" t="s">
        <v>104</v>
      </c>
      <c r="R4" s="328"/>
      <c r="S4" s="328"/>
      <c r="T4" s="329"/>
      <c r="U4" s="101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02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99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2.0939999999999999</v>
      </c>
      <c r="J26" s="361"/>
      <c r="K26" s="361">
        <v>2.1019999999999999</v>
      </c>
      <c r="L26" s="361"/>
      <c r="M26" s="361">
        <v>2.0990000000000002</v>
      </c>
      <c r="N26" s="361"/>
      <c r="O26" s="361">
        <v>2.1019999999999999</v>
      </c>
      <c r="P26" s="361"/>
      <c r="Q26" s="361">
        <v>2.0979999999999999</v>
      </c>
      <c r="R26" s="361"/>
      <c r="S26" s="361">
        <v>2.1019999999999999</v>
      </c>
      <c r="T26" s="361"/>
      <c r="U26" s="361">
        <v>2.1019999999999999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2.089</v>
      </c>
      <c r="J30" s="361"/>
      <c r="K30" s="361">
        <v>2.093</v>
      </c>
      <c r="L30" s="361"/>
      <c r="M30" s="361">
        <v>2.097</v>
      </c>
      <c r="N30" s="361"/>
      <c r="O30" s="361">
        <v>2.1</v>
      </c>
      <c r="P30" s="361"/>
      <c r="Q30" s="361">
        <v>2.101</v>
      </c>
      <c r="R30" s="361"/>
      <c r="S30" s="361">
        <v>2.1030000000000002</v>
      </c>
      <c r="T30" s="361"/>
      <c r="U30" s="361">
        <v>2.0920000000000001</v>
      </c>
      <c r="V30" s="361"/>
      <c r="W30" s="361">
        <v>2.09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11.03</v>
      </c>
      <c r="J32" s="314"/>
      <c r="K32" s="314">
        <v>11.05</v>
      </c>
      <c r="L32" s="314"/>
      <c r="M32" s="314">
        <v>11.021000000000001</v>
      </c>
      <c r="N32" s="314"/>
      <c r="O32" s="314">
        <v>11.04</v>
      </c>
      <c r="P32" s="314"/>
      <c r="Q32" s="314">
        <v>11.02</v>
      </c>
      <c r="R32" s="314"/>
      <c r="S32" s="314">
        <v>11.03</v>
      </c>
      <c r="T32" s="314"/>
      <c r="U32" s="314">
        <v>11.01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93" t="s">
        <v>89</v>
      </c>
      <c r="E34" s="94"/>
      <c r="F34" s="94"/>
      <c r="G34" s="94"/>
      <c r="H34" s="95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96" t="s">
        <v>90</v>
      </c>
      <c r="E35" s="97"/>
      <c r="F35" s="97"/>
      <c r="G35" s="97"/>
      <c r="H35" s="98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96" t="s">
        <v>69</v>
      </c>
      <c r="E37" s="97"/>
      <c r="F37" s="97"/>
      <c r="G37" s="97"/>
      <c r="H37" s="98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93" t="s">
        <v>71</v>
      </c>
      <c r="E38" s="94"/>
      <c r="F38" s="94"/>
      <c r="G38" s="94"/>
      <c r="H38" s="95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96" t="s">
        <v>72</v>
      </c>
      <c r="E39" s="97"/>
      <c r="F39" s="97"/>
      <c r="G39" s="97"/>
      <c r="H39" s="98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93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96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93" t="s">
        <v>75</v>
      </c>
      <c r="E42" s="100"/>
      <c r="F42" s="104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96" t="s">
        <v>76</v>
      </c>
      <c r="E43" s="105"/>
      <c r="F43" s="105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93" t="s">
        <v>77</v>
      </c>
      <c r="E44" s="100"/>
      <c r="F44" s="104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96" t="s">
        <v>78</v>
      </c>
      <c r="E45" s="105"/>
      <c r="F45" s="105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93" t="s">
        <v>79</v>
      </c>
      <c r="E46" s="94"/>
      <c r="F46" s="94"/>
      <c r="G46" s="94"/>
      <c r="H46" s="95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96" t="s">
        <v>80</v>
      </c>
      <c r="E47" s="97"/>
      <c r="F47" s="97"/>
      <c r="G47" s="97"/>
      <c r="H47" s="98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93" t="s">
        <v>81</v>
      </c>
      <c r="E48" s="94"/>
      <c r="F48" s="94"/>
      <c r="G48" s="94"/>
      <c r="H48" s="95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96" t="s">
        <v>82</v>
      </c>
      <c r="E49" s="97"/>
      <c r="F49" s="97"/>
      <c r="G49" s="97"/>
      <c r="H49" s="98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89" priority="9" operator="greaterThan">
      <formula>$AA$28</formula>
    </cfRule>
    <cfRule type="cellIs" dxfId="488" priority="10" operator="lessThan">
      <formula>$AA$29</formula>
    </cfRule>
  </conditionalFormatting>
  <conditionalFormatting sqref="I32:X33">
    <cfRule type="cellIs" dxfId="487" priority="7" operator="greaterThan">
      <formula>$AA$32</formula>
    </cfRule>
    <cfRule type="cellIs" dxfId="486" priority="8" operator="lessThan">
      <formula>$AA$33</formula>
    </cfRule>
  </conditionalFormatting>
  <conditionalFormatting sqref="I30:X31">
    <cfRule type="cellIs" dxfId="485" priority="5" operator="greaterThan">
      <formula>$AA$30</formula>
    </cfRule>
    <cfRule type="cellIs" dxfId="484" priority="6" operator="lessThan">
      <formula>$AA$31</formula>
    </cfRule>
  </conditionalFormatting>
  <conditionalFormatting sqref="I26:X27">
    <cfRule type="cellIs" dxfId="483" priority="3" operator="greaterThan">
      <formula>$AA$26</formula>
    </cfRule>
    <cfRule type="cellIs" dxfId="482" priority="4" operator="lessThan">
      <formula>$AA$27</formula>
    </cfRule>
  </conditionalFormatting>
  <conditionalFormatting sqref="I32:X33">
    <cfRule type="cellIs" dxfId="481" priority="1" operator="greaterThan">
      <formula>$AA$32</formula>
    </cfRule>
    <cfRule type="cellIs" dxfId="4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14" t="s">
        <v>2</v>
      </c>
      <c r="E2" s="42"/>
      <c r="F2" s="273" t="s">
        <v>93</v>
      </c>
      <c r="G2" s="273"/>
      <c r="H2" s="273"/>
      <c r="I2" s="273"/>
      <c r="J2" s="273"/>
      <c r="K2" s="274"/>
      <c r="L2" s="114" t="s">
        <v>4</v>
      </c>
      <c r="M2" s="273">
        <v>9</v>
      </c>
      <c r="N2" s="319"/>
      <c r="O2" s="114" t="s">
        <v>6</v>
      </c>
      <c r="P2" s="322" t="s">
        <v>83</v>
      </c>
      <c r="Q2" s="323"/>
      <c r="R2" s="323"/>
      <c r="S2" s="323"/>
      <c r="T2" s="323"/>
      <c r="U2" s="323"/>
      <c r="V2" s="324"/>
      <c r="W2" s="114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15" t="s">
        <v>3</v>
      </c>
      <c r="E3" s="43"/>
      <c r="F3" s="275"/>
      <c r="G3" s="275"/>
      <c r="H3" s="275"/>
      <c r="I3" s="275"/>
      <c r="J3" s="275"/>
      <c r="K3" s="276"/>
      <c r="L3" s="115" t="s">
        <v>5</v>
      </c>
      <c r="M3" s="320"/>
      <c r="N3" s="321"/>
      <c r="O3" s="115" t="s">
        <v>7</v>
      </c>
      <c r="P3" s="325"/>
      <c r="Q3" s="325"/>
      <c r="R3" s="325"/>
      <c r="S3" s="325"/>
      <c r="T3" s="325"/>
      <c r="U3" s="325"/>
      <c r="V3" s="32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327" t="s">
        <v>105</v>
      </c>
      <c r="R4" s="328"/>
      <c r="S4" s="328"/>
      <c r="T4" s="329"/>
      <c r="U4" s="11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1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1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2.1030000000000002</v>
      </c>
      <c r="J26" s="361"/>
      <c r="K26" s="361">
        <v>2.0939999999999999</v>
      </c>
      <c r="L26" s="361"/>
      <c r="M26" s="361">
        <v>2.105</v>
      </c>
      <c r="N26" s="361"/>
      <c r="O26" s="361">
        <v>2.1030000000000002</v>
      </c>
      <c r="P26" s="361"/>
      <c r="Q26" s="361">
        <v>2.105</v>
      </c>
      <c r="R26" s="361"/>
      <c r="S26" s="361">
        <v>2.1030000000000002</v>
      </c>
      <c r="T26" s="361"/>
      <c r="U26" s="361">
        <v>2.1</v>
      </c>
      <c r="V26" s="361"/>
      <c r="W26" s="361">
        <v>2.0960000000000001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2.1080000000000001</v>
      </c>
      <c r="J30" s="361"/>
      <c r="K30" s="361">
        <v>2.1</v>
      </c>
      <c r="L30" s="361"/>
      <c r="M30" s="361">
        <v>2.1030000000000002</v>
      </c>
      <c r="N30" s="361"/>
      <c r="O30" s="361">
        <v>2.1040000000000001</v>
      </c>
      <c r="P30" s="361"/>
      <c r="Q30" s="361">
        <v>2.1080000000000001</v>
      </c>
      <c r="R30" s="361"/>
      <c r="S30" s="361">
        <v>2.1</v>
      </c>
      <c r="T30" s="361"/>
      <c r="U30" s="361">
        <v>2.1030000000000002</v>
      </c>
      <c r="V30" s="361"/>
      <c r="W30" s="361">
        <v>2.097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</v>
      </c>
      <c r="L32" s="314"/>
      <c r="M32" s="314">
        <v>11.02</v>
      </c>
      <c r="N32" s="314"/>
      <c r="O32" s="314">
        <v>11.03</v>
      </c>
      <c r="P32" s="314"/>
      <c r="Q32" s="314">
        <v>11.02</v>
      </c>
      <c r="R32" s="314"/>
      <c r="S32" s="314">
        <v>11.03</v>
      </c>
      <c r="T32" s="314"/>
      <c r="U32" s="314">
        <v>11.01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06" t="s">
        <v>89</v>
      </c>
      <c r="E34" s="107"/>
      <c r="F34" s="107"/>
      <c r="G34" s="107"/>
      <c r="H34" s="108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09" t="s">
        <v>90</v>
      </c>
      <c r="E35" s="110"/>
      <c r="F35" s="110"/>
      <c r="G35" s="110"/>
      <c r="H35" s="111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09" t="s">
        <v>69</v>
      </c>
      <c r="E37" s="110"/>
      <c r="F37" s="110"/>
      <c r="G37" s="110"/>
      <c r="H37" s="111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06" t="s">
        <v>71</v>
      </c>
      <c r="E38" s="107"/>
      <c r="F38" s="107"/>
      <c r="G38" s="107"/>
      <c r="H38" s="108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09" t="s">
        <v>72</v>
      </c>
      <c r="E39" s="110"/>
      <c r="F39" s="110"/>
      <c r="G39" s="110"/>
      <c r="H39" s="111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06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09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06" t="s">
        <v>75</v>
      </c>
      <c r="E42" s="113"/>
      <c r="F42" s="117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09" t="s">
        <v>76</v>
      </c>
      <c r="E43" s="118"/>
      <c r="F43" s="118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06" t="s">
        <v>77</v>
      </c>
      <c r="E44" s="113"/>
      <c r="F44" s="117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09" t="s">
        <v>78</v>
      </c>
      <c r="E45" s="118"/>
      <c r="F45" s="118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06" t="s">
        <v>79</v>
      </c>
      <c r="E46" s="107"/>
      <c r="F46" s="107"/>
      <c r="G46" s="107"/>
      <c r="H46" s="108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09" t="s">
        <v>80</v>
      </c>
      <c r="E47" s="110"/>
      <c r="F47" s="110"/>
      <c r="G47" s="110"/>
      <c r="H47" s="111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06" t="s">
        <v>81</v>
      </c>
      <c r="E48" s="107"/>
      <c r="F48" s="107"/>
      <c r="G48" s="107"/>
      <c r="H48" s="108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09" t="s">
        <v>82</v>
      </c>
      <c r="E49" s="110"/>
      <c r="F49" s="110"/>
      <c r="G49" s="110"/>
      <c r="H49" s="111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9" priority="9" operator="greaterThan">
      <formula>$AA$28</formula>
    </cfRule>
    <cfRule type="cellIs" dxfId="478" priority="10" operator="lessThan">
      <formula>$AA$29</formula>
    </cfRule>
  </conditionalFormatting>
  <conditionalFormatting sqref="I32:X33">
    <cfRule type="cellIs" dxfId="477" priority="7" operator="greaterThan">
      <formula>$AA$32</formula>
    </cfRule>
    <cfRule type="cellIs" dxfId="476" priority="8" operator="lessThan">
      <formula>$AA$33</formula>
    </cfRule>
  </conditionalFormatting>
  <conditionalFormatting sqref="I30:X31">
    <cfRule type="cellIs" dxfId="475" priority="5" operator="greaterThan">
      <formula>$AA$30</formula>
    </cfRule>
    <cfRule type="cellIs" dxfId="474" priority="6" operator="lessThan">
      <formula>$AA$31</formula>
    </cfRule>
  </conditionalFormatting>
  <conditionalFormatting sqref="I26:X27">
    <cfRule type="cellIs" dxfId="473" priority="3" operator="greaterThan">
      <formula>$AA$26</formula>
    </cfRule>
    <cfRule type="cellIs" dxfId="472" priority="4" operator="lessThan">
      <formula>$AA$27</formula>
    </cfRule>
  </conditionalFormatting>
  <conditionalFormatting sqref="I32:X33">
    <cfRule type="cellIs" dxfId="471" priority="1" operator="greaterThan">
      <formula>$AA$32</formula>
    </cfRule>
    <cfRule type="cellIs" dxfId="47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14" t="s">
        <v>2</v>
      </c>
      <c r="E2" s="42"/>
      <c r="F2" s="273" t="s">
        <v>93</v>
      </c>
      <c r="G2" s="273"/>
      <c r="H2" s="273"/>
      <c r="I2" s="273"/>
      <c r="J2" s="273"/>
      <c r="K2" s="274"/>
      <c r="L2" s="114" t="s">
        <v>4</v>
      </c>
      <c r="M2" s="273">
        <v>9</v>
      </c>
      <c r="N2" s="319"/>
      <c r="O2" s="114" t="s">
        <v>6</v>
      </c>
      <c r="P2" s="322" t="s">
        <v>83</v>
      </c>
      <c r="Q2" s="323"/>
      <c r="R2" s="323"/>
      <c r="S2" s="323"/>
      <c r="T2" s="323"/>
      <c r="U2" s="323"/>
      <c r="V2" s="324"/>
      <c r="W2" s="114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15" t="s">
        <v>3</v>
      </c>
      <c r="E3" s="43"/>
      <c r="F3" s="275"/>
      <c r="G3" s="275"/>
      <c r="H3" s="275"/>
      <c r="I3" s="275"/>
      <c r="J3" s="275"/>
      <c r="K3" s="276"/>
      <c r="L3" s="115" t="s">
        <v>5</v>
      </c>
      <c r="M3" s="320"/>
      <c r="N3" s="321"/>
      <c r="O3" s="115" t="s">
        <v>7</v>
      </c>
      <c r="P3" s="325"/>
      <c r="Q3" s="325"/>
      <c r="R3" s="325"/>
      <c r="S3" s="325"/>
      <c r="T3" s="325"/>
      <c r="U3" s="325"/>
      <c r="V3" s="32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14" t="s">
        <v>9</v>
      </c>
      <c r="P4" s="6"/>
      <c r="Q4" s="327" t="s">
        <v>105</v>
      </c>
      <c r="R4" s="328"/>
      <c r="S4" s="328"/>
      <c r="T4" s="329"/>
      <c r="U4" s="11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1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1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2.0979999999999999</v>
      </c>
      <c r="J26" s="361"/>
      <c r="K26" s="361">
        <v>2.1</v>
      </c>
      <c r="L26" s="361"/>
      <c r="M26" s="361">
        <v>2.1</v>
      </c>
      <c r="N26" s="361"/>
      <c r="O26" s="361">
        <v>2.1040000000000001</v>
      </c>
      <c r="P26" s="361"/>
      <c r="Q26" s="361">
        <v>2.1019999999999999</v>
      </c>
      <c r="R26" s="361"/>
      <c r="S26" s="361">
        <v>2.1030000000000002</v>
      </c>
      <c r="T26" s="361"/>
      <c r="U26" s="361">
        <v>2.1040000000000001</v>
      </c>
      <c r="V26" s="361"/>
      <c r="W26" s="361">
        <v>2.1030000000000002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2.0880000000000001</v>
      </c>
      <c r="J30" s="361"/>
      <c r="K30" s="361">
        <v>2.0960000000000001</v>
      </c>
      <c r="L30" s="361"/>
      <c r="M30" s="361">
        <v>2.0979999999999999</v>
      </c>
      <c r="N30" s="361"/>
      <c r="O30" s="361">
        <v>2.101</v>
      </c>
      <c r="P30" s="361"/>
      <c r="Q30" s="361">
        <v>2.1030000000000002</v>
      </c>
      <c r="R30" s="361"/>
      <c r="S30" s="361">
        <v>2.0979999999999999</v>
      </c>
      <c r="T30" s="361"/>
      <c r="U30" s="361">
        <v>2.097</v>
      </c>
      <c r="V30" s="361"/>
      <c r="W30" s="361">
        <v>2.093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11.01</v>
      </c>
      <c r="N32" s="314"/>
      <c r="O32" s="314">
        <v>11.03</v>
      </c>
      <c r="P32" s="314"/>
      <c r="Q32" s="314">
        <v>11.02</v>
      </c>
      <c r="R32" s="314"/>
      <c r="S32" s="314">
        <v>11.02</v>
      </c>
      <c r="T32" s="314"/>
      <c r="U32" s="314">
        <v>11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06" t="s">
        <v>89</v>
      </c>
      <c r="E34" s="107"/>
      <c r="F34" s="107"/>
      <c r="G34" s="107"/>
      <c r="H34" s="108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09" t="s">
        <v>90</v>
      </c>
      <c r="E35" s="110"/>
      <c r="F35" s="110"/>
      <c r="G35" s="110"/>
      <c r="H35" s="111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09" t="s">
        <v>69</v>
      </c>
      <c r="E37" s="110"/>
      <c r="F37" s="110"/>
      <c r="G37" s="110"/>
      <c r="H37" s="111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06" t="s">
        <v>71</v>
      </c>
      <c r="E38" s="107"/>
      <c r="F38" s="107"/>
      <c r="G38" s="107"/>
      <c r="H38" s="108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09" t="s">
        <v>72</v>
      </c>
      <c r="E39" s="110"/>
      <c r="F39" s="110"/>
      <c r="G39" s="110"/>
      <c r="H39" s="111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06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09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06" t="s">
        <v>75</v>
      </c>
      <c r="E42" s="113"/>
      <c r="F42" s="117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09" t="s">
        <v>76</v>
      </c>
      <c r="E43" s="118"/>
      <c r="F43" s="118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06" t="s">
        <v>77</v>
      </c>
      <c r="E44" s="113"/>
      <c r="F44" s="117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09" t="s">
        <v>78</v>
      </c>
      <c r="E45" s="118"/>
      <c r="F45" s="118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06" t="s">
        <v>79</v>
      </c>
      <c r="E46" s="107"/>
      <c r="F46" s="107"/>
      <c r="G46" s="107"/>
      <c r="H46" s="108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09" t="s">
        <v>80</v>
      </c>
      <c r="E47" s="110"/>
      <c r="F47" s="110"/>
      <c r="G47" s="110"/>
      <c r="H47" s="111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06" t="s">
        <v>81</v>
      </c>
      <c r="E48" s="107"/>
      <c r="F48" s="107"/>
      <c r="G48" s="107"/>
      <c r="H48" s="108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09" t="s">
        <v>82</v>
      </c>
      <c r="E49" s="110"/>
      <c r="F49" s="110"/>
      <c r="G49" s="110"/>
      <c r="H49" s="111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69" priority="9" operator="greaterThan">
      <formula>$AA$28</formula>
    </cfRule>
    <cfRule type="cellIs" dxfId="468" priority="10" operator="lessThan">
      <formula>$AA$29</formula>
    </cfRule>
  </conditionalFormatting>
  <conditionalFormatting sqref="I32:X33">
    <cfRule type="cellIs" dxfId="467" priority="7" operator="greaterThan">
      <formula>$AA$32</formula>
    </cfRule>
    <cfRule type="cellIs" dxfId="466" priority="8" operator="lessThan">
      <formula>$AA$33</formula>
    </cfRule>
  </conditionalFormatting>
  <conditionalFormatting sqref="I30:X31">
    <cfRule type="cellIs" dxfId="465" priority="5" operator="greaterThan">
      <formula>$AA$30</formula>
    </cfRule>
    <cfRule type="cellIs" dxfId="464" priority="6" operator="lessThan">
      <formula>$AA$31</formula>
    </cfRule>
  </conditionalFormatting>
  <conditionalFormatting sqref="I26:X27">
    <cfRule type="cellIs" dxfId="463" priority="3" operator="greaterThan">
      <formula>$AA$26</formula>
    </cfRule>
    <cfRule type="cellIs" dxfId="462" priority="4" operator="lessThan">
      <formula>$AA$27</formula>
    </cfRule>
  </conditionalFormatting>
  <conditionalFormatting sqref="I32:X33">
    <cfRule type="cellIs" dxfId="461" priority="1" operator="greaterThan">
      <formula>$AA$32</formula>
    </cfRule>
    <cfRule type="cellIs" dxfId="4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8" sqref="I28:J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14" t="s">
        <v>2</v>
      </c>
      <c r="E2" s="42"/>
      <c r="F2" s="273" t="s">
        <v>93</v>
      </c>
      <c r="G2" s="273"/>
      <c r="H2" s="273"/>
      <c r="I2" s="273"/>
      <c r="J2" s="273"/>
      <c r="K2" s="274"/>
      <c r="L2" s="114" t="s">
        <v>4</v>
      </c>
      <c r="M2" s="273">
        <v>9</v>
      </c>
      <c r="N2" s="319"/>
      <c r="O2" s="114" t="s">
        <v>6</v>
      </c>
      <c r="P2" s="322" t="s">
        <v>83</v>
      </c>
      <c r="Q2" s="323"/>
      <c r="R2" s="323"/>
      <c r="S2" s="323"/>
      <c r="T2" s="323"/>
      <c r="U2" s="323"/>
      <c r="V2" s="324"/>
      <c r="W2" s="114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15" t="s">
        <v>3</v>
      </c>
      <c r="E3" s="43"/>
      <c r="F3" s="275"/>
      <c r="G3" s="275"/>
      <c r="H3" s="275"/>
      <c r="I3" s="275"/>
      <c r="J3" s="275"/>
      <c r="K3" s="276"/>
      <c r="L3" s="115" t="s">
        <v>5</v>
      </c>
      <c r="M3" s="320"/>
      <c r="N3" s="321"/>
      <c r="O3" s="115" t="s">
        <v>7</v>
      </c>
      <c r="P3" s="325"/>
      <c r="Q3" s="325"/>
      <c r="R3" s="325"/>
      <c r="S3" s="325"/>
      <c r="T3" s="325"/>
      <c r="U3" s="325"/>
      <c r="V3" s="32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327" t="s">
        <v>106</v>
      </c>
      <c r="R4" s="328"/>
      <c r="S4" s="328"/>
      <c r="T4" s="329"/>
      <c r="U4" s="11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1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1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2.105</v>
      </c>
      <c r="J26" s="361"/>
      <c r="K26" s="361">
        <v>2.0990000000000002</v>
      </c>
      <c r="L26" s="361"/>
      <c r="M26" s="361">
        <v>2.1040000000000001</v>
      </c>
      <c r="N26" s="361"/>
      <c r="O26" s="361">
        <v>2.1</v>
      </c>
      <c r="P26" s="361"/>
      <c r="Q26" s="361">
        <v>2.1030000000000002</v>
      </c>
      <c r="R26" s="361"/>
      <c r="S26" s="361">
        <v>2.1030000000000002</v>
      </c>
      <c r="T26" s="361"/>
      <c r="U26" s="361">
        <v>2.1120000000000001</v>
      </c>
      <c r="V26" s="361"/>
      <c r="W26" s="361">
        <v>2.1059999999999999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2.089</v>
      </c>
      <c r="J30" s="361"/>
      <c r="K30" s="361">
        <v>2.0840000000000001</v>
      </c>
      <c r="L30" s="361"/>
      <c r="M30" s="361">
        <v>2.0990000000000002</v>
      </c>
      <c r="N30" s="361"/>
      <c r="O30" s="361">
        <v>2.0830000000000002</v>
      </c>
      <c r="P30" s="361"/>
      <c r="Q30" s="361">
        <v>2.0990000000000002</v>
      </c>
      <c r="R30" s="361"/>
      <c r="S30" s="361">
        <v>2.0990000000000002</v>
      </c>
      <c r="T30" s="361"/>
      <c r="U30" s="361">
        <v>2.1059999999999999</v>
      </c>
      <c r="V30" s="361"/>
      <c r="W30" s="361">
        <v>2.1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11.01</v>
      </c>
      <c r="N32" s="314"/>
      <c r="O32" s="314">
        <v>11.02</v>
      </c>
      <c r="P32" s="314"/>
      <c r="Q32" s="314">
        <v>11.03</v>
      </c>
      <c r="R32" s="314"/>
      <c r="S32" s="314">
        <v>11.01</v>
      </c>
      <c r="T32" s="314"/>
      <c r="U32" s="314">
        <v>11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06" t="s">
        <v>89</v>
      </c>
      <c r="E34" s="107"/>
      <c r="F34" s="107"/>
      <c r="G34" s="107"/>
      <c r="H34" s="108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09" t="s">
        <v>90</v>
      </c>
      <c r="E35" s="110"/>
      <c r="F35" s="110"/>
      <c r="G35" s="110"/>
      <c r="H35" s="111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09" t="s">
        <v>69</v>
      </c>
      <c r="E37" s="110"/>
      <c r="F37" s="110"/>
      <c r="G37" s="110"/>
      <c r="H37" s="111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06" t="s">
        <v>71</v>
      </c>
      <c r="E38" s="107"/>
      <c r="F38" s="107"/>
      <c r="G38" s="107"/>
      <c r="H38" s="108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09" t="s">
        <v>72</v>
      </c>
      <c r="E39" s="110"/>
      <c r="F39" s="110"/>
      <c r="G39" s="110"/>
      <c r="H39" s="111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06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09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06" t="s">
        <v>75</v>
      </c>
      <c r="E42" s="113"/>
      <c r="F42" s="117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09" t="s">
        <v>76</v>
      </c>
      <c r="E43" s="118"/>
      <c r="F43" s="118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06" t="s">
        <v>77</v>
      </c>
      <c r="E44" s="113"/>
      <c r="F44" s="117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09" t="s">
        <v>78</v>
      </c>
      <c r="E45" s="118"/>
      <c r="F45" s="118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06" t="s">
        <v>79</v>
      </c>
      <c r="E46" s="107"/>
      <c r="F46" s="107"/>
      <c r="G46" s="107"/>
      <c r="H46" s="108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09" t="s">
        <v>80</v>
      </c>
      <c r="E47" s="110"/>
      <c r="F47" s="110"/>
      <c r="G47" s="110"/>
      <c r="H47" s="111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06" t="s">
        <v>81</v>
      </c>
      <c r="E48" s="107"/>
      <c r="F48" s="107"/>
      <c r="G48" s="107"/>
      <c r="H48" s="108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09" t="s">
        <v>82</v>
      </c>
      <c r="E49" s="110"/>
      <c r="F49" s="110"/>
      <c r="G49" s="110"/>
      <c r="H49" s="111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59" priority="9" operator="greaterThan">
      <formula>$AA$28</formula>
    </cfRule>
    <cfRule type="cellIs" dxfId="458" priority="10" operator="lessThan">
      <formula>$AA$29</formula>
    </cfRule>
  </conditionalFormatting>
  <conditionalFormatting sqref="I32:X33">
    <cfRule type="cellIs" dxfId="457" priority="7" operator="greaterThan">
      <formula>$AA$32</formula>
    </cfRule>
    <cfRule type="cellIs" dxfId="456" priority="8" operator="lessThan">
      <formula>$AA$33</formula>
    </cfRule>
  </conditionalFormatting>
  <conditionalFormatting sqref="I30:X31">
    <cfRule type="cellIs" dxfId="455" priority="5" operator="greaterThan">
      <formula>$AA$30</formula>
    </cfRule>
    <cfRule type="cellIs" dxfId="454" priority="6" operator="lessThan">
      <formula>$AA$31</formula>
    </cfRule>
  </conditionalFormatting>
  <conditionalFormatting sqref="I26:X27">
    <cfRule type="cellIs" dxfId="453" priority="3" operator="greaterThan">
      <formula>$AA$26</formula>
    </cfRule>
    <cfRule type="cellIs" dxfId="452" priority="4" operator="lessThan">
      <formula>$AA$27</formula>
    </cfRule>
  </conditionalFormatting>
  <conditionalFormatting sqref="I32:X33">
    <cfRule type="cellIs" dxfId="451" priority="1" operator="greaterThan">
      <formula>$AA$32</formula>
    </cfRule>
    <cfRule type="cellIs" dxfId="45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2" sqref="I32:J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14" t="s">
        <v>2</v>
      </c>
      <c r="E2" s="42"/>
      <c r="F2" s="273" t="s">
        <v>93</v>
      </c>
      <c r="G2" s="273"/>
      <c r="H2" s="273"/>
      <c r="I2" s="273"/>
      <c r="J2" s="273"/>
      <c r="K2" s="274"/>
      <c r="L2" s="114" t="s">
        <v>4</v>
      </c>
      <c r="M2" s="273">
        <v>9</v>
      </c>
      <c r="N2" s="319"/>
      <c r="O2" s="114" t="s">
        <v>6</v>
      </c>
      <c r="P2" s="322" t="s">
        <v>83</v>
      </c>
      <c r="Q2" s="323"/>
      <c r="R2" s="323"/>
      <c r="S2" s="323"/>
      <c r="T2" s="323"/>
      <c r="U2" s="323"/>
      <c r="V2" s="324"/>
      <c r="W2" s="114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15" t="s">
        <v>3</v>
      </c>
      <c r="E3" s="43"/>
      <c r="F3" s="275"/>
      <c r="G3" s="275"/>
      <c r="H3" s="275"/>
      <c r="I3" s="275"/>
      <c r="J3" s="275"/>
      <c r="K3" s="276"/>
      <c r="L3" s="115" t="s">
        <v>5</v>
      </c>
      <c r="M3" s="320"/>
      <c r="N3" s="321"/>
      <c r="O3" s="115" t="s">
        <v>7</v>
      </c>
      <c r="P3" s="325"/>
      <c r="Q3" s="325"/>
      <c r="R3" s="325"/>
      <c r="S3" s="325"/>
      <c r="T3" s="325"/>
      <c r="U3" s="325"/>
      <c r="V3" s="32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14" t="s">
        <v>9</v>
      </c>
      <c r="P4" s="6"/>
      <c r="Q4" s="327" t="s">
        <v>106</v>
      </c>
      <c r="R4" s="328"/>
      <c r="S4" s="328"/>
      <c r="T4" s="329"/>
      <c r="U4" s="11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1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1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2.1040000000000001</v>
      </c>
      <c r="J26" s="361"/>
      <c r="K26" s="361">
        <v>2.0990000000000002</v>
      </c>
      <c r="L26" s="361"/>
      <c r="M26" s="361">
        <v>2.1070000000000002</v>
      </c>
      <c r="N26" s="361"/>
      <c r="O26" s="361">
        <v>2.097</v>
      </c>
      <c r="P26" s="361"/>
      <c r="Q26" s="361">
        <v>2.0979999999999999</v>
      </c>
      <c r="R26" s="361"/>
      <c r="S26" s="361">
        <v>2.089</v>
      </c>
      <c r="T26" s="361"/>
      <c r="U26" s="361">
        <v>2.097</v>
      </c>
      <c r="V26" s="361"/>
      <c r="W26" s="361">
        <v>2.0870000000000002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2.0979999999999999</v>
      </c>
      <c r="J30" s="361"/>
      <c r="K30" s="361">
        <v>2.0979999999999999</v>
      </c>
      <c r="L30" s="361"/>
      <c r="M30" s="361">
        <v>2.0990000000000002</v>
      </c>
      <c r="N30" s="361"/>
      <c r="O30" s="361">
        <v>2.097</v>
      </c>
      <c r="P30" s="361"/>
      <c r="Q30" s="361">
        <v>2.0990000000000002</v>
      </c>
      <c r="R30" s="361"/>
      <c r="S30" s="361">
        <v>2.0910000000000002</v>
      </c>
      <c r="T30" s="361"/>
      <c r="U30" s="361">
        <v>2.0960000000000001</v>
      </c>
      <c r="V30" s="361"/>
      <c r="W30" s="361">
        <v>2.0880000000000001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</v>
      </c>
      <c r="L32" s="314"/>
      <c r="M32" s="314">
        <v>11.02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11.01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06" t="s">
        <v>89</v>
      </c>
      <c r="E34" s="107"/>
      <c r="F34" s="107"/>
      <c r="G34" s="107"/>
      <c r="H34" s="108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09" t="s">
        <v>90</v>
      </c>
      <c r="E35" s="110"/>
      <c r="F35" s="110"/>
      <c r="G35" s="110"/>
      <c r="H35" s="111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09" t="s">
        <v>69</v>
      </c>
      <c r="E37" s="110"/>
      <c r="F37" s="110"/>
      <c r="G37" s="110"/>
      <c r="H37" s="111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06" t="s">
        <v>71</v>
      </c>
      <c r="E38" s="107"/>
      <c r="F38" s="107"/>
      <c r="G38" s="107"/>
      <c r="H38" s="108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09" t="s">
        <v>72</v>
      </c>
      <c r="E39" s="110"/>
      <c r="F39" s="110"/>
      <c r="G39" s="110"/>
      <c r="H39" s="111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06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09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06" t="s">
        <v>75</v>
      </c>
      <c r="E42" s="113"/>
      <c r="F42" s="117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09" t="s">
        <v>76</v>
      </c>
      <c r="E43" s="118"/>
      <c r="F43" s="118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06" t="s">
        <v>77</v>
      </c>
      <c r="E44" s="113"/>
      <c r="F44" s="117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09" t="s">
        <v>78</v>
      </c>
      <c r="E45" s="118"/>
      <c r="F45" s="118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06" t="s">
        <v>79</v>
      </c>
      <c r="E46" s="107"/>
      <c r="F46" s="107"/>
      <c r="G46" s="107"/>
      <c r="H46" s="108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09" t="s">
        <v>80</v>
      </c>
      <c r="E47" s="110"/>
      <c r="F47" s="110"/>
      <c r="G47" s="110"/>
      <c r="H47" s="111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06" t="s">
        <v>81</v>
      </c>
      <c r="E48" s="107"/>
      <c r="F48" s="107"/>
      <c r="G48" s="107"/>
      <c r="H48" s="108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09" t="s">
        <v>82</v>
      </c>
      <c r="E49" s="110"/>
      <c r="F49" s="110"/>
      <c r="G49" s="110"/>
      <c r="H49" s="111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9" priority="9" operator="greaterThan">
      <formula>$AA$28</formula>
    </cfRule>
    <cfRule type="cellIs" dxfId="448" priority="10" operator="lessThan">
      <formula>$AA$29</formula>
    </cfRule>
  </conditionalFormatting>
  <conditionalFormatting sqref="I32:X33">
    <cfRule type="cellIs" dxfId="447" priority="7" operator="greaterThan">
      <formula>$AA$32</formula>
    </cfRule>
    <cfRule type="cellIs" dxfId="446" priority="8" operator="lessThan">
      <formula>$AA$33</formula>
    </cfRule>
  </conditionalFormatting>
  <conditionalFormatting sqref="I30:X31">
    <cfRule type="cellIs" dxfId="445" priority="5" operator="greaterThan">
      <formula>$AA$30</formula>
    </cfRule>
    <cfRule type="cellIs" dxfId="444" priority="6" operator="lessThan">
      <formula>$AA$31</formula>
    </cfRule>
  </conditionalFormatting>
  <conditionalFormatting sqref="I26:X27">
    <cfRule type="cellIs" dxfId="443" priority="3" operator="greaterThan">
      <formula>$AA$26</formula>
    </cfRule>
    <cfRule type="cellIs" dxfId="442" priority="4" operator="lessThan">
      <formula>$AA$27</formula>
    </cfRule>
  </conditionalFormatting>
  <conditionalFormatting sqref="I32:X33">
    <cfRule type="cellIs" dxfId="441" priority="1" operator="greaterThan">
      <formula>$AA$32</formula>
    </cfRule>
    <cfRule type="cellIs" dxfId="4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14" t="s">
        <v>2</v>
      </c>
      <c r="E2" s="42"/>
      <c r="F2" s="273" t="s">
        <v>93</v>
      </c>
      <c r="G2" s="273"/>
      <c r="H2" s="273"/>
      <c r="I2" s="273"/>
      <c r="J2" s="273"/>
      <c r="K2" s="274"/>
      <c r="L2" s="114" t="s">
        <v>4</v>
      </c>
      <c r="M2" s="273">
        <v>9</v>
      </c>
      <c r="N2" s="319"/>
      <c r="O2" s="114" t="s">
        <v>6</v>
      </c>
      <c r="P2" s="322" t="s">
        <v>83</v>
      </c>
      <c r="Q2" s="323"/>
      <c r="R2" s="323"/>
      <c r="S2" s="323"/>
      <c r="T2" s="323"/>
      <c r="U2" s="323"/>
      <c r="V2" s="324"/>
      <c r="W2" s="114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15" t="s">
        <v>3</v>
      </c>
      <c r="E3" s="43"/>
      <c r="F3" s="275"/>
      <c r="G3" s="275"/>
      <c r="H3" s="275"/>
      <c r="I3" s="275"/>
      <c r="J3" s="275"/>
      <c r="K3" s="276"/>
      <c r="L3" s="115" t="s">
        <v>5</v>
      </c>
      <c r="M3" s="320"/>
      <c r="N3" s="321"/>
      <c r="O3" s="115" t="s">
        <v>7</v>
      </c>
      <c r="P3" s="325"/>
      <c r="Q3" s="325"/>
      <c r="R3" s="325"/>
      <c r="S3" s="325"/>
      <c r="T3" s="325"/>
      <c r="U3" s="325"/>
      <c r="V3" s="32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327" t="s">
        <v>107</v>
      </c>
      <c r="R4" s="328"/>
      <c r="S4" s="328"/>
      <c r="T4" s="329"/>
      <c r="U4" s="11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1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1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2.101</v>
      </c>
      <c r="J26" s="361"/>
      <c r="K26" s="361">
        <v>2.097</v>
      </c>
      <c r="L26" s="361"/>
      <c r="M26" s="361">
        <v>2.097</v>
      </c>
      <c r="N26" s="361"/>
      <c r="O26" s="361">
        <v>2.093</v>
      </c>
      <c r="P26" s="361"/>
      <c r="Q26" s="361">
        <v>2.105</v>
      </c>
      <c r="R26" s="361"/>
      <c r="S26" s="361">
        <v>2.0960000000000001</v>
      </c>
      <c r="T26" s="361"/>
      <c r="U26" s="361">
        <v>2.1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2.0950000000000002</v>
      </c>
      <c r="J30" s="361"/>
      <c r="K30" s="361">
        <v>2.0830000000000002</v>
      </c>
      <c r="L30" s="361"/>
      <c r="M30" s="361">
        <v>2.0950000000000002</v>
      </c>
      <c r="N30" s="361"/>
      <c r="O30" s="361">
        <v>2.0960000000000001</v>
      </c>
      <c r="P30" s="361"/>
      <c r="Q30" s="361">
        <v>2.1019999999999999</v>
      </c>
      <c r="R30" s="361"/>
      <c r="S30" s="361">
        <v>2.0910000000000002</v>
      </c>
      <c r="T30" s="361"/>
      <c r="U30" s="361">
        <v>2.105</v>
      </c>
      <c r="V30" s="361"/>
      <c r="W30" s="361">
        <v>2.101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11.01</v>
      </c>
      <c r="L32" s="314"/>
      <c r="M32" s="314">
        <v>11.02</v>
      </c>
      <c r="N32" s="314"/>
      <c r="O32" s="314">
        <v>11.04</v>
      </c>
      <c r="P32" s="314"/>
      <c r="Q32" s="314">
        <v>11.03</v>
      </c>
      <c r="R32" s="314"/>
      <c r="S32" s="314">
        <v>11</v>
      </c>
      <c r="T32" s="314"/>
      <c r="U32" s="314">
        <v>11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06" t="s">
        <v>89</v>
      </c>
      <c r="E34" s="107"/>
      <c r="F34" s="107"/>
      <c r="G34" s="107"/>
      <c r="H34" s="108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09" t="s">
        <v>90</v>
      </c>
      <c r="E35" s="110"/>
      <c r="F35" s="110"/>
      <c r="G35" s="110"/>
      <c r="H35" s="111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09" t="s">
        <v>69</v>
      </c>
      <c r="E37" s="110"/>
      <c r="F37" s="110"/>
      <c r="G37" s="110"/>
      <c r="H37" s="111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06" t="s">
        <v>71</v>
      </c>
      <c r="E38" s="107"/>
      <c r="F38" s="107"/>
      <c r="G38" s="107"/>
      <c r="H38" s="108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09" t="s">
        <v>72</v>
      </c>
      <c r="E39" s="110"/>
      <c r="F39" s="110"/>
      <c r="G39" s="110"/>
      <c r="H39" s="111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06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09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06" t="s">
        <v>75</v>
      </c>
      <c r="E42" s="113"/>
      <c r="F42" s="117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09" t="s">
        <v>76</v>
      </c>
      <c r="E43" s="118"/>
      <c r="F43" s="118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06" t="s">
        <v>77</v>
      </c>
      <c r="E44" s="113"/>
      <c r="F44" s="117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09" t="s">
        <v>78</v>
      </c>
      <c r="E45" s="118"/>
      <c r="F45" s="118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06" t="s">
        <v>79</v>
      </c>
      <c r="E46" s="107"/>
      <c r="F46" s="107"/>
      <c r="G46" s="107"/>
      <c r="H46" s="108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09" t="s">
        <v>80</v>
      </c>
      <c r="E47" s="110"/>
      <c r="F47" s="110"/>
      <c r="G47" s="110"/>
      <c r="H47" s="111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06" t="s">
        <v>81</v>
      </c>
      <c r="E48" s="107"/>
      <c r="F48" s="107"/>
      <c r="G48" s="107"/>
      <c r="H48" s="108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09" t="s">
        <v>82</v>
      </c>
      <c r="E49" s="110"/>
      <c r="F49" s="110"/>
      <c r="G49" s="110"/>
      <c r="H49" s="111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9" priority="9" operator="greaterThan">
      <formula>$AA$28</formula>
    </cfRule>
    <cfRule type="cellIs" dxfId="438" priority="10" operator="lessThan">
      <formula>$AA$29</formula>
    </cfRule>
  </conditionalFormatting>
  <conditionalFormatting sqref="I32:X33">
    <cfRule type="cellIs" dxfId="437" priority="7" operator="greaterThan">
      <formula>$AA$32</formula>
    </cfRule>
    <cfRule type="cellIs" dxfId="436" priority="8" operator="lessThan">
      <formula>$AA$33</formula>
    </cfRule>
  </conditionalFormatting>
  <conditionalFormatting sqref="I30:X31">
    <cfRule type="cellIs" dxfId="435" priority="5" operator="greaterThan">
      <formula>$AA$30</formula>
    </cfRule>
    <cfRule type="cellIs" dxfId="434" priority="6" operator="lessThan">
      <formula>$AA$31</formula>
    </cfRule>
  </conditionalFormatting>
  <conditionalFormatting sqref="I26:X27">
    <cfRule type="cellIs" dxfId="433" priority="3" operator="greaterThan">
      <formula>$AA$26</formula>
    </cfRule>
    <cfRule type="cellIs" dxfId="432" priority="4" operator="lessThan">
      <formula>$AA$27</formula>
    </cfRule>
  </conditionalFormatting>
  <conditionalFormatting sqref="I32:X33">
    <cfRule type="cellIs" dxfId="431" priority="1" operator="greaterThan">
      <formula>$AA$32</formula>
    </cfRule>
    <cfRule type="cellIs" dxfId="43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27" t="s">
        <v>2</v>
      </c>
      <c r="E2" s="42"/>
      <c r="F2" s="273" t="s">
        <v>93</v>
      </c>
      <c r="G2" s="273"/>
      <c r="H2" s="273"/>
      <c r="I2" s="273"/>
      <c r="J2" s="273"/>
      <c r="K2" s="274"/>
      <c r="L2" s="127" t="s">
        <v>4</v>
      </c>
      <c r="M2" s="273">
        <v>9</v>
      </c>
      <c r="N2" s="319"/>
      <c r="O2" s="127" t="s">
        <v>6</v>
      </c>
      <c r="P2" s="322" t="s">
        <v>83</v>
      </c>
      <c r="Q2" s="323"/>
      <c r="R2" s="323"/>
      <c r="S2" s="323"/>
      <c r="T2" s="323"/>
      <c r="U2" s="323"/>
      <c r="V2" s="324"/>
      <c r="W2" s="127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28" t="s">
        <v>3</v>
      </c>
      <c r="E3" s="43"/>
      <c r="F3" s="275"/>
      <c r="G3" s="275"/>
      <c r="H3" s="275"/>
      <c r="I3" s="275"/>
      <c r="J3" s="275"/>
      <c r="K3" s="276"/>
      <c r="L3" s="128" t="s">
        <v>5</v>
      </c>
      <c r="M3" s="320"/>
      <c r="N3" s="321"/>
      <c r="O3" s="128" t="s">
        <v>7</v>
      </c>
      <c r="P3" s="325"/>
      <c r="Q3" s="325"/>
      <c r="R3" s="325"/>
      <c r="S3" s="325"/>
      <c r="T3" s="325"/>
      <c r="U3" s="325"/>
      <c r="V3" s="326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27" t="s">
        <v>9</v>
      </c>
      <c r="P4" s="6"/>
      <c r="Q4" s="327" t="s">
        <v>107</v>
      </c>
      <c r="R4" s="328"/>
      <c r="S4" s="328"/>
      <c r="T4" s="329"/>
      <c r="U4" s="127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28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25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2.0990000000000002</v>
      </c>
      <c r="J26" s="361"/>
      <c r="K26" s="361">
        <v>2.097</v>
      </c>
      <c r="L26" s="361"/>
      <c r="M26" s="361">
        <v>2.0979999999999999</v>
      </c>
      <c r="N26" s="361"/>
      <c r="O26" s="361">
        <v>2.0950000000000002</v>
      </c>
      <c r="P26" s="361"/>
      <c r="Q26" s="361">
        <v>2.1</v>
      </c>
      <c r="R26" s="361"/>
      <c r="S26" s="361">
        <v>2.0939999999999999</v>
      </c>
      <c r="T26" s="361"/>
      <c r="U26" s="361">
        <v>2.097</v>
      </c>
      <c r="V26" s="361"/>
      <c r="W26" s="361">
        <v>2.09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2.1040000000000001</v>
      </c>
      <c r="J30" s="361"/>
      <c r="K30" s="361">
        <v>2.1</v>
      </c>
      <c r="L30" s="361"/>
      <c r="M30" s="361">
        <v>2.1</v>
      </c>
      <c r="N30" s="361"/>
      <c r="O30" s="361">
        <v>2.0920000000000001</v>
      </c>
      <c r="P30" s="361"/>
      <c r="Q30" s="361">
        <v>2.0950000000000002</v>
      </c>
      <c r="R30" s="361"/>
      <c r="S30" s="361">
        <v>2.093</v>
      </c>
      <c r="T30" s="361"/>
      <c r="U30" s="361">
        <v>2.0960000000000001</v>
      </c>
      <c r="V30" s="361"/>
      <c r="W30" s="361">
        <v>2.0870000000000002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11.013999999999999</v>
      </c>
      <c r="L32" s="314"/>
      <c r="M32" s="314">
        <v>11.02</v>
      </c>
      <c r="N32" s="314"/>
      <c r="O32" s="314">
        <v>11.04</v>
      </c>
      <c r="P32" s="314"/>
      <c r="Q32" s="314">
        <v>11.02</v>
      </c>
      <c r="R32" s="314"/>
      <c r="S32" s="314">
        <v>11.03</v>
      </c>
      <c r="T32" s="314"/>
      <c r="U32" s="314">
        <v>11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19" t="s">
        <v>89</v>
      </c>
      <c r="E34" s="120"/>
      <c r="F34" s="120"/>
      <c r="G34" s="120"/>
      <c r="H34" s="121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22" t="s">
        <v>90</v>
      </c>
      <c r="E35" s="123"/>
      <c r="F35" s="123"/>
      <c r="G35" s="123"/>
      <c r="H35" s="124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22" t="s">
        <v>69</v>
      </c>
      <c r="E37" s="123"/>
      <c r="F37" s="123"/>
      <c r="G37" s="123"/>
      <c r="H37" s="124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19" t="s">
        <v>71</v>
      </c>
      <c r="E38" s="120"/>
      <c r="F38" s="120"/>
      <c r="G38" s="120"/>
      <c r="H38" s="121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22" t="s">
        <v>72</v>
      </c>
      <c r="E39" s="123"/>
      <c r="F39" s="123"/>
      <c r="G39" s="123"/>
      <c r="H39" s="124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19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22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19" t="s">
        <v>75</v>
      </c>
      <c r="E42" s="126"/>
      <c r="F42" s="130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22" t="s">
        <v>76</v>
      </c>
      <c r="E43" s="131"/>
      <c r="F43" s="131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19" t="s">
        <v>77</v>
      </c>
      <c r="E44" s="126"/>
      <c r="F44" s="130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22" t="s">
        <v>78</v>
      </c>
      <c r="E45" s="131"/>
      <c r="F45" s="131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19" t="s">
        <v>79</v>
      </c>
      <c r="E46" s="120"/>
      <c r="F46" s="120"/>
      <c r="G46" s="120"/>
      <c r="H46" s="121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22" t="s">
        <v>80</v>
      </c>
      <c r="E47" s="123"/>
      <c r="F47" s="123"/>
      <c r="G47" s="123"/>
      <c r="H47" s="124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19" t="s">
        <v>81</v>
      </c>
      <c r="E48" s="120"/>
      <c r="F48" s="120"/>
      <c r="G48" s="120"/>
      <c r="H48" s="121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22" t="s">
        <v>82</v>
      </c>
      <c r="E49" s="123"/>
      <c r="F49" s="123"/>
      <c r="G49" s="123"/>
      <c r="H49" s="124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9" priority="9" operator="greaterThan">
      <formula>$AA$28</formula>
    </cfRule>
    <cfRule type="cellIs" dxfId="428" priority="10" operator="lessThan">
      <formula>$AA$29</formula>
    </cfRule>
  </conditionalFormatting>
  <conditionalFormatting sqref="I32:X33">
    <cfRule type="cellIs" dxfId="427" priority="7" operator="greaterThan">
      <formula>$AA$32</formula>
    </cfRule>
    <cfRule type="cellIs" dxfId="426" priority="8" operator="lessThan">
      <formula>$AA$33</formula>
    </cfRule>
  </conditionalFormatting>
  <conditionalFormatting sqref="I30:X31">
    <cfRule type="cellIs" dxfId="425" priority="5" operator="greaterThan">
      <formula>$AA$30</formula>
    </cfRule>
    <cfRule type="cellIs" dxfId="424" priority="6" operator="lessThan">
      <formula>$AA$31</formula>
    </cfRule>
  </conditionalFormatting>
  <conditionalFormatting sqref="I26:X27">
    <cfRule type="cellIs" dxfId="423" priority="3" operator="greaterThan">
      <formula>$AA$26</formula>
    </cfRule>
    <cfRule type="cellIs" dxfId="422" priority="4" operator="lessThan">
      <formula>$AA$27</formula>
    </cfRule>
  </conditionalFormatting>
  <conditionalFormatting sqref="I32:X33">
    <cfRule type="cellIs" dxfId="421" priority="1" operator="greaterThan">
      <formula>$AA$32</formula>
    </cfRule>
    <cfRule type="cellIs" dxfId="4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27" t="s">
        <v>2</v>
      </c>
      <c r="E2" s="42"/>
      <c r="F2" s="273" t="s">
        <v>93</v>
      </c>
      <c r="G2" s="273"/>
      <c r="H2" s="273"/>
      <c r="I2" s="273"/>
      <c r="J2" s="273"/>
      <c r="K2" s="274"/>
      <c r="L2" s="127" t="s">
        <v>4</v>
      </c>
      <c r="M2" s="273">
        <v>9</v>
      </c>
      <c r="N2" s="319"/>
      <c r="O2" s="127" t="s">
        <v>6</v>
      </c>
      <c r="P2" s="322" t="s">
        <v>83</v>
      </c>
      <c r="Q2" s="323"/>
      <c r="R2" s="323"/>
      <c r="S2" s="323"/>
      <c r="T2" s="323"/>
      <c r="U2" s="323"/>
      <c r="V2" s="324"/>
      <c r="W2" s="127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28" t="s">
        <v>3</v>
      </c>
      <c r="E3" s="43"/>
      <c r="F3" s="275"/>
      <c r="G3" s="275"/>
      <c r="H3" s="275"/>
      <c r="I3" s="275"/>
      <c r="J3" s="275"/>
      <c r="K3" s="276"/>
      <c r="L3" s="128" t="s">
        <v>5</v>
      </c>
      <c r="M3" s="320"/>
      <c r="N3" s="321"/>
      <c r="O3" s="128" t="s">
        <v>7</v>
      </c>
      <c r="P3" s="325"/>
      <c r="Q3" s="325"/>
      <c r="R3" s="325"/>
      <c r="S3" s="325"/>
      <c r="T3" s="325"/>
      <c r="U3" s="325"/>
      <c r="V3" s="326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27" t="s">
        <v>108</v>
      </c>
      <c r="R4" s="328"/>
      <c r="S4" s="328"/>
      <c r="T4" s="329"/>
      <c r="U4" s="127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28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25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2.1019999999999999</v>
      </c>
      <c r="J26" s="361"/>
      <c r="K26" s="361">
        <v>2.0880000000000001</v>
      </c>
      <c r="L26" s="361"/>
      <c r="M26" s="361">
        <v>2.0960000000000001</v>
      </c>
      <c r="N26" s="361"/>
      <c r="O26" s="361">
        <v>2.089</v>
      </c>
      <c r="P26" s="361"/>
      <c r="Q26" s="361">
        <v>2.0990000000000002</v>
      </c>
      <c r="R26" s="361"/>
      <c r="S26" s="361">
        <v>2.097</v>
      </c>
      <c r="T26" s="361"/>
      <c r="U26" s="361">
        <v>2.1030000000000002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</v>
      </c>
      <c r="J30" s="361"/>
      <c r="K30" s="361">
        <v>2.0830000000000002</v>
      </c>
      <c r="L30" s="361"/>
      <c r="M30" s="361">
        <v>2.1040000000000001</v>
      </c>
      <c r="N30" s="361"/>
      <c r="O30" s="361">
        <v>2.0950000000000002</v>
      </c>
      <c r="P30" s="361"/>
      <c r="Q30" s="361">
        <v>2.1059999999999999</v>
      </c>
      <c r="R30" s="361"/>
      <c r="S30" s="361">
        <v>2.0960000000000001</v>
      </c>
      <c r="T30" s="361"/>
      <c r="U30" s="361">
        <v>2.1030000000000002</v>
      </c>
      <c r="V30" s="361"/>
      <c r="W30" s="361">
        <v>2.0990000000000002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11.02</v>
      </c>
      <c r="L32" s="314"/>
      <c r="M32" s="314">
        <v>11.02</v>
      </c>
      <c r="N32" s="314"/>
      <c r="O32" s="314">
        <v>11.03</v>
      </c>
      <c r="P32" s="314"/>
      <c r="Q32" s="314">
        <v>11.03</v>
      </c>
      <c r="R32" s="314"/>
      <c r="S32" s="314">
        <v>11.03</v>
      </c>
      <c r="T32" s="314"/>
      <c r="U32" s="314">
        <v>11</v>
      </c>
      <c r="V32" s="314"/>
      <c r="W32" s="314">
        <v>11.02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19" t="s">
        <v>89</v>
      </c>
      <c r="E34" s="120"/>
      <c r="F34" s="120"/>
      <c r="G34" s="120"/>
      <c r="H34" s="121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22" t="s">
        <v>90</v>
      </c>
      <c r="E35" s="123"/>
      <c r="F35" s="123"/>
      <c r="G35" s="123"/>
      <c r="H35" s="124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22" t="s">
        <v>69</v>
      </c>
      <c r="E37" s="123"/>
      <c r="F37" s="123"/>
      <c r="G37" s="123"/>
      <c r="H37" s="124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19" t="s">
        <v>71</v>
      </c>
      <c r="E38" s="120"/>
      <c r="F38" s="120"/>
      <c r="G38" s="120"/>
      <c r="H38" s="121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22" t="s">
        <v>72</v>
      </c>
      <c r="E39" s="123"/>
      <c r="F39" s="123"/>
      <c r="G39" s="123"/>
      <c r="H39" s="124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19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22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19" t="s">
        <v>75</v>
      </c>
      <c r="E42" s="126"/>
      <c r="F42" s="130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22" t="s">
        <v>76</v>
      </c>
      <c r="E43" s="131"/>
      <c r="F43" s="131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19" t="s">
        <v>77</v>
      </c>
      <c r="E44" s="126"/>
      <c r="F44" s="130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22" t="s">
        <v>78</v>
      </c>
      <c r="E45" s="131"/>
      <c r="F45" s="131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19" t="s">
        <v>79</v>
      </c>
      <c r="E46" s="120"/>
      <c r="F46" s="120"/>
      <c r="G46" s="120"/>
      <c r="H46" s="121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22" t="s">
        <v>80</v>
      </c>
      <c r="E47" s="123"/>
      <c r="F47" s="123"/>
      <c r="G47" s="123"/>
      <c r="H47" s="124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19" t="s">
        <v>81</v>
      </c>
      <c r="E48" s="120"/>
      <c r="F48" s="120"/>
      <c r="G48" s="120"/>
      <c r="H48" s="121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22" t="s">
        <v>82</v>
      </c>
      <c r="E49" s="123"/>
      <c r="F49" s="123"/>
      <c r="G49" s="123"/>
      <c r="H49" s="124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19" priority="9" operator="greaterThan">
      <formula>$AA$28</formula>
    </cfRule>
    <cfRule type="cellIs" dxfId="418" priority="10" operator="lessThan">
      <formula>$AA$29</formula>
    </cfRule>
  </conditionalFormatting>
  <conditionalFormatting sqref="I32:X33">
    <cfRule type="cellIs" dxfId="417" priority="7" operator="greaterThan">
      <formula>$AA$32</formula>
    </cfRule>
    <cfRule type="cellIs" dxfId="416" priority="8" operator="lessThan">
      <formula>$AA$33</formula>
    </cfRule>
  </conditionalFormatting>
  <conditionalFormatting sqref="I30:X31">
    <cfRule type="cellIs" dxfId="415" priority="5" operator="greaterThan">
      <formula>$AA$30</formula>
    </cfRule>
    <cfRule type="cellIs" dxfId="414" priority="6" operator="lessThan">
      <formula>$AA$31</formula>
    </cfRule>
  </conditionalFormatting>
  <conditionalFormatting sqref="I26:X27">
    <cfRule type="cellIs" dxfId="413" priority="3" operator="greaterThan">
      <formula>$AA$26</formula>
    </cfRule>
    <cfRule type="cellIs" dxfId="412" priority="4" operator="lessThan">
      <formula>$AA$27</formula>
    </cfRule>
  </conditionalFormatting>
  <conditionalFormatting sqref="I32:X33">
    <cfRule type="cellIs" dxfId="411" priority="1" operator="greaterThan">
      <formula>$AA$32</formula>
    </cfRule>
    <cfRule type="cellIs" dxfId="41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14" t="s">
        <v>2</v>
      </c>
      <c r="E2" s="42"/>
      <c r="F2" s="273" t="s">
        <v>93</v>
      </c>
      <c r="G2" s="273"/>
      <c r="H2" s="273"/>
      <c r="I2" s="273"/>
      <c r="J2" s="273"/>
      <c r="K2" s="274"/>
      <c r="L2" s="114" t="s">
        <v>4</v>
      </c>
      <c r="M2" s="273">
        <v>9</v>
      </c>
      <c r="N2" s="319"/>
      <c r="O2" s="114" t="s">
        <v>6</v>
      </c>
      <c r="P2" s="322" t="s">
        <v>83</v>
      </c>
      <c r="Q2" s="323"/>
      <c r="R2" s="323"/>
      <c r="S2" s="323"/>
      <c r="T2" s="323"/>
      <c r="U2" s="323"/>
      <c r="V2" s="324"/>
      <c r="W2" s="114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15" t="s">
        <v>3</v>
      </c>
      <c r="E3" s="43"/>
      <c r="F3" s="275"/>
      <c r="G3" s="275"/>
      <c r="H3" s="275"/>
      <c r="I3" s="275"/>
      <c r="J3" s="275"/>
      <c r="K3" s="276"/>
      <c r="L3" s="115" t="s">
        <v>5</v>
      </c>
      <c r="M3" s="320"/>
      <c r="N3" s="321"/>
      <c r="O3" s="115" t="s">
        <v>7</v>
      </c>
      <c r="P3" s="325"/>
      <c r="Q3" s="325"/>
      <c r="R3" s="325"/>
      <c r="S3" s="325"/>
      <c r="T3" s="325"/>
      <c r="U3" s="325"/>
      <c r="V3" s="32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14" t="s">
        <v>9</v>
      </c>
      <c r="P4" s="6"/>
      <c r="Q4" s="327" t="s">
        <v>108</v>
      </c>
      <c r="R4" s="328"/>
      <c r="S4" s="328"/>
      <c r="T4" s="329"/>
      <c r="U4" s="11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1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1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2.1059999999999999</v>
      </c>
      <c r="J26" s="361"/>
      <c r="K26" s="361">
        <v>2.101</v>
      </c>
      <c r="L26" s="361"/>
      <c r="M26" s="361">
        <v>2.1019999999999999</v>
      </c>
      <c r="N26" s="361"/>
      <c r="O26" s="361">
        <v>2.0950000000000002</v>
      </c>
      <c r="P26" s="361"/>
      <c r="Q26" s="361">
        <v>2.1</v>
      </c>
      <c r="R26" s="361"/>
      <c r="S26" s="361">
        <v>2.0910000000000002</v>
      </c>
      <c r="T26" s="361"/>
      <c r="U26" s="361">
        <v>2.0939999999999999</v>
      </c>
      <c r="V26" s="361"/>
      <c r="W26" s="361">
        <v>2.0880000000000001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2.0979999999999999</v>
      </c>
      <c r="J30" s="361"/>
      <c r="K30" s="361">
        <v>2.0960000000000001</v>
      </c>
      <c r="L30" s="361"/>
      <c r="M30" s="361">
        <v>2.097</v>
      </c>
      <c r="N30" s="361"/>
      <c r="O30" s="361">
        <v>2.1019999999999999</v>
      </c>
      <c r="P30" s="361"/>
      <c r="Q30" s="361">
        <v>2.1</v>
      </c>
      <c r="R30" s="361"/>
      <c r="S30" s="361">
        <v>2.09</v>
      </c>
      <c r="T30" s="361"/>
      <c r="U30" s="361">
        <v>2.1040000000000001</v>
      </c>
      <c r="V30" s="361"/>
      <c r="W30" s="361">
        <v>2.0910000000000002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11.01</v>
      </c>
      <c r="N32" s="314"/>
      <c r="O32" s="314">
        <v>11.03</v>
      </c>
      <c r="P32" s="314"/>
      <c r="Q32" s="314">
        <v>11.02</v>
      </c>
      <c r="R32" s="314"/>
      <c r="S32" s="314">
        <v>11.02</v>
      </c>
      <c r="T32" s="314"/>
      <c r="U32" s="314">
        <v>11.02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06" t="s">
        <v>89</v>
      </c>
      <c r="E34" s="107"/>
      <c r="F34" s="107"/>
      <c r="G34" s="107"/>
      <c r="H34" s="108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09" t="s">
        <v>90</v>
      </c>
      <c r="E35" s="110"/>
      <c r="F35" s="110"/>
      <c r="G35" s="110"/>
      <c r="H35" s="111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09" t="s">
        <v>69</v>
      </c>
      <c r="E37" s="110"/>
      <c r="F37" s="110"/>
      <c r="G37" s="110"/>
      <c r="H37" s="111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06" t="s">
        <v>71</v>
      </c>
      <c r="E38" s="107"/>
      <c r="F38" s="107"/>
      <c r="G38" s="107"/>
      <c r="H38" s="108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09" t="s">
        <v>72</v>
      </c>
      <c r="E39" s="110"/>
      <c r="F39" s="110"/>
      <c r="G39" s="110"/>
      <c r="H39" s="111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06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09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06" t="s">
        <v>75</v>
      </c>
      <c r="E42" s="113"/>
      <c r="F42" s="117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09" t="s">
        <v>76</v>
      </c>
      <c r="E43" s="118"/>
      <c r="F43" s="118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06" t="s">
        <v>77</v>
      </c>
      <c r="E44" s="113"/>
      <c r="F44" s="117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09" t="s">
        <v>78</v>
      </c>
      <c r="E45" s="118"/>
      <c r="F45" s="118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06" t="s">
        <v>79</v>
      </c>
      <c r="E46" s="107"/>
      <c r="F46" s="107"/>
      <c r="G46" s="107"/>
      <c r="H46" s="108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09" t="s">
        <v>80</v>
      </c>
      <c r="E47" s="110"/>
      <c r="F47" s="110"/>
      <c r="G47" s="110"/>
      <c r="H47" s="111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06" t="s">
        <v>81</v>
      </c>
      <c r="E48" s="107"/>
      <c r="F48" s="107"/>
      <c r="G48" s="107"/>
      <c r="H48" s="108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09" t="s">
        <v>82</v>
      </c>
      <c r="E49" s="110"/>
      <c r="F49" s="110"/>
      <c r="G49" s="110"/>
      <c r="H49" s="111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09" priority="9" operator="greaterThan">
      <formula>$AA$28</formula>
    </cfRule>
    <cfRule type="cellIs" dxfId="408" priority="10" operator="lessThan">
      <formula>$AA$29</formula>
    </cfRule>
  </conditionalFormatting>
  <conditionalFormatting sqref="I32:X33">
    <cfRule type="cellIs" dxfId="407" priority="7" operator="greaterThan">
      <formula>$AA$32</formula>
    </cfRule>
    <cfRule type="cellIs" dxfId="406" priority="8" operator="lessThan">
      <formula>$AA$33</formula>
    </cfRule>
  </conditionalFormatting>
  <conditionalFormatting sqref="I30:X31">
    <cfRule type="cellIs" dxfId="405" priority="5" operator="greaterThan">
      <formula>$AA$30</formula>
    </cfRule>
    <cfRule type="cellIs" dxfId="404" priority="6" operator="lessThan">
      <formula>$AA$31</formula>
    </cfRule>
  </conditionalFormatting>
  <conditionalFormatting sqref="I26:X27">
    <cfRule type="cellIs" dxfId="403" priority="3" operator="greaterThan">
      <formula>$AA$26</formula>
    </cfRule>
    <cfRule type="cellIs" dxfId="402" priority="4" operator="lessThan">
      <formula>$AA$27</formula>
    </cfRule>
  </conditionalFormatting>
  <conditionalFormatting sqref="I32:X33">
    <cfRule type="cellIs" dxfId="401" priority="1" operator="greaterThan">
      <formula>$AA$32</formula>
    </cfRule>
    <cfRule type="cellIs" dxfId="40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40" t="s">
        <v>2</v>
      </c>
      <c r="E2" s="42"/>
      <c r="F2" s="273" t="s">
        <v>93</v>
      </c>
      <c r="G2" s="273"/>
      <c r="H2" s="273"/>
      <c r="I2" s="273"/>
      <c r="J2" s="273"/>
      <c r="K2" s="274"/>
      <c r="L2" s="140" t="s">
        <v>4</v>
      </c>
      <c r="M2" s="273">
        <v>9</v>
      </c>
      <c r="N2" s="319"/>
      <c r="O2" s="140" t="s">
        <v>6</v>
      </c>
      <c r="P2" s="322" t="s">
        <v>83</v>
      </c>
      <c r="Q2" s="323"/>
      <c r="R2" s="323"/>
      <c r="S2" s="323"/>
      <c r="T2" s="323"/>
      <c r="U2" s="323"/>
      <c r="V2" s="324"/>
      <c r="W2" s="140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41" t="s">
        <v>3</v>
      </c>
      <c r="E3" s="43"/>
      <c r="F3" s="275"/>
      <c r="G3" s="275"/>
      <c r="H3" s="275"/>
      <c r="I3" s="275"/>
      <c r="J3" s="275"/>
      <c r="K3" s="276"/>
      <c r="L3" s="141" t="s">
        <v>5</v>
      </c>
      <c r="M3" s="320"/>
      <c r="N3" s="321"/>
      <c r="O3" s="141" t="s">
        <v>7</v>
      </c>
      <c r="P3" s="325"/>
      <c r="Q3" s="325"/>
      <c r="R3" s="325"/>
      <c r="S3" s="325"/>
      <c r="T3" s="325"/>
      <c r="U3" s="325"/>
      <c r="V3" s="32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27" t="s">
        <v>109</v>
      </c>
      <c r="R4" s="328"/>
      <c r="S4" s="328"/>
      <c r="T4" s="329"/>
      <c r="U4" s="14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4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38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2.11</v>
      </c>
      <c r="J26" s="361"/>
      <c r="K26" s="361">
        <v>2.0979999999999999</v>
      </c>
      <c r="L26" s="361"/>
      <c r="M26" s="361">
        <v>2.101</v>
      </c>
      <c r="N26" s="361"/>
      <c r="O26" s="361">
        <v>2.1040000000000001</v>
      </c>
      <c r="P26" s="361"/>
      <c r="Q26" s="361">
        <v>2.1040000000000001</v>
      </c>
      <c r="R26" s="361"/>
      <c r="S26" s="361">
        <v>2.101</v>
      </c>
      <c r="T26" s="361"/>
      <c r="U26" s="361">
        <v>2.0990000000000002</v>
      </c>
      <c r="V26" s="361"/>
      <c r="W26" s="361">
        <v>2.1040000000000001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2.0979999999999999</v>
      </c>
      <c r="J30" s="361"/>
      <c r="K30" s="361">
        <v>2.0950000000000002</v>
      </c>
      <c r="L30" s="361"/>
      <c r="M30" s="361">
        <v>2.101</v>
      </c>
      <c r="N30" s="361"/>
      <c r="O30" s="361">
        <v>2.0990000000000002</v>
      </c>
      <c r="P30" s="361"/>
      <c r="Q30" s="361">
        <v>2.1030000000000002</v>
      </c>
      <c r="R30" s="361"/>
      <c r="S30" s="361">
        <v>2.097</v>
      </c>
      <c r="T30" s="361"/>
      <c r="U30" s="361">
        <v>2.1</v>
      </c>
      <c r="V30" s="361"/>
      <c r="W30" s="361">
        <v>2.0870000000000002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11.01</v>
      </c>
      <c r="L32" s="314"/>
      <c r="M32" s="314">
        <v>11.02</v>
      </c>
      <c r="N32" s="314"/>
      <c r="O32" s="314">
        <v>11.04</v>
      </c>
      <c r="P32" s="314"/>
      <c r="Q32" s="314">
        <v>11.04</v>
      </c>
      <c r="R32" s="314"/>
      <c r="S32" s="314">
        <v>11.02</v>
      </c>
      <c r="T32" s="314"/>
      <c r="U32" s="314">
        <v>11.01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32" t="s">
        <v>89</v>
      </c>
      <c r="E34" s="133"/>
      <c r="F34" s="133"/>
      <c r="G34" s="133"/>
      <c r="H34" s="134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35" t="s">
        <v>90</v>
      </c>
      <c r="E35" s="136"/>
      <c r="F35" s="136"/>
      <c r="G35" s="136"/>
      <c r="H35" s="137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35" t="s">
        <v>69</v>
      </c>
      <c r="E37" s="136"/>
      <c r="F37" s="136"/>
      <c r="G37" s="136"/>
      <c r="H37" s="137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32" t="s">
        <v>71</v>
      </c>
      <c r="E38" s="133"/>
      <c r="F38" s="133"/>
      <c r="G38" s="133"/>
      <c r="H38" s="134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35" t="s">
        <v>72</v>
      </c>
      <c r="E39" s="136"/>
      <c r="F39" s="136"/>
      <c r="G39" s="136"/>
      <c r="H39" s="137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32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35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32" t="s">
        <v>75</v>
      </c>
      <c r="E42" s="139"/>
      <c r="F42" s="143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35" t="s">
        <v>76</v>
      </c>
      <c r="E43" s="144"/>
      <c r="F43" s="144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32" t="s">
        <v>77</v>
      </c>
      <c r="E44" s="139"/>
      <c r="F44" s="143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35" t="s">
        <v>78</v>
      </c>
      <c r="E45" s="144"/>
      <c r="F45" s="144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32" t="s">
        <v>79</v>
      </c>
      <c r="E46" s="133"/>
      <c r="F46" s="133"/>
      <c r="G46" s="133"/>
      <c r="H46" s="134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35" t="s">
        <v>80</v>
      </c>
      <c r="E47" s="136"/>
      <c r="F47" s="136"/>
      <c r="G47" s="136"/>
      <c r="H47" s="137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32" t="s">
        <v>81</v>
      </c>
      <c r="E48" s="133"/>
      <c r="F48" s="133"/>
      <c r="G48" s="133"/>
      <c r="H48" s="134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35" t="s">
        <v>82</v>
      </c>
      <c r="E49" s="136"/>
      <c r="F49" s="136"/>
      <c r="G49" s="136"/>
      <c r="H49" s="137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9" operator="greaterThan">
      <formula>$AA$28</formula>
    </cfRule>
    <cfRule type="cellIs" dxfId="398" priority="10" operator="lessThan">
      <formula>$AA$29</formula>
    </cfRule>
  </conditionalFormatting>
  <conditionalFormatting sqref="I32:X33">
    <cfRule type="cellIs" dxfId="397" priority="7" operator="greaterThan">
      <formula>$AA$32</formula>
    </cfRule>
    <cfRule type="cellIs" dxfId="396" priority="8" operator="lessThan">
      <formula>$AA$33</formula>
    </cfRule>
  </conditionalFormatting>
  <conditionalFormatting sqref="I30:X31">
    <cfRule type="cellIs" dxfId="395" priority="5" operator="greaterThan">
      <formula>$AA$30</formula>
    </cfRule>
    <cfRule type="cellIs" dxfId="394" priority="6" operator="lessThan">
      <formula>$AA$31</formula>
    </cfRule>
  </conditionalFormatting>
  <conditionalFormatting sqref="I26:X27">
    <cfRule type="cellIs" dxfId="393" priority="3" operator="greaterThan">
      <formula>$AA$26</formula>
    </cfRule>
    <cfRule type="cellIs" dxfId="392" priority="4" operator="lessThan">
      <formula>$AA$27</formula>
    </cfRule>
  </conditionalFormatting>
  <conditionalFormatting sqref="I32:X33">
    <cfRule type="cellIs" dxfId="391" priority="1" operator="greaterThan">
      <formula>$AA$32</formula>
    </cfRule>
    <cfRule type="cellIs" dxfId="3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40" t="s">
        <v>2</v>
      </c>
      <c r="E2" s="42"/>
      <c r="F2" s="273" t="s">
        <v>93</v>
      </c>
      <c r="G2" s="273"/>
      <c r="H2" s="273"/>
      <c r="I2" s="273"/>
      <c r="J2" s="273"/>
      <c r="K2" s="274"/>
      <c r="L2" s="140" t="s">
        <v>4</v>
      </c>
      <c r="M2" s="273">
        <v>9</v>
      </c>
      <c r="N2" s="319"/>
      <c r="O2" s="140" t="s">
        <v>6</v>
      </c>
      <c r="P2" s="322" t="s">
        <v>83</v>
      </c>
      <c r="Q2" s="323"/>
      <c r="R2" s="323"/>
      <c r="S2" s="323"/>
      <c r="T2" s="323"/>
      <c r="U2" s="323"/>
      <c r="V2" s="324"/>
      <c r="W2" s="140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41" t="s">
        <v>3</v>
      </c>
      <c r="E3" s="43"/>
      <c r="F3" s="275"/>
      <c r="G3" s="275"/>
      <c r="H3" s="275"/>
      <c r="I3" s="275"/>
      <c r="J3" s="275"/>
      <c r="K3" s="276"/>
      <c r="L3" s="141" t="s">
        <v>5</v>
      </c>
      <c r="M3" s="320"/>
      <c r="N3" s="321"/>
      <c r="O3" s="141" t="s">
        <v>7</v>
      </c>
      <c r="P3" s="325"/>
      <c r="Q3" s="325"/>
      <c r="R3" s="325"/>
      <c r="S3" s="325"/>
      <c r="T3" s="325"/>
      <c r="U3" s="325"/>
      <c r="V3" s="32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40" t="s">
        <v>9</v>
      </c>
      <c r="P4" s="6"/>
      <c r="Q4" s="327" t="s">
        <v>109</v>
      </c>
      <c r="R4" s="328"/>
      <c r="S4" s="328"/>
      <c r="T4" s="329"/>
      <c r="U4" s="14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4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38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2.0979999999999999</v>
      </c>
      <c r="J26" s="361"/>
      <c r="K26" s="361">
        <v>2.0990000000000002</v>
      </c>
      <c r="L26" s="361"/>
      <c r="M26" s="361">
        <v>2.1019999999999999</v>
      </c>
      <c r="N26" s="361"/>
      <c r="O26" s="361">
        <v>2.1019999999999999</v>
      </c>
      <c r="P26" s="361"/>
      <c r="Q26" s="361">
        <v>2.1</v>
      </c>
      <c r="R26" s="361"/>
      <c r="S26" s="361">
        <v>2.101</v>
      </c>
      <c r="T26" s="361"/>
      <c r="U26" s="361">
        <v>2.0990000000000002</v>
      </c>
      <c r="V26" s="361"/>
      <c r="W26" s="361">
        <v>2.0979999999999999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2.093</v>
      </c>
      <c r="J30" s="361"/>
      <c r="K30" s="361">
        <v>2.093</v>
      </c>
      <c r="L30" s="361"/>
      <c r="M30" s="361">
        <v>2.0960000000000001</v>
      </c>
      <c r="N30" s="361"/>
      <c r="O30" s="361">
        <v>2.101</v>
      </c>
      <c r="P30" s="361"/>
      <c r="Q30" s="361">
        <v>2.1040000000000001</v>
      </c>
      <c r="R30" s="361"/>
      <c r="S30" s="361">
        <v>2.0979999999999999</v>
      </c>
      <c r="T30" s="361"/>
      <c r="U30" s="361">
        <v>2.093</v>
      </c>
      <c r="V30" s="361"/>
      <c r="W30" s="361">
        <v>2.0859999999999999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</v>
      </c>
      <c r="L32" s="314"/>
      <c r="M32" s="314">
        <v>11.02</v>
      </c>
      <c r="N32" s="314"/>
      <c r="O32" s="314">
        <v>11.02</v>
      </c>
      <c r="P32" s="314"/>
      <c r="Q32" s="314">
        <v>11.03</v>
      </c>
      <c r="R32" s="314"/>
      <c r="S32" s="314">
        <v>11.03</v>
      </c>
      <c r="T32" s="314"/>
      <c r="U32" s="314">
        <v>11.03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32" t="s">
        <v>89</v>
      </c>
      <c r="E34" s="133"/>
      <c r="F34" s="133"/>
      <c r="G34" s="133"/>
      <c r="H34" s="134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35" t="s">
        <v>90</v>
      </c>
      <c r="E35" s="136"/>
      <c r="F35" s="136"/>
      <c r="G35" s="136"/>
      <c r="H35" s="137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35" t="s">
        <v>69</v>
      </c>
      <c r="E37" s="136"/>
      <c r="F37" s="136"/>
      <c r="G37" s="136"/>
      <c r="H37" s="137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32" t="s">
        <v>71</v>
      </c>
      <c r="E38" s="133"/>
      <c r="F38" s="133"/>
      <c r="G38" s="133"/>
      <c r="H38" s="134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35" t="s">
        <v>72</v>
      </c>
      <c r="E39" s="136"/>
      <c r="F39" s="136"/>
      <c r="G39" s="136"/>
      <c r="H39" s="137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32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35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32" t="s">
        <v>75</v>
      </c>
      <c r="E42" s="139"/>
      <c r="F42" s="143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35" t="s">
        <v>76</v>
      </c>
      <c r="E43" s="144"/>
      <c r="F43" s="144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32" t="s">
        <v>77</v>
      </c>
      <c r="E44" s="139"/>
      <c r="F44" s="143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35" t="s">
        <v>78</v>
      </c>
      <c r="E45" s="144"/>
      <c r="F45" s="144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32" t="s">
        <v>79</v>
      </c>
      <c r="E46" s="133"/>
      <c r="F46" s="133"/>
      <c r="G46" s="133"/>
      <c r="H46" s="134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35" t="s">
        <v>80</v>
      </c>
      <c r="E47" s="136"/>
      <c r="F47" s="136"/>
      <c r="G47" s="136"/>
      <c r="H47" s="137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32" t="s">
        <v>81</v>
      </c>
      <c r="E48" s="133"/>
      <c r="F48" s="133"/>
      <c r="G48" s="133"/>
      <c r="H48" s="134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35" t="s">
        <v>82</v>
      </c>
      <c r="E49" s="136"/>
      <c r="F49" s="136"/>
      <c r="G49" s="136"/>
      <c r="H49" s="137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9" priority="9" operator="greaterThan">
      <formula>$AA$28</formula>
    </cfRule>
    <cfRule type="cellIs" dxfId="388" priority="10" operator="lessThan">
      <formula>$AA$29</formula>
    </cfRule>
  </conditionalFormatting>
  <conditionalFormatting sqref="I32:X33">
    <cfRule type="cellIs" dxfId="387" priority="7" operator="greaterThan">
      <formula>$AA$32</formula>
    </cfRule>
    <cfRule type="cellIs" dxfId="386" priority="8" operator="lessThan">
      <formula>$AA$33</formula>
    </cfRule>
  </conditionalFormatting>
  <conditionalFormatting sqref="I30:X31">
    <cfRule type="cellIs" dxfId="385" priority="5" operator="greaterThan">
      <formula>$AA$30</formula>
    </cfRule>
    <cfRule type="cellIs" dxfId="384" priority="6" operator="lessThan">
      <formula>$AA$31</formula>
    </cfRule>
  </conditionalFormatting>
  <conditionalFormatting sqref="I26:X27">
    <cfRule type="cellIs" dxfId="383" priority="3" operator="greaterThan">
      <formula>$AA$26</formula>
    </cfRule>
    <cfRule type="cellIs" dxfId="382" priority="4" operator="lessThan">
      <formula>$AA$27</formula>
    </cfRule>
  </conditionalFormatting>
  <conditionalFormatting sqref="I32:X33">
    <cfRule type="cellIs" dxfId="381" priority="1" operator="greaterThan">
      <formula>$AA$32</formula>
    </cfRule>
    <cfRule type="cellIs" dxfId="3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40" t="s">
        <v>2</v>
      </c>
      <c r="E2" s="42"/>
      <c r="F2" s="273" t="s">
        <v>93</v>
      </c>
      <c r="G2" s="273"/>
      <c r="H2" s="273"/>
      <c r="I2" s="273"/>
      <c r="J2" s="273"/>
      <c r="K2" s="274"/>
      <c r="L2" s="140" t="s">
        <v>4</v>
      </c>
      <c r="M2" s="273">
        <v>9</v>
      </c>
      <c r="N2" s="319"/>
      <c r="O2" s="140" t="s">
        <v>6</v>
      </c>
      <c r="P2" s="322" t="s">
        <v>83</v>
      </c>
      <c r="Q2" s="323"/>
      <c r="R2" s="323"/>
      <c r="S2" s="323"/>
      <c r="T2" s="323"/>
      <c r="U2" s="323"/>
      <c r="V2" s="324"/>
      <c r="W2" s="140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41" t="s">
        <v>3</v>
      </c>
      <c r="E3" s="43"/>
      <c r="F3" s="275"/>
      <c r="G3" s="275"/>
      <c r="H3" s="275"/>
      <c r="I3" s="275"/>
      <c r="J3" s="275"/>
      <c r="K3" s="276"/>
      <c r="L3" s="141" t="s">
        <v>5</v>
      </c>
      <c r="M3" s="320"/>
      <c r="N3" s="321"/>
      <c r="O3" s="141" t="s">
        <v>7</v>
      </c>
      <c r="P3" s="325"/>
      <c r="Q3" s="325"/>
      <c r="R3" s="325"/>
      <c r="S3" s="325"/>
      <c r="T3" s="325"/>
      <c r="U3" s="325"/>
      <c r="V3" s="32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27" t="s">
        <v>110</v>
      </c>
      <c r="R4" s="328"/>
      <c r="S4" s="328"/>
      <c r="T4" s="329"/>
      <c r="U4" s="14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4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38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2.1080000000000001</v>
      </c>
      <c r="J26" s="361"/>
      <c r="K26" s="361">
        <v>2.1</v>
      </c>
      <c r="L26" s="361"/>
      <c r="M26" s="361">
        <v>2.101</v>
      </c>
      <c r="N26" s="361"/>
      <c r="O26" s="361">
        <v>2.1019999999999999</v>
      </c>
      <c r="P26" s="361"/>
      <c r="Q26" s="361">
        <v>2.101</v>
      </c>
      <c r="R26" s="361"/>
      <c r="S26" s="361">
        <v>2.1019999999999999</v>
      </c>
      <c r="T26" s="361"/>
      <c r="U26" s="361">
        <v>2.1030000000000002</v>
      </c>
      <c r="V26" s="361"/>
      <c r="W26" s="361">
        <v>2.093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2.0990000000000002</v>
      </c>
      <c r="J30" s="361"/>
      <c r="K30" s="361">
        <v>2.0950000000000002</v>
      </c>
      <c r="L30" s="361"/>
      <c r="M30" s="361">
        <v>2.105</v>
      </c>
      <c r="N30" s="361"/>
      <c r="O30" s="361">
        <v>2.113</v>
      </c>
      <c r="P30" s="361"/>
      <c r="Q30" s="361">
        <v>2.109</v>
      </c>
      <c r="R30" s="361"/>
      <c r="S30" s="361">
        <v>2.1030000000000002</v>
      </c>
      <c r="T30" s="361"/>
      <c r="U30" s="361">
        <v>2.1</v>
      </c>
      <c r="V30" s="361"/>
      <c r="W30" s="361">
        <v>2.0979999999999999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11.03</v>
      </c>
      <c r="N32" s="314"/>
      <c r="O32" s="314">
        <v>11.03</v>
      </c>
      <c r="P32" s="314"/>
      <c r="Q32" s="314">
        <v>11.02</v>
      </c>
      <c r="R32" s="314"/>
      <c r="S32" s="314">
        <v>11</v>
      </c>
      <c r="T32" s="314"/>
      <c r="U32" s="314">
        <v>11.03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32" t="s">
        <v>89</v>
      </c>
      <c r="E34" s="133"/>
      <c r="F34" s="133"/>
      <c r="G34" s="133"/>
      <c r="H34" s="134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35" t="s">
        <v>90</v>
      </c>
      <c r="E35" s="136"/>
      <c r="F35" s="136"/>
      <c r="G35" s="136"/>
      <c r="H35" s="137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35" t="s">
        <v>69</v>
      </c>
      <c r="E37" s="136"/>
      <c r="F37" s="136"/>
      <c r="G37" s="136"/>
      <c r="H37" s="137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32" t="s">
        <v>71</v>
      </c>
      <c r="E38" s="133"/>
      <c r="F38" s="133"/>
      <c r="G38" s="133"/>
      <c r="H38" s="134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35" t="s">
        <v>72</v>
      </c>
      <c r="E39" s="136"/>
      <c r="F39" s="136"/>
      <c r="G39" s="136"/>
      <c r="H39" s="137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32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35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32" t="s">
        <v>75</v>
      </c>
      <c r="E42" s="139"/>
      <c r="F42" s="143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35" t="s">
        <v>76</v>
      </c>
      <c r="E43" s="144"/>
      <c r="F43" s="144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32" t="s">
        <v>77</v>
      </c>
      <c r="E44" s="139"/>
      <c r="F44" s="143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35" t="s">
        <v>78</v>
      </c>
      <c r="E45" s="144"/>
      <c r="F45" s="144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32" t="s">
        <v>79</v>
      </c>
      <c r="E46" s="133"/>
      <c r="F46" s="133"/>
      <c r="G46" s="133"/>
      <c r="H46" s="134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35" t="s">
        <v>80</v>
      </c>
      <c r="E47" s="136"/>
      <c r="F47" s="136"/>
      <c r="G47" s="136"/>
      <c r="H47" s="137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32" t="s">
        <v>81</v>
      </c>
      <c r="E48" s="133"/>
      <c r="F48" s="133"/>
      <c r="G48" s="133"/>
      <c r="H48" s="134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35" t="s">
        <v>82</v>
      </c>
      <c r="E49" s="136"/>
      <c r="F49" s="136"/>
      <c r="G49" s="136"/>
      <c r="H49" s="137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9" priority="9" operator="greaterThan">
      <formula>$AA$28</formula>
    </cfRule>
    <cfRule type="cellIs" dxfId="378" priority="10" operator="lessThan">
      <formula>$AA$29</formula>
    </cfRule>
  </conditionalFormatting>
  <conditionalFormatting sqref="I32:X33">
    <cfRule type="cellIs" dxfId="377" priority="7" operator="greaterThan">
      <formula>$AA$32</formula>
    </cfRule>
    <cfRule type="cellIs" dxfId="376" priority="8" operator="lessThan">
      <formula>$AA$33</formula>
    </cfRule>
  </conditionalFormatting>
  <conditionalFormatting sqref="I30:X31">
    <cfRule type="cellIs" dxfId="375" priority="5" operator="greaterThan">
      <formula>$AA$30</formula>
    </cfRule>
    <cfRule type="cellIs" dxfId="374" priority="6" operator="lessThan">
      <formula>$AA$31</formula>
    </cfRule>
  </conditionalFormatting>
  <conditionalFormatting sqref="I26:X27">
    <cfRule type="cellIs" dxfId="373" priority="3" operator="greaterThan">
      <formula>$AA$26</formula>
    </cfRule>
    <cfRule type="cellIs" dxfId="372" priority="4" operator="lessThan">
      <formula>$AA$27</formula>
    </cfRule>
  </conditionalFormatting>
  <conditionalFormatting sqref="I32:X33">
    <cfRule type="cellIs" dxfId="371" priority="1" operator="greaterThan">
      <formula>$AA$32</formula>
    </cfRule>
    <cfRule type="cellIs" dxfId="37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40" t="s">
        <v>2</v>
      </c>
      <c r="E2" s="42"/>
      <c r="F2" s="273" t="s">
        <v>93</v>
      </c>
      <c r="G2" s="273"/>
      <c r="H2" s="273"/>
      <c r="I2" s="273"/>
      <c r="J2" s="273"/>
      <c r="K2" s="274"/>
      <c r="L2" s="140" t="s">
        <v>4</v>
      </c>
      <c r="M2" s="273">
        <v>9</v>
      </c>
      <c r="N2" s="319"/>
      <c r="O2" s="140" t="s">
        <v>6</v>
      </c>
      <c r="P2" s="322" t="s">
        <v>83</v>
      </c>
      <c r="Q2" s="323"/>
      <c r="R2" s="323"/>
      <c r="S2" s="323"/>
      <c r="T2" s="323"/>
      <c r="U2" s="323"/>
      <c r="V2" s="324"/>
      <c r="W2" s="140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41" t="s">
        <v>3</v>
      </c>
      <c r="E3" s="43"/>
      <c r="F3" s="275"/>
      <c r="G3" s="275"/>
      <c r="H3" s="275"/>
      <c r="I3" s="275"/>
      <c r="J3" s="275"/>
      <c r="K3" s="276"/>
      <c r="L3" s="141" t="s">
        <v>5</v>
      </c>
      <c r="M3" s="320"/>
      <c r="N3" s="321"/>
      <c r="O3" s="141" t="s">
        <v>7</v>
      </c>
      <c r="P3" s="325"/>
      <c r="Q3" s="325"/>
      <c r="R3" s="325"/>
      <c r="S3" s="325"/>
      <c r="T3" s="325"/>
      <c r="U3" s="325"/>
      <c r="V3" s="32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40" t="s">
        <v>9</v>
      </c>
      <c r="P4" s="6"/>
      <c r="Q4" s="327" t="s">
        <v>110</v>
      </c>
      <c r="R4" s="328"/>
      <c r="S4" s="328"/>
      <c r="T4" s="329"/>
      <c r="U4" s="14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4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38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2.097</v>
      </c>
      <c r="J26" s="361"/>
      <c r="K26" s="361">
        <v>2.0979999999999999</v>
      </c>
      <c r="L26" s="361"/>
      <c r="M26" s="361">
        <v>2.1</v>
      </c>
      <c r="N26" s="361"/>
      <c r="O26" s="361">
        <v>2.1030000000000002</v>
      </c>
      <c r="P26" s="361"/>
      <c r="Q26" s="361">
        <v>2.0990000000000002</v>
      </c>
      <c r="R26" s="361"/>
      <c r="S26" s="361">
        <v>2.0990000000000002</v>
      </c>
      <c r="T26" s="361"/>
      <c r="U26" s="361">
        <v>2.1019999999999999</v>
      </c>
      <c r="V26" s="361"/>
      <c r="W26" s="361">
        <v>2.1019999999999999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2.089</v>
      </c>
      <c r="J30" s="361"/>
      <c r="K30" s="361">
        <v>2.0950000000000002</v>
      </c>
      <c r="L30" s="361"/>
      <c r="M30" s="361">
        <v>2.1</v>
      </c>
      <c r="N30" s="361"/>
      <c r="O30" s="361">
        <v>2.0990000000000002</v>
      </c>
      <c r="P30" s="361"/>
      <c r="Q30" s="361">
        <v>2.1040000000000001</v>
      </c>
      <c r="R30" s="361"/>
      <c r="S30" s="361">
        <v>2.101</v>
      </c>
      <c r="T30" s="361"/>
      <c r="U30" s="361">
        <v>2.1019999999999999</v>
      </c>
      <c r="V30" s="361"/>
      <c r="W30" s="361">
        <v>2.093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10.98</v>
      </c>
      <c r="J32" s="314"/>
      <c r="K32" s="314">
        <v>11.01</v>
      </c>
      <c r="L32" s="314"/>
      <c r="M32" s="314">
        <v>11.02</v>
      </c>
      <c r="N32" s="314"/>
      <c r="O32" s="314">
        <v>11.04</v>
      </c>
      <c r="P32" s="314"/>
      <c r="Q32" s="314">
        <v>11.04</v>
      </c>
      <c r="R32" s="314"/>
      <c r="S32" s="314">
        <v>11.02</v>
      </c>
      <c r="T32" s="314"/>
      <c r="U32" s="314">
        <v>11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32" t="s">
        <v>89</v>
      </c>
      <c r="E34" s="133"/>
      <c r="F34" s="133"/>
      <c r="G34" s="133"/>
      <c r="H34" s="134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35" t="s">
        <v>90</v>
      </c>
      <c r="E35" s="136"/>
      <c r="F35" s="136"/>
      <c r="G35" s="136"/>
      <c r="H35" s="137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35" t="s">
        <v>69</v>
      </c>
      <c r="E37" s="136"/>
      <c r="F37" s="136"/>
      <c r="G37" s="136"/>
      <c r="H37" s="137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32" t="s">
        <v>71</v>
      </c>
      <c r="E38" s="133"/>
      <c r="F38" s="133"/>
      <c r="G38" s="133"/>
      <c r="H38" s="134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35" t="s">
        <v>72</v>
      </c>
      <c r="E39" s="136"/>
      <c r="F39" s="136"/>
      <c r="G39" s="136"/>
      <c r="H39" s="137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32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35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32" t="s">
        <v>75</v>
      </c>
      <c r="E42" s="139"/>
      <c r="F42" s="143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35" t="s">
        <v>76</v>
      </c>
      <c r="E43" s="144"/>
      <c r="F43" s="144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32" t="s">
        <v>77</v>
      </c>
      <c r="E44" s="139"/>
      <c r="F44" s="143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35" t="s">
        <v>78</v>
      </c>
      <c r="E45" s="144"/>
      <c r="F45" s="144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32" t="s">
        <v>79</v>
      </c>
      <c r="E46" s="133"/>
      <c r="F46" s="133"/>
      <c r="G46" s="133"/>
      <c r="H46" s="134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35" t="s">
        <v>80</v>
      </c>
      <c r="E47" s="136"/>
      <c r="F47" s="136"/>
      <c r="G47" s="136"/>
      <c r="H47" s="137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32" t="s">
        <v>81</v>
      </c>
      <c r="E48" s="133"/>
      <c r="F48" s="133"/>
      <c r="G48" s="133"/>
      <c r="H48" s="134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35" t="s">
        <v>82</v>
      </c>
      <c r="E49" s="136"/>
      <c r="F49" s="136"/>
      <c r="G49" s="136"/>
      <c r="H49" s="137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9" priority="9" operator="greaterThan">
      <formula>$AA$28</formula>
    </cfRule>
    <cfRule type="cellIs" dxfId="368" priority="10" operator="lessThan">
      <formula>$AA$29</formula>
    </cfRule>
  </conditionalFormatting>
  <conditionalFormatting sqref="I32:X33">
    <cfRule type="cellIs" dxfId="367" priority="7" operator="greaterThan">
      <formula>$AA$32</formula>
    </cfRule>
    <cfRule type="cellIs" dxfId="366" priority="8" operator="lessThan">
      <formula>$AA$33</formula>
    </cfRule>
  </conditionalFormatting>
  <conditionalFormatting sqref="I30:X31">
    <cfRule type="cellIs" dxfId="365" priority="5" operator="greaterThan">
      <formula>$AA$30</formula>
    </cfRule>
    <cfRule type="cellIs" dxfId="364" priority="6" operator="lessThan">
      <formula>$AA$31</formula>
    </cfRule>
  </conditionalFormatting>
  <conditionalFormatting sqref="I26:X27">
    <cfRule type="cellIs" dxfId="363" priority="3" operator="greaterThan">
      <formula>$AA$26</formula>
    </cfRule>
    <cfRule type="cellIs" dxfId="362" priority="4" operator="lessThan">
      <formula>$AA$27</formula>
    </cfRule>
  </conditionalFormatting>
  <conditionalFormatting sqref="I32:X33">
    <cfRule type="cellIs" dxfId="361" priority="1" operator="greaterThan">
      <formula>$AA$32</formula>
    </cfRule>
    <cfRule type="cellIs" dxfId="3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53" t="s">
        <v>2</v>
      </c>
      <c r="E2" s="42"/>
      <c r="F2" s="273" t="s">
        <v>93</v>
      </c>
      <c r="G2" s="273"/>
      <c r="H2" s="273"/>
      <c r="I2" s="273"/>
      <c r="J2" s="273"/>
      <c r="K2" s="274"/>
      <c r="L2" s="153" t="s">
        <v>4</v>
      </c>
      <c r="M2" s="273">
        <v>9</v>
      </c>
      <c r="N2" s="319"/>
      <c r="O2" s="153" t="s">
        <v>6</v>
      </c>
      <c r="P2" s="322" t="s">
        <v>83</v>
      </c>
      <c r="Q2" s="323"/>
      <c r="R2" s="323"/>
      <c r="S2" s="323"/>
      <c r="T2" s="323"/>
      <c r="U2" s="323"/>
      <c r="V2" s="324"/>
      <c r="W2" s="153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54" t="s">
        <v>3</v>
      </c>
      <c r="E3" s="43"/>
      <c r="F3" s="275"/>
      <c r="G3" s="275"/>
      <c r="H3" s="275"/>
      <c r="I3" s="275"/>
      <c r="J3" s="275"/>
      <c r="K3" s="276"/>
      <c r="L3" s="154" t="s">
        <v>5</v>
      </c>
      <c r="M3" s="320"/>
      <c r="N3" s="321"/>
      <c r="O3" s="154" t="s">
        <v>7</v>
      </c>
      <c r="P3" s="325"/>
      <c r="Q3" s="325"/>
      <c r="R3" s="325"/>
      <c r="S3" s="325"/>
      <c r="T3" s="325"/>
      <c r="U3" s="325"/>
      <c r="V3" s="32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27" t="s">
        <v>111</v>
      </c>
      <c r="R4" s="328"/>
      <c r="S4" s="328"/>
      <c r="T4" s="329"/>
      <c r="U4" s="153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54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51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2.0950000000000002</v>
      </c>
      <c r="J26" s="361"/>
      <c r="K26" s="361">
        <v>2.0979999999999999</v>
      </c>
      <c r="L26" s="361"/>
      <c r="M26" s="361">
        <v>2.0920000000000001</v>
      </c>
      <c r="N26" s="361"/>
      <c r="O26" s="361">
        <v>2.1019999999999999</v>
      </c>
      <c r="P26" s="361"/>
      <c r="Q26" s="361">
        <v>2.1</v>
      </c>
      <c r="R26" s="361"/>
      <c r="S26" s="361">
        <v>2.1059999999999999</v>
      </c>
      <c r="T26" s="361"/>
      <c r="U26" s="361">
        <v>2.1059999999999999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2.105</v>
      </c>
      <c r="J30" s="361"/>
      <c r="K30" s="361">
        <v>2.097</v>
      </c>
      <c r="L30" s="361"/>
      <c r="M30" s="361">
        <v>2.1</v>
      </c>
      <c r="N30" s="361"/>
      <c r="O30" s="361">
        <v>2.1</v>
      </c>
      <c r="P30" s="361"/>
      <c r="Q30" s="361">
        <v>2.0990000000000002</v>
      </c>
      <c r="R30" s="361"/>
      <c r="S30" s="361">
        <v>2.0990000000000002</v>
      </c>
      <c r="T30" s="361"/>
      <c r="U30" s="361">
        <v>2.097</v>
      </c>
      <c r="V30" s="361"/>
      <c r="W30" s="361">
        <v>2.1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11.01</v>
      </c>
      <c r="L32" s="314"/>
      <c r="M32" s="314">
        <v>11.03</v>
      </c>
      <c r="N32" s="314"/>
      <c r="O32" s="314">
        <v>11.04</v>
      </c>
      <c r="P32" s="314"/>
      <c r="Q32" s="314">
        <v>11.03</v>
      </c>
      <c r="R32" s="314"/>
      <c r="S32" s="314">
        <v>11.01</v>
      </c>
      <c r="T32" s="314"/>
      <c r="U32" s="314">
        <v>11.01</v>
      </c>
      <c r="V32" s="314"/>
      <c r="W32" s="314">
        <v>11.03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45" t="s">
        <v>89</v>
      </c>
      <c r="E34" s="146"/>
      <c r="F34" s="146"/>
      <c r="G34" s="146"/>
      <c r="H34" s="147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48" t="s">
        <v>90</v>
      </c>
      <c r="E35" s="149"/>
      <c r="F35" s="149"/>
      <c r="G35" s="149"/>
      <c r="H35" s="15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48" t="s">
        <v>69</v>
      </c>
      <c r="E37" s="149"/>
      <c r="F37" s="149"/>
      <c r="G37" s="149"/>
      <c r="H37" s="15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45" t="s">
        <v>71</v>
      </c>
      <c r="E38" s="146"/>
      <c r="F38" s="146"/>
      <c r="G38" s="146"/>
      <c r="H38" s="147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48" t="s">
        <v>72</v>
      </c>
      <c r="E39" s="149"/>
      <c r="F39" s="149"/>
      <c r="G39" s="149"/>
      <c r="H39" s="15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45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48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45" t="s">
        <v>75</v>
      </c>
      <c r="E42" s="152"/>
      <c r="F42" s="156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48" t="s">
        <v>76</v>
      </c>
      <c r="E43" s="157"/>
      <c r="F43" s="157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45" t="s">
        <v>77</v>
      </c>
      <c r="E44" s="152"/>
      <c r="F44" s="156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48" t="s">
        <v>78</v>
      </c>
      <c r="E45" s="157"/>
      <c r="F45" s="157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45" t="s">
        <v>79</v>
      </c>
      <c r="E46" s="146"/>
      <c r="F46" s="146"/>
      <c r="G46" s="146"/>
      <c r="H46" s="147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48" t="s">
        <v>80</v>
      </c>
      <c r="E47" s="149"/>
      <c r="F47" s="149"/>
      <c r="G47" s="149"/>
      <c r="H47" s="15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45" t="s">
        <v>81</v>
      </c>
      <c r="E48" s="146"/>
      <c r="F48" s="146"/>
      <c r="G48" s="146"/>
      <c r="H48" s="147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48" t="s">
        <v>82</v>
      </c>
      <c r="E49" s="149"/>
      <c r="F49" s="149"/>
      <c r="G49" s="149"/>
      <c r="H49" s="15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9" operator="greaterThan">
      <formula>$AA$28</formula>
    </cfRule>
    <cfRule type="cellIs" dxfId="358" priority="10" operator="lessThan">
      <formula>$AA$29</formula>
    </cfRule>
  </conditionalFormatting>
  <conditionalFormatting sqref="I32:X33">
    <cfRule type="cellIs" dxfId="357" priority="7" operator="greaterThan">
      <formula>$AA$32</formula>
    </cfRule>
    <cfRule type="cellIs" dxfId="356" priority="8" operator="lessThan">
      <formula>$AA$33</formula>
    </cfRule>
  </conditionalFormatting>
  <conditionalFormatting sqref="I30:X31">
    <cfRule type="cellIs" dxfId="355" priority="5" operator="greaterThan">
      <formula>$AA$30</formula>
    </cfRule>
    <cfRule type="cellIs" dxfId="354" priority="6" operator="lessThan">
      <formula>$AA$31</formula>
    </cfRule>
  </conditionalFormatting>
  <conditionalFormatting sqref="I26:X27">
    <cfRule type="cellIs" dxfId="353" priority="3" operator="greaterThan">
      <formula>$AA$26</formula>
    </cfRule>
    <cfRule type="cellIs" dxfId="352" priority="4" operator="lessThan">
      <formula>$AA$27</formula>
    </cfRule>
  </conditionalFormatting>
  <conditionalFormatting sqref="I32:X33">
    <cfRule type="cellIs" dxfId="351" priority="1" operator="greaterThan">
      <formula>$AA$32</formula>
    </cfRule>
    <cfRule type="cellIs" dxfId="35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53" t="s">
        <v>2</v>
      </c>
      <c r="E2" s="42"/>
      <c r="F2" s="273" t="s">
        <v>93</v>
      </c>
      <c r="G2" s="273"/>
      <c r="H2" s="273"/>
      <c r="I2" s="273"/>
      <c r="J2" s="273"/>
      <c r="K2" s="274"/>
      <c r="L2" s="153" t="s">
        <v>4</v>
      </c>
      <c r="M2" s="273">
        <v>9</v>
      </c>
      <c r="N2" s="319"/>
      <c r="O2" s="153" t="s">
        <v>6</v>
      </c>
      <c r="P2" s="322" t="s">
        <v>83</v>
      </c>
      <c r="Q2" s="323"/>
      <c r="R2" s="323"/>
      <c r="S2" s="323"/>
      <c r="T2" s="323"/>
      <c r="U2" s="323"/>
      <c r="V2" s="324"/>
      <c r="W2" s="153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54" t="s">
        <v>3</v>
      </c>
      <c r="E3" s="43"/>
      <c r="F3" s="275"/>
      <c r="G3" s="275"/>
      <c r="H3" s="275"/>
      <c r="I3" s="275"/>
      <c r="J3" s="275"/>
      <c r="K3" s="276"/>
      <c r="L3" s="154" t="s">
        <v>5</v>
      </c>
      <c r="M3" s="320"/>
      <c r="N3" s="321"/>
      <c r="O3" s="154" t="s">
        <v>7</v>
      </c>
      <c r="P3" s="325"/>
      <c r="Q3" s="325"/>
      <c r="R3" s="325"/>
      <c r="S3" s="325"/>
      <c r="T3" s="325"/>
      <c r="U3" s="325"/>
      <c r="V3" s="32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53" t="s">
        <v>9</v>
      </c>
      <c r="P4" s="6"/>
      <c r="Q4" s="327" t="s">
        <v>111</v>
      </c>
      <c r="R4" s="328"/>
      <c r="S4" s="328"/>
      <c r="T4" s="329"/>
      <c r="U4" s="153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54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51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2.0979999999999999</v>
      </c>
      <c r="J26" s="361"/>
      <c r="K26" s="361">
        <v>2.097</v>
      </c>
      <c r="L26" s="361"/>
      <c r="M26" s="361">
        <v>2.0960000000000001</v>
      </c>
      <c r="N26" s="361"/>
      <c r="O26" s="361">
        <v>2.0990000000000002</v>
      </c>
      <c r="P26" s="361"/>
      <c r="Q26" s="361">
        <v>2.1080000000000001</v>
      </c>
      <c r="R26" s="361"/>
      <c r="S26" s="361">
        <v>2.101</v>
      </c>
      <c r="T26" s="361"/>
      <c r="U26" s="361">
        <v>2.1019999999999999</v>
      </c>
      <c r="V26" s="361"/>
      <c r="W26" s="361">
        <v>2.1030000000000002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2.0990000000000002</v>
      </c>
      <c r="J30" s="361"/>
      <c r="K30" s="361">
        <v>2.1</v>
      </c>
      <c r="L30" s="361"/>
      <c r="M30" s="361">
        <v>2.0990000000000002</v>
      </c>
      <c r="N30" s="361"/>
      <c r="O30" s="361">
        <v>2.1</v>
      </c>
      <c r="P30" s="361"/>
      <c r="Q30" s="361">
        <v>2.0979999999999999</v>
      </c>
      <c r="R30" s="361"/>
      <c r="S30" s="361">
        <v>2.1</v>
      </c>
      <c r="T30" s="361"/>
      <c r="U30" s="361">
        <v>2.1019999999999999</v>
      </c>
      <c r="V30" s="361"/>
      <c r="W30" s="361">
        <v>2.1030000000000002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11.01</v>
      </c>
      <c r="L32" s="314"/>
      <c r="M32" s="314">
        <v>11.02</v>
      </c>
      <c r="N32" s="314"/>
      <c r="O32" s="314">
        <v>11.03</v>
      </c>
      <c r="P32" s="314"/>
      <c r="Q32" s="314">
        <v>11.04</v>
      </c>
      <c r="R32" s="314"/>
      <c r="S32" s="314">
        <v>11.03</v>
      </c>
      <c r="T32" s="314"/>
      <c r="U32" s="314">
        <v>11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45" t="s">
        <v>89</v>
      </c>
      <c r="E34" s="146"/>
      <c r="F34" s="146"/>
      <c r="G34" s="146"/>
      <c r="H34" s="147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48" t="s">
        <v>90</v>
      </c>
      <c r="E35" s="149"/>
      <c r="F35" s="149"/>
      <c r="G35" s="149"/>
      <c r="H35" s="15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48" t="s">
        <v>69</v>
      </c>
      <c r="E37" s="149"/>
      <c r="F37" s="149"/>
      <c r="G37" s="149"/>
      <c r="H37" s="15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45" t="s">
        <v>71</v>
      </c>
      <c r="E38" s="146"/>
      <c r="F38" s="146"/>
      <c r="G38" s="146"/>
      <c r="H38" s="147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48" t="s">
        <v>72</v>
      </c>
      <c r="E39" s="149"/>
      <c r="F39" s="149"/>
      <c r="G39" s="149"/>
      <c r="H39" s="15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45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48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45" t="s">
        <v>75</v>
      </c>
      <c r="E42" s="152"/>
      <c r="F42" s="156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48" t="s">
        <v>76</v>
      </c>
      <c r="E43" s="157"/>
      <c r="F43" s="157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45" t="s">
        <v>77</v>
      </c>
      <c r="E44" s="152"/>
      <c r="F44" s="156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48" t="s">
        <v>78</v>
      </c>
      <c r="E45" s="157"/>
      <c r="F45" s="157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45" t="s">
        <v>79</v>
      </c>
      <c r="E46" s="146"/>
      <c r="F46" s="146"/>
      <c r="G46" s="146"/>
      <c r="H46" s="147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48" t="s">
        <v>80</v>
      </c>
      <c r="E47" s="149"/>
      <c r="F47" s="149"/>
      <c r="G47" s="149"/>
      <c r="H47" s="15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45" t="s">
        <v>81</v>
      </c>
      <c r="E48" s="146"/>
      <c r="F48" s="146"/>
      <c r="G48" s="146"/>
      <c r="H48" s="147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48" t="s">
        <v>82</v>
      </c>
      <c r="E49" s="149"/>
      <c r="F49" s="149"/>
      <c r="G49" s="149"/>
      <c r="H49" s="15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9" priority="9" operator="greaterThan">
      <formula>$AA$28</formula>
    </cfRule>
    <cfRule type="cellIs" dxfId="348" priority="10" operator="lessThan">
      <formula>$AA$29</formula>
    </cfRule>
  </conditionalFormatting>
  <conditionalFormatting sqref="I32:X33">
    <cfRule type="cellIs" dxfId="347" priority="7" operator="greaterThan">
      <formula>$AA$32</formula>
    </cfRule>
    <cfRule type="cellIs" dxfId="346" priority="8" operator="lessThan">
      <formula>$AA$33</formula>
    </cfRule>
  </conditionalFormatting>
  <conditionalFormatting sqref="I30:X31">
    <cfRule type="cellIs" dxfId="345" priority="5" operator="greaterThan">
      <formula>$AA$30</formula>
    </cfRule>
    <cfRule type="cellIs" dxfId="344" priority="6" operator="lessThan">
      <formula>$AA$31</formula>
    </cfRule>
  </conditionalFormatting>
  <conditionalFormatting sqref="I26:X27">
    <cfRule type="cellIs" dxfId="343" priority="3" operator="greaterThan">
      <formula>$AA$26</formula>
    </cfRule>
    <cfRule type="cellIs" dxfId="342" priority="4" operator="lessThan">
      <formula>$AA$27</formula>
    </cfRule>
  </conditionalFormatting>
  <conditionalFormatting sqref="I32:X33">
    <cfRule type="cellIs" dxfId="341" priority="1" operator="greaterThan">
      <formula>$AA$32</formula>
    </cfRule>
    <cfRule type="cellIs" dxfId="3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53" t="s">
        <v>2</v>
      </c>
      <c r="E2" s="42"/>
      <c r="F2" s="273" t="s">
        <v>93</v>
      </c>
      <c r="G2" s="273"/>
      <c r="H2" s="273"/>
      <c r="I2" s="273"/>
      <c r="J2" s="273"/>
      <c r="K2" s="274"/>
      <c r="L2" s="153" t="s">
        <v>4</v>
      </c>
      <c r="M2" s="273">
        <v>9</v>
      </c>
      <c r="N2" s="319"/>
      <c r="O2" s="153" t="s">
        <v>6</v>
      </c>
      <c r="P2" s="322" t="s">
        <v>83</v>
      </c>
      <c r="Q2" s="323"/>
      <c r="R2" s="323"/>
      <c r="S2" s="323"/>
      <c r="T2" s="323"/>
      <c r="U2" s="323"/>
      <c r="V2" s="324"/>
      <c r="W2" s="153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54" t="s">
        <v>3</v>
      </c>
      <c r="E3" s="43"/>
      <c r="F3" s="275"/>
      <c r="G3" s="275"/>
      <c r="H3" s="275"/>
      <c r="I3" s="275"/>
      <c r="J3" s="275"/>
      <c r="K3" s="276"/>
      <c r="L3" s="154" t="s">
        <v>5</v>
      </c>
      <c r="M3" s="320"/>
      <c r="N3" s="321"/>
      <c r="O3" s="154" t="s">
        <v>7</v>
      </c>
      <c r="P3" s="325"/>
      <c r="Q3" s="325"/>
      <c r="R3" s="325"/>
      <c r="S3" s="325"/>
      <c r="T3" s="325"/>
      <c r="U3" s="325"/>
      <c r="V3" s="32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27" t="s">
        <v>112</v>
      </c>
      <c r="R4" s="328"/>
      <c r="S4" s="328"/>
      <c r="T4" s="329"/>
      <c r="U4" s="153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54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51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2.1030000000000002</v>
      </c>
      <c r="J26" s="361"/>
      <c r="K26" s="361">
        <v>2.0920000000000001</v>
      </c>
      <c r="L26" s="361"/>
      <c r="M26" s="361">
        <v>2.093</v>
      </c>
      <c r="N26" s="361"/>
      <c r="O26" s="361">
        <v>2.0939999999999999</v>
      </c>
      <c r="P26" s="361"/>
      <c r="Q26" s="361">
        <v>2.0979999999999999</v>
      </c>
      <c r="R26" s="361"/>
      <c r="S26" s="361">
        <v>2.101</v>
      </c>
      <c r="T26" s="361"/>
      <c r="U26" s="361">
        <v>2.0990000000000002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2.0939999999999999</v>
      </c>
      <c r="J30" s="361"/>
      <c r="K30" s="361">
        <v>2.0910000000000002</v>
      </c>
      <c r="L30" s="361"/>
      <c r="M30" s="361">
        <v>2.0979999999999999</v>
      </c>
      <c r="N30" s="361"/>
      <c r="O30" s="361">
        <v>2.0939999999999999</v>
      </c>
      <c r="P30" s="361"/>
      <c r="Q30" s="361">
        <v>2.1040000000000001</v>
      </c>
      <c r="R30" s="361"/>
      <c r="S30" s="361">
        <v>2.1059999999999999</v>
      </c>
      <c r="T30" s="361"/>
      <c r="U30" s="361">
        <v>2.109</v>
      </c>
      <c r="V30" s="361"/>
      <c r="W30" s="361">
        <v>2.1040000000000001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11.01</v>
      </c>
      <c r="L32" s="314"/>
      <c r="M32" s="314">
        <v>11.03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45" t="s">
        <v>89</v>
      </c>
      <c r="E34" s="146"/>
      <c r="F34" s="146"/>
      <c r="G34" s="146"/>
      <c r="H34" s="147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48" t="s">
        <v>90</v>
      </c>
      <c r="E35" s="149"/>
      <c r="F35" s="149"/>
      <c r="G35" s="149"/>
      <c r="H35" s="15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48" t="s">
        <v>69</v>
      </c>
      <c r="E37" s="149"/>
      <c r="F37" s="149"/>
      <c r="G37" s="149"/>
      <c r="H37" s="15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45" t="s">
        <v>71</v>
      </c>
      <c r="E38" s="146"/>
      <c r="F38" s="146"/>
      <c r="G38" s="146"/>
      <c r="H38" s="147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48" t="s">
        <v>72</v>
      </c>
      <c r="E39" s="149"/>
      <c r="F39" s="149"/>
      <c r="G39" s="149"/>
      <c r="H39" s="15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45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48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45" t="s">
        <v>75</v>
      </c>
      <c r="E42" s="152"/>
      <c r="F42" s="156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48" t="s">
        <v>76</v>
      </c>
      <c r="E43" s="157"/>
      <c r="F43" s="157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45" t="s">
        <v>77</v>
      </c>
      <c r="E44" s="152"/>
      <c r="F44" s="156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48" t="s">
        <v>78</v>
      </c>
      <c r="E45" s="157"/>
      <c r="F45" s="157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45" t="s">
        <v>79</v>
      </c>
      <c r="E46" s="146"/>
      <c r="F46" s="146"/>
      <c r="G46" s="146"/>
      <c r="H46" s="147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48" t="s">
        <v>80</v>
      </c>
      <c r="E47" s="149"/>
      <c r="F47" s="149"/>
      <c r="G47" s="149"/>
      <c r="H47" s="15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45" t="s">
        <v>81</v>
      </c>
      <c r="E48" s="146"/>
      <c r="F48" s="146"/>
      <c r="G48" s="146"/>
      <c r="H48" s="147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48" t="s">
        <v>82</v>
      </c>
      <c r="E49" s="149"/>
      <c r="F49" s="149"/>
      <c r="G49" s="149"/>
      <c r="H49" s="15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9" priority="9" operator="greaterThan">
      <formula>$AA$28</formula>
    </cfRule>
    <cfRule type="cellIs" dxfId="338" priority="10" operator="lessThan">
      <formula>$AA$29</formula>
    </cfRule>
  </conditionalFormatting>
  <conditionalFormatting sqref="I32:X33">
    <cfRule type="cellIs" dxfId="337" priority="7" operator="greaterThan">
      <formula>$AA$32</formula>
    </cfRule>
    <cfRule type="cellIs" dxfId="336" priority="8" operator="lessThan">
      <formula>$AA$33</formula>
    </cfRule>
  </conditionalFormatting>
  <conditionalFormatting sqref="I30:X31">
    <cfRule type="cellIs" dxfId="335" priority="5" operator="greaterThan">
      <formula>$AA$30</formula>
    </cfRule>
    <cfRule type="cellIs" dxfId="334" priority="6" operator="lessThan">
      <formula>$AA$31</formula>
    </cfRule>
  </conditionalFormatting>
  <conditionalFormatting sqref="I26:X27">
    <cfRule type="cellIs" dxfId="333" priority="3" operator="greaterThan">
      <formula>$AA$26</formula>
    </cfRule>
    <cfRule type="cellIs" dxfId="332" priority="4" operator="lessThan">
      <formula>$AA$27</formula>
    </cfRule>
  </conditionalFormatting>
  <conditionalFormatting sqref="I32:X33">
    <cfRule type="cellIs" dxfId="331" priority="1" operator="greaterThan">
      <formula>$AA$32</formula>
    </cfRule>
    <cfRule type="cellIs" dxfId="33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53" t="s">
        <v>2</v>
      </c>
      <c r="E2" s="42"/>
      <c r="F2" s="273" t="s">
        <v>93</v>
      </c>
      <c r="G2" s="273"/>
      <c r="H2" s="273"/>
      <c r="I2" s="273"/>
      <c r="J2" s="273"/>
      <c r="K2" s="274"/>
      <c r="L2" s="153" t="s">
        <v>4</v>
      </c>
      <c r="M2" s="273">
        <v>9</v>
      </c>
      <c r="N2" s="319"/>
      <c r="O2" s="153" t="s">
        <v>6</v>
      </c>
      <c r="P2" s="322" t="s">
        <v>83</v>
      </c>
      <c r="Q2" s="323"/>
      <c r="R2" s="323"/>
      <c r="S2" s="323"/>
      <c r="T2" s="323"/>
      <c r="U2" s="323"/>
      <c r="V2" s="324"/>
      <c r="W2" s="153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54" t="s">
        <v>3</v>
      </c>
      <c r="E3" s="43"/>
      <c r="F3" s="275"/>
      <c r="G3" s="275"/>
      <c r="H3" s="275"/>
      <c r="I3" s="275"/>
      <c r="J3" s="275"/>
      <c r="K3" s="276"/>
      <c r="L3" s="154" t="s">
        <v>5</v>
      </c>
      <c r="M3" s="320"/>
      <c r="N3" s="321"/>
      <c r="O3" s="154" t="s">
        <v>7</v>
      </c>
      <c r="P3" s="325"/>
      <c r="Q3" s="325"/>
      <c r="R3" s="325"/>
      <c r="S3" s="325"/>
      <c r="T3" s="325"/>
      <c r="U3" s="325"/>
      <c r="V3" s="32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53" t="s">
        <v>9</v>
      </c>
      <c r="P4" s="6"/>
      <c r="Q4" s="327" t="s">
        <v>112</v>
      </c>
      <c r="R4" s="328"/>
      <c r="S4" s="328"/>
      <c r="T4" s="329"/>
      <c r="U4" s="153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54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51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2.1070000000000002</v>
      </c>
      <c r="J26" s="361"/>
      <c r="K26" s="361">
        <v>2.1059999999999999</v>
      </c>
      <c r="L26" s="361"/>
      <c r="M26" s="361">
        <v>2.1080000000000001</v>
      </c>
      <c r="N26" s="361"/>
      <c r="O26" s="361">
        <v>2.1</v>
      </c>
      <c r="P26" s="361"/>
      <c r="Q26" s="361">
        <v>2.1030000000000002</v>
      </c>
      <c r="R26" s="361"/>
      <c r="S26" s="361">
        <v>2.089</v>
      </c>
      <c r="T26" s="361"/>
      <c r="U26" s="361">
        <v>2.1059999999999999</v>
      </c>
      <c r="V26" s="361"/>
      <c r="W26" s="361">
        <v>2.09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2.105</v>
      </c>
      <c r="J30" s="361"/>
      <c r="K30" s="361">
        <v>2.105</v>
      </c>
      <c r="L30" s="361"/>
      <c r="M30" s="361">
        <v>2.0950000000000002</v>
      </c>
      <c r="N30" s="361"/>
      <c r="O30" s="361">
        <v>2.101</v>
      </c>
      <c r="P30" s="361"/>
      <c r="Q30" s="361">
        <v>2.0950000000000002</v>
      </c>
      <c r="R30" s="361"/>
      <c r="S30" s="361">
        <v>2.0979999999999999</v>
      </c>
      <c r="T30" s="361"/>
      <c r="U30" s="361">
        <v>2.0859999999999999</v>
      </c>
      <c r="V30" s="361"/>
      <c r="W30" s="361">
        <v>2.093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11.04</v>
      </c>
      <c r="J32" s="314"/>
      <c r="K32" s="314">
        <v>11.02</v>
      </c>
      <c r="L32" s="314"/>
      <c r="M32" s="314">
        <v>11.02</v>
      </c>
      <c r="N32" s="314"/>
      <c r="O32" s="314">
        <v>11.03</v>
      </c>
      <c r="P32" s="314"/>
      <c r="Q32" s="314">
        <v>11.03</v>
      </c>
      <c r="R32" s="314"/>
      <c r="S32" s="314">
        <v>11.03</v>
      </c>
      <c r="T32" s="314"/>
      <c r="U32" s="314">
        <v>11.01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45" t="s">
        <v>89</v>
      </c>
      <c r="E34" s="146"/>
      <c r="F34" s="146"/>
      <c r="G34" s="146"/>
      <c r="H34" s="147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48" t="s">
        <v>90</v>
      </c>
      <c r="E35" s="149"/>
      <c r="F35" s="149"/>
      <c r="G35" s="149"/>
      <c r="H35" s="15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48" t="s">
        <v>69</v>
      </c>
      <c r="E37" s="149"/>
      <c r="F37" s="149"/>
      <c r="G37" s="149"/>
      <c r="H37" s="15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45" t="s">
        <v>71</v>
      </c>
      <c r="E38" s="146"/>
      <c r="F38" s="146"/>
      <c r="G38" s="146"/>
      <c r="H38" s="147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48" t="s">
        <v>72</v>
      </c>
      <c r="E39" s="149"/>
      <c r="F39" s="149"/>
      <c r="G39" s="149"/>
      <c r="H39" s="15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45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48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45" t="s">
        <v>75</v>
      </c>
      <c r="E42" s="152"/>
      <c r="F42" s="156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48" t="s">
        <v>76</v>
      </c>
      <c r="E43" s="157"/>
      <c r="F43" s="157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45" t="s">
        <v>77</v>
      </c>
      <c r="E44" s="152"/>
      <c r="F44" s="156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48" t="s">
        <v>78</v>
      </c>
      <c r="E45" s="157"/>
      <c r="F45" s="157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45" t="s">
        <v>79</v>
      </c>
      <c r="E46" s="146"/>
      <c r="F46" s="146"/>
      <c r="G46" s="146"/>
      <c r="H46" s="147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48" t="s">
        <v>80</v>
      </c>
      <c r="E47" s="149"/>
      <c r="F47" s="149"/>
      <c r="G47" s="149"/>
      <c r="H47" s="15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45" t="s">
        <v>81</v>
      </c>
      <c r="E48" s="146"/>
      <c r="F48" s="146"/>
      <c r="G48" s="146"/>
      <c r="H48" s="147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48" t="s">
        <v>82</v>
      </c>
      <c r="E49" s="149"/>
      <c r="F49" s="149"/>
      <c r="G49" s="149"/>
      <c r="H49" s="15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9" priority="9" operator="greaterThan">
      <formula>$AA$28</formula>
    </cfRule>
    <cfRule type="cellIs" dxfId="328" priority="10" operator="lessThan">
      <formula>$AA$29</formula>
    </cfRule>
  </conditionalFormatting>
  <conditionalFormatting sqref="I32:X33">
    <cfRule type="cellIs" dxfId="327" priority="7" operator="greaterThan">
      <formula>$AA$32</formula>
    </cfRule>
    <cfRule type="cellIs" dxfId="326" priority="8" operator="lessThan">
      <formula>$AA$33</formula>
    </cfRule>
  </conditionalFormatting>
  <conditionalFormatting sqref="I30:X31">
    <cfRule type="cellIs" dxfId="325" priority="5" operator="greaterThan">
      <formula>$AA$30</formula>
    </cfRule>
    <cfRule type="cellIs" dxfId="324" priority="6" operator="lessThan">
      <formula>$AA$31</formula>
    </cfRule>
  </conditionalFormatting>
  <conditionalFormatting sqref="I26:X27">
    <cfRule type="cellIs" dxfId="323" priority="3" operator="greaterThan">
      <formula>$AA$26</formula>
    </cfRule>
    <cfRule type="cellIs" dxfId="322" priority="4" operator="lessThan">
      <formula>$AA$27</formula>
    </cfRule>
  </conditionalFormatting>
  <conditionalFormatting sqref="I32:X33">
    <cfRule type="cellIs" dxfId="321" priority="1" operator="greaterThan">
      <formula>$AA$32</formula>
    </cfRule>
    <cfRule type="cellIs" dxfId="3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66" t="s">
        <v>2</v>
      </c>
      <c r="E2" s="42"/>
      <c r="F2" s="273" t="s">
        <v>93</v>
      </c>
      <c r="G2" s="273"/>
      <c r="H2" s="273"/>
      <c r="I2" s="273"/>
      <c r="J2" s="273"/>
      <c r="K2" s="274"/>
      <c r="L2" s="166" t="s">
        <v>4</v>
      </c>
      <c r="M2" s="273">
        <v>9</v>
      </c>
      <c r="N2" s="319"/>
      <c r="O2" s="166" t="s">
        <v>6</v>
      </c>
      <c r="P2" s="322" t="s">
        <v>83</v>
      </c>
      <c r="Q2" s="323"/>
      <c r="R2" s="323"/>
      <c r="S2" s="323"/>
      <c r="T2" s="323"/>
      <c r="U2" s="323"/>
      <c r="V2" s="324"/>
      <c r="W2" s="166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67" t="s">
        <v>3</v>
      </c>
      <c r="E3" s="43"/>
      <c r="F3" s="275"/>
      <c r="G3" s="275"/>
      <c r="H3" s="275"/>
      <c r="I3" s="275"/>
      <c r="J3" s="275"/>
      <c r="K3" s="276"/>
      <c r="L3" s="167" t="s">
        <v>5</v>
      </c>
      <c r="M3" s="320"/>
      <c r="N3" s="321"/>
      <c r="O3" s="167" t="s">
        <v>7</v>
      </c>
      <c r="P3" s="325"/>
      <c r="Q3" s="325"/>
      <c r="R3" s="325"/>
      <c r="S3" s="325"/>
      <c r="T3" s="325"/>
      <c r="U3" s="325"/>
      <c r="V3" s="32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27" t="s">
        <v>113</v>
      </c>
      <c r="R4" s="328"/>
      <c r="S4" s="328"/>
      <c r="T4" s="329"/>
      <c r="U4" s="166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67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64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2.105</v>
      </c>
      <c r="J26" s="361"/>
      <c r="K26" s="361">
        <v>2.0990000000000002</v>
      </c>
      <c r="L26" s="361"/>
      <c r="M26" s="361">
        <v>2.1019999999999999</v>
      </c>
      <c r="N26" s="361"/>
      <c r="O26" s="361">
        <v>2.1019999999999999</v>
      </c>
      <c r="P26" s="361"/>
      <c r="Q26" s="361">
        <v>2.101</v>
      </c>
      <c r="R26" s="361"/>
      <c r="S26" s="361">
        <v>2.0979999999999999</v>
      </c>
      <c r="T26" s="361"/>
      <c r="U26" s="361">
        <v>2.0990000000000002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2.0979999999999999</v>
      </c>
      <c r="J30" s="361"/>
      <c r="K30" s="361">
        <v>2.0960000000000001</v>
      </c>
      <c r="L30" s="361"/>
      <c r="M30" s="361">
        <v>2.0990000000000002</v>
      </c>
      <c r="N30" s="361"/>
      <c r="O30" s="361">
        <v>2.0950000000000002</v>
      </c>
      <c r="P30" s="361"/>
      <c r="Q30" s="361">
        <v>2.0979999999999999</v>
      </c>
      <c r="R30" s="361"/>
      <c r="S30" s="361">
        <v>2.097</v>
      </c>
      <c r="T30" s="361"/>
      <c r="U30" s="361">
        <v>2.0979999999999999</v>
      </c>
      <c r="V30" s="361"/>
      <c r="W30" s="361">
        <v>2.0960000000000001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</v>
      </c>
      <c r="L32" s="314"/>
      <c r="M32" s="314">
        <v>11.02</v>
      </c>
      <c r="N32" s="314"/>
      <c r="O32" s="314">
        <v>11.02</v>
      </c>
      <c r="P32" s="314"/>
      <c r="Q32" s="314">
        <v>11.04</v>
      </c>
      <c r="R32" s="314"/>
      <c r="S32" s="314">
        <v>11.03</v>
      </c>
      <c r="T32" s="314"/>
      <c r="U32" s="314">
        <v>11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58" t="s">
        <v>89</v>
      </c>
      <c r="E34" s="159"/>
      <c r="F34" s="159"/>
      <c r="G34" s="159"/>
      <c r="H34" s="160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61" t="s">
        <v>90</v>
      </c>
      <c r="E35" s="162"/>
      <c r="F35" s="162"/>
      <c r="G35" s="162"/>
      <c r="H35" s="163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61" t="s">
        <v>69</v>
      </c>
      <c r="E37" s="162"/>
      <c r="F37" s="162"/>
      <c r="G37" s="162"/>
      <c r="H37" s="163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58" t="s">
        <v>71</v>
      </c>
      <c r="E38" s="159"/>
      <c r="F38" s="159"/>
      <c r="G38" s="159"/>
      <c r="H38" s="160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61" t="s">
        <v>72</v>
      </c>
      <c r="E39" s="162"/>
      <c r="F39" s="162"/>
      <c r="G39" s="162"/>
      <c r="H39" s="163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58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61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58" t="s">
        <v>75</v>
      </c>
      <c r="E42" s="165"/>
      <c r="F42" s="169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61" t="s">
        <v>76</v>
      </c>
      <c r="E43" s="170"/>
      <c r="F43" s="170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58" t="s">
        <v>77</v>
      </c>
      <c r="E44" s="165"/>
      <c r="F44" s="169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61" t="s">
        <v>78</v>
      </c>
      <c r="E45" s="170"/>
      <c r="F45" s="170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58" t="s">
        <v>79</v>
      </c>
      <c r="E46" s="159"/>
      <c r="F46" s="159"/>
      <c r="G46" s="159"/>
      <c r="H46" s="16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61" t="s">
        <v>80</v>
      </c>
      <c r="E47" s="162"/>
      <c r="F47" s="162"/>
      <c r="G47" s="162"/>
      <c r="H47" s="163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58" t="s">
        <v>81</v>
      </c>
      <c r="E48" s="159"/>
      <c r="F48" s="159"/>
      <c r="G48" s="159"/>
      <c r="H48" s="160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61" t="s">
        <v>82</v>
      </c>
      <c r="E49" s="162"/>
      <c r="F49" s="162"/>
      <c r="G49" s="162"/>
      <c r="H49" s="163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9" operator="greaterThan">
      <formula>$AA$28</formula>
    </cfRule>
    <cfRule type="cellIs" dxfId="318" priority="10" operator="lessThan">
      <formula>$AA$29</formula>
    </cfRule>
  </conditionalFormatting>
  <conditionalFormatting sqref="I32:X33">
    <cfRule type="cellIs" dxfId="317" priority="7" operator="greaterThan">
      <formula>$AA$32</formula>
    </cfRule>
    <cfRule type="cellIs" dxfId="316" priority="8" operator="lessThan">
      <formula>$AA$33</formula>
    </cfRule>
  </conditionalFormatting>
  <conditionalFormatting sqref="I30:X31">
    <cfRule type="cellIs" dxfId="315" priority="5" operator="greaterThan">
      <formula>$AA$30</formula>
    </cfRule>
    <cfRule type="cellIs" dxfId="314" priority="6" operator="lessThan">
      <formula>$AA$31</formula>
    </cfRule>
  </conditionalFormatting>
  <conditionalFormatting sqref="I26:X27">
    <cfRule type="cellIs" dxfId="313" priority="3" operator="greaterThan">
      <formula>$AA$26</formula>
    </cfRule>
    <cfRule type="cellIs" dxfId="312" priority="4" operator="lessThan">
      <formula>$AA$27</formula>
    </cfRule>
  </conditionalFormatting>
  <conditionalFormatting sqref="I32:X33">
    <cfRule type="cellIs" dxfId="311" priority="1" operator="greaterThan">
      <formula>$AA$32</formula>
    </cfRule>
    <cfRule type="cellIs" dxfId="31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66" t="s">
        <v>2</v>
      </c>
      <c r="E2" s="42"/>
      <c r="F2" s="273" t="s">
        <v>93</v>
      </c>
      <c r="G2" s="273"/>
      <c r="H2" s="273"/>
      <c r="I2" s="273"/>
      <c r="J2" s="273"/>
      <c r="K2" s="274"/>
      <c r="L2" s="166" t="s">
        <v>4</v>
      </c>
      <c r="M2" s="273">
        <v>9</v>
      </c>
      <c r="N2" s="319"/>
      <c r="O2" s="166" t="s">
        <v>6</v>
      </c>
      <c r="P2" s="322" t="s">
        <v>83</v>
      </c>
      <c r="Q2" s="323"/>
      <c r="R2" s="323"/>
      <c r="S2" s="323"/>
      <c r="T2" s="323"/>
      <c r="U2" s="323"/>
      <c r="V2" s="324"/>
      <c r="W2" s="166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67" t="s">
        <v>3</v>
      </c>
      <c r="E3" s="43"/>
      <c r="F3" s="275"/>
      <c r="G3" s="275"/>
      <c r="H3" s="275"/>
      <c r="I3" s="275"/>
      <c r="J3" s="275"/>
      <c r="K3" s="276"/>
      <c r="L3" s="167" t="s">
        <v>5</v>
      </c>
      <c r="M3" s="320"/>
      <c r="N3" s="321"/>
      <c r="O3" s="167" t="s">
        <v>7</v>
      </c>
      <c r="P3" s="325"/>
      <c r="Q3" s="325"/>
      <c r="R3" s="325"/>
      <c r="S3" s="325"/>
      <c r="T3" s="325"/>
      <c r="U3" s="325"/>
      <c r="V3" s="32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66" t="s">
        <v>9</v>
      </c>
      <c r="P4" s="6"/>
      <c r="Q4" s="327" t="s">
        <v>113</v>
      </c>
      <c r="R4" s="328"/>
      <c r="S4" s="328"/>
      <c r="T4" s="329"/>
      <c r="U4" s="166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67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64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2.0950000000000002</v>
      </c>
      <c r="J26" s="361"/>
      <c r="K26" s="361">
        <v>2.0960000000000001</v>
      </c>
      <c r="L26" s="361"/>
      <c r="M26" s="361">
        <v>2.105</v>
      </c>
      <c r="N26" s="361"/>
      <c r="O26" s="361">
        <v>2.1019999999999999</v>
      </c>
      <c r="P26" s="361"/>
      <c r="Q26" s="361">
        <v>2.1080000000000001</v>
      </c>
      <c r="R26" s="361"/>
      <c r="S26" s="361">
        <v>2.1059999999999999</v>
      </c>
      <c r="T26" s="361"/>
      <c r="U26" s="361">
        <v>2.097</v>
      </c>
      <c r="V26" s="361"/>
      <c r="W26" s="361">
        <v>2.0979999999999999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2.0880000000000001</v>
      </c>
      <c r="J30" s="361"/>
      <c r="K30" s="361">
        <v>2.0939999999999999</v>
      </c>
      <c r="L30" s="361"/>
      <c r="M30" s="361">
        <v>2.0960000000000001</v>
      </c>
      <c r="N30" s="361"/>
      <c r="O30" s="361">
        <v>2.097</v>
      </c>
      <c r="P30" s="361"/>
      <c r="Q30" s="361">
        <v>2.0990000000000002</v>
      </c>
      <c r="R30" s="361"/>
      <c r="S30" s="361">
        <v>2.0939999999999999</v>
      </c>
      <c r="T30" s="361"/>
      <c r="U30" s="361">
        <v>2.0920000000000001</v>
      </c>
      <c r="V30" s="361"/>
      <c r="W30" s="361">
        <v>2.085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10.99</v>
      </c>
      <c r="L32" s="314"/>
      <c r="M32" s="314">
        <v>11.03</v>
      </c>
      <c r="N32" s="314"/>
      <c r="O32" s="314">
        <v>11.03</v>
      </c>
      <c r="P32" s="314"/>
      <c r="Q32" s="314">
        <v>11.03</v>
      </c>
      <c r="R32" s="314"/>
      <c r="S32" s="314">
        <v>11.01</v>
      </c>
      <c r="T32" s="314"/>
      <c r="U32" s="314">
        <v>11.01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58" t="s">
        <v>89</v>
      </c>
      <c r="E34" s="159"/>
      <c r="F34" s="159"/>
      <c r="G34" s="159"/>
      <c r="H34" s="160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61" t="s">
        <v>90</v>
      </c>
      <c r="E35" s="162"/>
      <c r="F35" s="162"/>
      <c r="G35" s="162"/>
      <c r="H35" s="163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61" t="s">
        <v>69</v>
      </c>
      <c r="E37" s="162"/>
      <c r="F37" s="162"/>
      <c r="G37" s="162"/>
      <c r="H37" s="163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58" t="s">
        <v>71</v>
      </c>
      <c r="E38" s="159"/>
      <c r="F38" s="159"/>
      <c r="G38" s="159"/>
      <c r="H38" s="160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61" t="s">
        <v>72</v>
      </c>
      <c r="E39" s="162"/>
      <c r="F39" s="162"/>
      <c r="G39" s="162"/>
      <c r="H39" s="163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58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61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58" t="s">
        <v>75</v>
      </c>
      <c r="E42" s="165"/>
      <c r="F42" s="169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61" t="s">
        <v>76</v>
      </c>
      <c r="E43" s="170"/>
      <c r="F43" s="170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58" t="s">
        <v>77</v>
      </c>
      <c r="E44" s="165"/>
      <c r="F44" s="169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61" t="s">
        <v>78</v>
      </c>
      <c r="E45" s="170"/>
      <c r="F45" s="170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58" t="s">
        <v>79</v>
      </c>
      <c r="E46" s="159"/>
      <c r="F46" s="159"/>
      <c r="G46" s="159"/>
      <c r="H46" s="16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61" t="s">
        <v>80</v>
      </c>
      <c r="E47" s="162"/>
      <c r="F47" s="162"/>
      <c r="G47" s="162"/>
      <c r="H47" s="163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58" t="s">
        <v>81</v>
      </c>
      <c r="E48" s="159"/>
      <c r="F48" s="159"/>
      <c r="G48" s="159"/>
      <c r="H48" s="160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61" t="s">
        <v>82</v>
      </c>
      <c r="E49" s="162"/>
      <c r="F49" s="162"/>
      <c r="G49" s="162"/>
      <c r="H49" s="163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9" priority="9" operator="greaterThan">
      <formula>$AA$28</formula>
    </cfRule>
    <cfRule type="cellIs" dxfId="308" priority="10" operator="lessThan">
      <formula>$AA$29</formula>
    </cfRule>
  </conditionalFormatting>
  <conditionalFormatting sqref="I32:X33">
    <cfRule type="cellIs" dxfId="307" priority="7" operator="greaterThan">
      <formula>$AA$32</formula>
    </cfRule>
    <cfRule type="cellIs" dxfId="306" priority="8" operator="lessThan">
      <formula>$AA$33</formula>
    </cfRule>
  </conditionalFormatting>
  <conditionalFormatting sqref="I30:X31">
    <cfRule type="cellIs" dxfId="305" priority="5" operator="greaterThan">
      <formula>$AA$30</formula>
    </cfRule>
    <cfRule type="cellIs" dxfId="304" priority="6" operator="lessThan">
      <formula>$AA$31</formula>
    </cfRule>
  </conditionalFormatting>
  <conditionalFormatting sqref="I26:X27">
    <cfRule type="cellIs" dxfId="303" priority="3" operator="greaterThan">
      <formula>$AA$26</formula>
    </cfRule>
    <cfRule type="cellIs" dxfId="302" priority="4" operator="lessThan">
      <formula>$AA$27</formula>
    </cfRule>
  </conditionalFormatting>
  <conditionalFormatting sqref="I32:X33">
    <cfRule type="cellIs" dxfId="301" priority="1" operator="greaterThan">
      <formula>$AA$32</formula>
    </cfRule>
    <cfRule type="cellIs" dxfId="30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66" t="s">
        <v>2</v>
      </c>
      <c r="E2" s="42"/>
      <c r="F2" s="273" t="s">
        <v>93</v>
      </c>
      <c r="G2" s="273"/>
      <c r="H2" s="273"/>
      <c r="I2" s="273"/>
      <c r="J2" s="273"/>
      <c r="K2" s="274"/>
      <c r="L2" s="166" t="s">
        <v>4</v>
      </c>
      <c r="M2" s="273">
        <v>9</v>
      </c>
      <c r="N2" s="319"/>
      <c r="O2" s="166" t="s">
        <v>6</v>
      </c>
      <c r="P2" s="322" t="s">
        <v>83</v>
      </c>
      <c r="Q2" s="323"/>
      <c r="R2" s="323"/>
      <c r="S2" s="323"/>
      <c r="T2" s="323"/>
      <c r="U2" s="323"/>
      <c r="V2" s="324"/>
      <c r="W2" s="166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67" t="s">
        <v>3</v>
      </c>
      <c r="E3" s="43"/>
      <c r="F3" s="275"/>
      <c r="G3" s="275"/>
      <c r="H3" s="275"/>
      <c r="I3" s="275"/>
      <c r="J3" s="275"/>
      <c r="K3" s="276"/>
      <c r="L3" s="167" t="s">
        <v>5</v>
      </c>
      <c r="M3" s="320"/>
      <c r="N3" s="321"/>
      <c r="O3" s="167" t="s">
        <v>7</v>
      </c>
      <c r="P3" s="325"/>
      <c r="Q3" s="325"/>
      <c r="R3" s="325"/>
      <c r="S3" s="325"/>
      <c r="T3" s="325"/>
      <c r="U3" s="325"/>
      <c r="V3" s="32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27" t="s">
        <v>114</v>
      </c>
      <c r="R4" s="328"/>
      <c r="S4" s="328"/>
      <c r="T4" s="329"/>
      <c r="U4" s="166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67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64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2.1019999999999999</v>
      </c>
      <c r="J26" s="361"/>
      <c r="K26" s="361">
        <v>2.0990000000000002</v>
      </c>
      <c r="L26" s="361"/>
      <c r="M26" s="361">
        <v>2.0990000000000002</v>
      </c>
      <c r="N26" s="361"/>
      <c r="O26" s="361">
        <v>2.1030000000000002</v>
      </c>
      <c r="P26" s="361"/>
      <c r="Q26" s="361">
        <v>2.0990000000000002</v>
      </c>
      <c r="R26" s="361"/>
      <c r="S26" s="361">
        <v>2.0990000000000002</v>
      </c>
      <c r="T26" s="361"/>
      <c r="U26" s="361">
        <v>2.1</v>
      </c>
      <c r="V26" s="361"/>
      <c r="W26" s="361">
        <v>2.0960000000000001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2.0990000000000002</v>
      </c>
      <c r="J30" s="361"/>
      <c r="K30" s="361">
        <v>2.089</v>
      </c>
      <c r="L30" s="361"/>
      <c r="M30" s="361">
        <v>2.101</v>
      </c>
      <c r="N30" s="361"/>
      <c r="O30" s="361">
        <v>2.101</v>
      </c>
      <c r="P30" s="361"/>
      <c r="Q30" s="361">
        <v>2.105</v>
      </c>
      <c r="R30" s="361"/>
      <c r="S30" s="361">
        <v>2.1019999999999999</v>
      </c>
      <c r="T30" s="361"/>
      <c r="U30" s="361">
        <v>2.0960000000000001</v>
      </c>
      <c r="V30" s="361"/>
      <c r="W30" s="361">
        <v>2.097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11.01</v>
      </c>
      <c r="L32" s="314"/>
      <c r="M32" s="314">
        <v>11.01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11.01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58" t="s">
        <v>89</v>
      </c>
      <c r="E34" s="159"/>
      <c r="F34" s="159"/>
      <c r="G34" s="159"/>
      <c r="H34" s="160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61" t="s">
        <v>90</v>
      </c>
      <c r="E35" s="162"/>
      <c r="F35" s="162"/>
      <c r="G35" s="162"/>
      <c r="H35" s="163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61" t="s">
        <v>69</v>
      </c>
      <c r="E37" s="162"/>
      <c r="F37" s="162"/>
      <c r="G37" s="162"/>
      <c r="H37" s="163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58" t="s">
        <v>71</v>
      </c>
      <c r="E38" s="159"/>
      <c r="F38" s="159"/>
      <c r="G38" s="159"/>
      <c r="H38" s="160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61" t="s">
        <v>72</v>
      </c>
      <c r="E39" s="162"/>
      <c r="F39" s="162"/>
      <c r="G39" s="162"/>
      <c r="H39" s="163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58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61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58" t="s">
        <v>75</v>
      </c>
      <c r="E42" s="165"/>
      <c r="F42" s="169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61" t="s">
        <v>76</v>
      </c>
      <c r="E43" s="170"/>
      <c r="F43" s="170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58" t="s">
        <v>77</v>
      </c>
      <c r="E44" s="165"/>
      <c r="F44" s="169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61" t="s">
        <v>78</v>
      </c>
      <c r="E45" s="170"/>
      <c r="F45" s="170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58" t="s">
        <v>79</v>
      </c>
      <c r="E46" s="159"/>
      <c r="F46" s="159"/>
      <c r="G46" s="159"/>
      <c r="H46" s="16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61" t="s">
        <v>80</v>
      </c>
      <c r="E47" s="162"/>
      <c r="F47" s="162"/>
      <c r="G47" s="162"/>
      <c r="H47" s="163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58" t="s">
        <v>81</v>
      </c>
      <c r="E48" s="159"/>
      <c r="F48" s="159"/>
      <c r="G48" s="159"/>
      <c r="H48" s="160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61" t="s">
        <v>82</v>
      </c>
      <c r="E49" s="162"/>
      <c r="F49" s="162"/>
      <c r="G49" s="162"/>
      <c r="H49" s="163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9" priority="9" operator="greaterThan">
      <formula>$AA$28</formula>
    </cfRule>
    <cfRule type="cellIs" dxfId="298" priority="10" operator="lessThan">
      <formula>$AA$29</formula>
    </cfRule>
  </conditionalFormatting>
  <conditionalFormatting sqref="I32:X33">
    <cfRule type="cellIs" dxfId="297" priority="7" operator="greaterThan">
      <formula>$AA$32</formula>
    </cfRule>
    <cfRule type="cellIs" dxfId="296" priority="8" operator="lessThan">
      <formula>$AA$33</formula>
    </cfRule>
  </conditionalFormatting>
  <conditionalFormatting sqref="I30:X31">
    <cfRule type="cellIs" dxfId="295" priority="5" operator="greaterThan">
      <formula>$AA$30</formula>
    </cfRule>
    <cfRule type="cellIs" dxfId="294" priority="6" operator="lessThan">
      <formula>$AA$31</formula>
    </cfRule>
  </conditionalFormatting>
  <conditionalFormatting sqref="I26:X27">
    <cfRule type="cellIs" dxfId="293" priority="3" operator="greaterThan">
      <formula>$AA$26</formula>
    </cfRule>
    <cfRule type="cellIs" dxfId="292" priority="4" operator="lessThan">
      <formula>$AA$27</formula>
    </cfRule>
  </conditionalFormatting>
  <conditionalFormatting sqref="I32:X33">
    <cfRule type="cellIs" dxfId="291" priority="1" operator="greaterThan">
      <formula>$AA$32</formula>
    </cfRule>
    <cfRule type="cellIs" dxfId="2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66" t="s">
        <v>2</v>
      </c>
      <c r="E2" s="42"/>
      <c r="F2" s="273" t="s">
        <v>93</v>
      </c>
      <c r="G2" s="273"/>
      <c r="H2" s="273"/>
      <c r="I2" s="273"/>
      <c r="J2" s="273"/>
      <c r="K2" s="274"/>
      <c r="L2" s="166" t="s">
        <v>4</v>
      </c>
      <c r="M2" s="273">
        <v>9</v>
      </c>
      <c r="N2" s="319"/>
      <c r="O2" s="166" t="s">
        <v>6</v>
      </c>
      <c r="P2" s="322" t="s">
        <v>83</v>
      </c>
      <c r="Q2" s="323"/>
      <c r="R2" s="323"/>
      <c r="S2" s="323"/>
      <c r="T2" s="323"/>
      <c r="U2" s="323"/>
      <c r="V2" s="324"/>
      <c r="W2" s="166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67" t="s">
        <v>3</v>
      </c>
      <c r="E3" s="43"/>
      <c r="F3" s="275"/>
      <c r="G3" s="275"/>
      <c r="H3" s="275"/>
      <c r="I3" s="275"/>
      <c r="J3" s="275"/>
      <c r="K3" s="276"/>
      <c r="L3" s="167" t="s">
        <v>5</v>
      </c>
      <c r="M3" s="320"/>
      <c r="N3" s="321"/>
      <c r="O3" s="167" t="s">
        <v>7</v>
      </c>
      <c r="P3" s="325"/>
      <c r="Q3" s="325"/>
      <c r="R3" s="325"/>
      <c r="S3" s="325"/>
      <c r="T3" s="325"/>
      <c r="U3" s="325"/>
      <c r="V3" s="32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66" t="s">
        <v>9</v>
      </c>
      <c r="P4" s="6"/>
      <c r="Q4" s="327" t="s">
        <v>114</v>
      </c>
      <c r="R4" s="328"/>
      <c r="S4" s="328"/>
      <c r="T4" s="329"/>
      <c r="U4" s="166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67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64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2.0939999999999999</v>
      </c>
      <c r="J26" s="361"/>
      <c r="K26" s="361">
        <v>2.097</v>
      </c>
      <c r="L26" s="361"/>
      <c r="M26" s="361">
        <v>2.0990000000000002</v>
      </c>
      <c r="N26" s="361"/>
      <c r="O26" s="361">
        <v>2.1030000000000002</v>
      </c>
      <c r="P26" s="361"/>
      <c r="Q26" s="361">
        <v>2.1040000000000001</v>
      </c>
      <c r="R26" s="361"/>
      <c r="S26" s="361">
        <v>2.1019999999999999</v>
      </c>
      <c r="T26" s="361"/>
      <c r="U26" s="361">
        <v>2.0990000000000002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2.0910000000000002</v>
      </c>
      <c r="J30" s="361"/>
      <c r="K30" s="361">
        <v>2.097</v>
      </c>
      <c r="L30" s="361"/>
      <c r="M30" s="361">
        <v>2.0979999999999999</v>
      </c>
      <c r="N30" s="361"/>
      <c r="O30" s="361">
        <v>2.1019999999999999</v>
      </c>
      <c r="P30" s="361"/>
      <c r="Q30" s="361">
        <v>2.1019999999999999</v>
      </c>
      <c r="R30" s="361"/>
      <c r="S30" s="361">
        <v>2.1030000000000002</v>
      </c>
      <c r="T30" s="361"/>
      <c r="U30" s="361">
        <v>2.109</v>
      </c>
      <c r="V30" s="361"/>
      <c r="W30" s="361">
        <v>2.0859999999999999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10.99</v>
      </c>
      <c r="L32" s="314"/>
      <c r="M32" s="314">
        <v>11.01</v>
      </c>
      <c r="N32" s="314"/>
      <c r="O32" s="314">
        <v>11.03</v>
      </c>
      <c r="P32" s="314"/>
      <c r="Q32" s="314">
        <v>11.03</v>
      </c>
      <c r="R32" s="314"/>
      <c r="S32" s="314">
        <v>11.01</v>
      </c>
      <c r="T32" s="314"/>
      <c r="U32" s="314">
        <v>11</v>
      </c>
      <c r="V32" s="314"/>
      <c r="W32" s="314">
        <v>11.02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58" t="s">
        <v>89</v>
      </c>
      <c r="E34" s="159"/>
      <c r="F34" s="159"/>
      <c r="G34" s="159"/>
      <c r="H34" s="160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61" t="s">
        <v>90</v>
      </c>
      <c r="E35" s="162"/>
      <c r="F35" s="162"/>
      <c r="G35" s="162"/>
      <c r="H35" s="163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61" t="s">
        <v>69</v>
      </c>
      <c r="E37" s="162"/>
      <c r="F37" s="162"/>
      <c r="G37" s="162"/>
      <c r="H37" s="163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58" t="s">
        <v>71</v>
      </c>
      <c r="E38" s="159"/>
      <c r="F38" s="159"/>
      <c r="G38" s="159"/>
      <c r="H38" s="160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61" t="s">
        <v>72</v>
      </c>
      <c r="E39" s="162"/>
      <c r="F39" s="162"/>
      <c r="G39" s="162"/>
      <c r="H39" s="163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58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61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58" t="s">
        <v>75</v>
      </c>
      <c r="E42" s="165"/>
      <c r="F42" s="169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61" t="s">
        <v>76</v>
      </c>
      <c r="E43" s="170"/>
      <c r="F43" s="170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58" t="s">
        <v>77</v>
      </c>
      <c r="E44" s="165"/>
      <c r="F44" s="169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61" t="s">
        <v>78</v>
      </c>
      <c r="E45" s="170"/>
      <c r="F45" s="170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58" t="s">
        <v>79</v>
      </c>
      <c r="E46" s="159"/>
      <c r="F46" s="159"/>
      <c r="G46" s="159"/>
      <c r="H46" s="16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61" t="s">
        <v>80</v>
      </c>
      <c r="E47" s="162"/>
      <c r="F47" s="162"/>
      <c r="G47" s="162"/>
      <c r="H47" s="163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58" t="s">
        <v>81</v>
      </c>
      <c r="E48" s="159"/>
      <c r="F48" s="159"/>
      <c r="G48" s="159"/>
      <c r="H48" s="160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61" t="s">
        <v>82</v>
      </c>
      <c r="E49" s="162"/>
      <c r="F49" s="162"/>
      <c r="G49" s="162"/>
      <c r="H49" s="163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9" priority="9" operator="greaterThan">
      <formula>$AA$28</formula>
    </cfRule>
    <cfRule type="cellIs" dxfId="288" priority="10" operator="lessThan">
      <formula>$AA$29</formula>
    </cfRule>
  </conditionalFormatting>
  <conditionalFormatting sqref="I32:X33">
    <cfRule type="cellIs" dxfId="287" priority="7" operator="greaterThan">
      <formula>$AA$32</formula>
    </cfRule>
    <cfRule type="cellIs" dxfId="286" priority="8" operator="lessThan">
      <formula>$AA$33</formula>
    </cfRule>
  </conditionalFormatting>
  <conditionalFormatting sqref="I30:X31">
    <cfRule type="cellIs" dxfId="285" priority="5" operator="greaterThan">
      <formula>$AA$30</formula>
    </cfRule>
    <cfRule type="cellIs" dxfId="284" priority="6" operator="lessThan">
      <formula>$AA$31</formula>
    </cfRule>
  </conditionalFormatting>
  <conditionalFormatting sqref="I26:X27">
    <cfRule type="cellIs" dxfId="283" priority="3" operator="greaterThan">
      <formula>$AA$26</formula>
    </cfRule>
    <cfRule type="cellIs" dxfId="282" priority="4" operator="lessThan">
      <formula>$AA$27</formula>
    </cfRule>
  </conditionalFormatting>
  <conditionalFormatting sqref="I32:X33">
    <cfRule type="cellIs" dxfId="281" priority="1" operator="greaterThan">
      <formula>$AA$32</formula>
    </cfRule>
    <cfRule type="cellIs" dxfId="2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81" t="s">
        <v>2</v>
      </c>
      <c r="E2" s="42"/>
      <c r="F2" s="273" t="s">
        <v>93</v>
      </c>
      <c r="G2" s="273"/>
      <c r="H2" s="273"/>
      <c r="I2" s="273"/>
      <c r="J2" s="273"/>
      <c r="K2" s="274"/>
      <c r="L2" s="181" t="s">
        <v>4</v>
      </c>
      <c r="M2" s="273">
        <v>9</v>
      </c>
      <c r="N2" s="319"/>
      <c r="O2" s="181" t="s">
        <v>6</v>
      </c>
      <c r="P2" s="322" t="s">
        <v>83</v>
      </c>
      <c r="Q2" s="323"/>
      <c r="R2" s="323"/>
      <c r="S2" s="323"/>
      <c r="T2" s="323"/>
      <c r="U2" s="323"/>
      <c r="V2" s="324"/>
      <c r="W2" s="181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82" t="s">
        <v>3</v>
      </c>
      <c r="E3" s="43"/>
      <c r="F3" s="275"/>
      <c r="G3" s="275"/>
      <c r="H3" s="275"/>
      <c r="I3" s="275"/>
      <c r="J3" s="275"/>
      <c r="K3" s="276"/>
      <c r="L3" s="182" t="s">
        <v>5</v>
      </c>
      <c r="M3" s="320"/>
      <c r="N3" s="321"/>
      <c r="O3" s="182" t="s">
        <v>7</v>
      </c>
      <c r="P3" s="325"/>
      <c r="Q3" s="325"/>
      <c r="R3" s="325"/>
      <c r="S3" s="325"/>
      <c r="T3" s="325"/>
      <c r="U3" s="325"/>
      <c r="V3" s="32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27" t="s">
        <v>115</v>
      </c>
      <c r="R4" s="328"/>
      <c r="S4" s="328"/>
      <c r="T4" s="329"/>
      <c r="U4" s="181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82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83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2.101</v>
      </c>
      <c r="J26" s="361"/>
      <c r="K26" s="361">
        <v>2.0990000000000002</v>
      </c>
      <c r="L26" s="361"/>
      <c r="M26" s="361">
        <v>2.105</v>
      </c>
      <c r="N26" s="361"/>
      <c r="O26" s="361">
        <v>2.1019999999999999</v>
      </c>
      <c r="P26" s="361"/>
      <c r="Q26" s="361">
        <v>2.1030000000000002</v>
      </c>
      <c r="R26" s="361"/>
      <c r="S26" s="361">
        <v>2.1030000000000002</v>
      </c>
      <c r="T26" s="361"/>
      <c r="U26" s="361">
        <v>2.105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2.1040000000000001</v>
      </c>
      <c r="J30" s="361"/>
      <c r="K30" s="361">
        <v>2.09</v>
      </c>
      <c r="L30" s="361"/>
      <c r="M30" s="361">
        <v>2.101</v>
      </c>
      <c r="N30" s="361"/>
      <c r="O30" s="361">
        <v>2.1</v>
      </c>
      <c r="P30" s="361"/>
      <c r="Q30" s="361">
        <v>2.1070000000000002</v>
      </c>
      <c r="R30" s="361"/>
      <c r="S30" s="361">
        <v>2.101</v>
      </c>
      <c r="T30" s="361"/>
      <c r="U30" s="361">
        <v>2.0950000000000002</v>
      </c>
      <c r="V30" s="361"/>
      <c r="W30" s="361">
        <v>2.0950000000000002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11.02</v>
      </c>
      <c r="J32" s="314"/>
      <c r="K32" s="314">
        <v>11.01</v>
      </c>
      <c r="L32" s="314"/>
      <c r="M32" s="314">
        <v>11.04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11.03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75" t="s">
        <v>89</v>
      </c>
      <c r="E34" s="176"/>
      <c r="F34" s="176"/>
      <c r="G34" s="176"/>
      <c r="H34" s="177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78" t="s">
        <v>90</v>
      </c>
      <c r="E35" s="179"/>
      <c r="F35" s="179"/>
      <c r="G35" s="179"/>
      <c r="H35" s="1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78" t="s">
        <v>69</v>
      </c>
      <c r="E37" s="179"/>
      <c r="F37" s="179"/>
      <c r="G37" s="179"/>
      <c r="H37" s="1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75" t="s">
        <v>71</v>
      </c>
      <c r="E38" s="176"/>
      <c r="F38" s="176"/>
      <c r="G38" s="176"/>
      <c r="H38" s="177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78" t="s">
        <v>72</v>
      </c>
      <c r="E39" s="179"/>
      <c r="F39" s="179"/>
      <c r="G39" s="179"/>
      <c r="H39" s="1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75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78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75" t="s">
        <v>75</v>
      </c>
      <c r="E42" s="172"/>
      <c r="F42" s="173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78" t="s">
        <v>76</v>
      </c>
      <c r="E43" s="174"/>
      <c r="F43" s="174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75" t="s">
        <v>77</v>
      </c>
      <c r="E44" s="172"/>
      <c r="F44" s="173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78" t="s">
        <v>78</v>
      </c>
      <c r="E45" s="174"/>
      <c r="F45" s="174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75" t="s">
        <v>79</v>
      </c>
      <c r="E46" s="176"/>
      <c r="F46" s="176"/>
      <c r="G46" s="176"/>
      <c r="H46" s="177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78" t="s">
        <v>80</v>
      </c>
      <c r="E47" s="179"/>
      <c r="F47" s="179"/>
      <c r="G47" s="179"/>
      <c r="H47" s="1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75" t="s">
        <v>81</v>
      </c>
      <c r="E48" s="176"/>
      <c r="F48" s="176"/>
      <c r="G48" s="176"/>
      <c r="H48" s="177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78" t="s">
        <v>82</v>
      </c>
      <c r="E49" s="179"/>
      <c r="F49" s="179"/>
      <c r="G49" s="179"/>
      <c r="H49" s="1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9" operator="greaterThan">
      <formula>$AA$28</formula>
    </cfRule>
    <cfRule type="cellIs" dxfId="278" priority="10" operator="lessThan">
      <formula>$AA$29</formula>
    </cfRule>
  </conditionalFormatting>
  <conditionalFormatting sqref="I32:X33">
    <cfRule type="cellIs" dxfId="277" priority="7" operator="greaterThan">
      <formula>$AA$32</formula>
    </cfRule>
    <cfRule type="cellIs" dxfId="276" priority="8" operator="lessThan">
      <formula>$AA$33</formula>
    </cfRule>
  </conditionalFormatting>
  <conditionalFormatting sqref="I30:X31">
    <cfRule type="cellIs" dxfId="275" priority="5" operator="greaterThan">
      <formula>$AA$30</formula>
    </cfRule>
    <cfRule type="cellIs" dxfId="274" priority="6" operator="lessThan">
      <formula>$AA$31</formula>
    </cfRule>
  </conditionalFormatting>
  <conditionalFormatting sqref="I26:X27">
    <cfRule type="cellIs" dxfId="273" priority="3" operator="greaterThan">
      <formula>$AA$26</formula>
    </cfRule>
    <cfRule type="cellIs" dxfId="272" priority="4" operator="lessThan">
      <formula>$AA$27</formula>
    </cfRule>
  </conditionalFormatting>
  <conditionalFormatting sqref="I32:X33">
    <cfRule type="cellIs" dxfId="271" priority="1" operator="greaterThan">
      <formula>$AA$32</formula>
    </cfRule>
    <cfRule type="cellIs" dxfId="27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81" t="s">
        <v>2</v>
      </c>
      <c r="E2" s="42"/>
      <c r="F2" s="273" t="s">
        <v>93</v>
      </c>
      <c r="G2" s="273"/>
      <c r="H2" s="273"/>
      <c r="I2" s="273"/>
      <c r="J2" s="273"/>
      <c r="K2" s="274"/>
      <c r="L2" s="181" t="s">
        <v>4</v>
      </c>
      <c r="M2" s="273">
        <v>9</v>
      </c>
      <c r="N2" s="319"/>
      <c r="O2" s="181" t="s">
        <v>6</v>
      </c>
      <c r="P2" s="322" t="s">
        <v>83</v>
      </c>
      <c r="Q2" s="323"/>
      <c r="R2" s="323"/>
      <c r="S2" s="323"/>
      <c r="T2" s="323"/>
      <c r="U2" s="323"/>
      <c r="V2" s="324"/>
      <c r="W2" s="181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82" t="s">
        <v>3</v>
      </c>
      <c r="E3" s="43"/>
      <c r="F3" s="275"/>
      <c r="G3" s="275"/>
      <c r="H3" s="275"/>
      <c r="I3" s="275"/>
      <c r="J3" s="275"/>
      <c r="K3" s="276"/>
      <c r="L3" s="182" t="s">
        <v>5</v>
      </c>
      <c r="M3" s="320"/>
      <c r="N3" s="321"/>
      <c r="O3" s="182" t="s">
        <v>7</v>
      </c>
      <c r="P3" s="325"/>
      <c r="Q3" s="325"/>
      <c r="R3" s="325"/>
      <c r="S3" s="325"/>
      <c r="T3" s="325"/>
      <c r="U3" s="325"/>
      <c r="V3" s="32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181" t="s">
        <v>9</v>
      </c>
      <c r="P4" s="6"/>
      <c r="Q4" s="327" t="s">
        <v>115</v>
      </c>
      <c r="R4" s="328"/>
      <c r="S4" s="328"/>
      <c r="T4" s="329"/>
      <c r="U4" s="181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82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83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2.0990000000000002</v>
      </c>
      <c r="J26" s="361"/>
      <c r="K26" s="361">
        <v>2.105</v>
      </c>
      <c r="L26" s="361"/>
      <c r="M26" s="361">
        <v>2.1030000000000002</v>
      </c>
      <c r="N26" s="361"/>
      <c r="O26" s="361">
        <v>2.105</v>
      </c>
      <c r="P26" s="361"/>
      <c r="Q26" s="361">
        <v>2.0979999999999999</v>
      </c>
      <c r="R26" s="361"/>
      <c r="S26" s="361">
        <v>2.1</v>
      </c>
      <c r="T26" s="361"/>
      <c r="U26" s="361">
        <v>2.1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2.0819999999999999</v>
      </c>
      <c r="J30" s="361"/>
      <c r="K30" s="361">
        <v>2.0910000000000002</v>
      </c>
      <c r="L30" s="361"/>
      <c r="M30" s="361">
        <v>2.0979999999999999</v>
      </c>
      <c r="N30" s="361"/>
      <c r="O30" s="361">
        <v>2.1019999999999999</v>
      </c>
      <c r="P30" s="361"/>
      <c r="Q30" s="361">
        <v>2.105</v>
      </c>
      <c r="R30" s="361"/>
      <c r="S30" s="361">
        <v>2.1070000000000002</v>
      </c>
      <c r="T30" s="361"/>
      <c r="U30" s="361">
        <v>2.0960000000000001</v>
      </c>
      <c r="V30" s="361"/>
      <c r="W30" s="361">
        <v>2.0950000000000002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11.03</v>
      </c>
      <c r="J32" s="314"/>
      <c r="K32" s="314">
        <v>11</v>
      </c>
      <c r="L32" s="314"/>
      <c r="M32" s="314">
        <v>11.02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11.02</v>
      </c>
      <c r="V32" s="314"/>
      <c r="W32" s="314">
        <v>11.03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75" t="s">
        <v>89</v>
      </c>
      <c r="E34" s="176"/>
      <c r="F34" s="176"/>
      <c r="G34" s="176"/>
      <c r="H34" s="177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78" t="s">
        <v>90</v>
      </c>
      <c r="E35" s="179"/>
      <c r="F35" s="179"/>
      <c r="G35" s="179"/>
      <c r="H35" s="1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78" t="s">
        <v>69</v>
      </c>
      <c r="E37" s="179"/>
      <c r="F37" s="179"/>
      <c r="G37" s="179"/>
      <c r="H37" s="1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75" t="s">
        <v>71</v>
      </c>
      <c r="E38" s="176"/>
      <c r="F38" s="176"/>
      <c r="G38" s="176"/>
      <c r="H38" s="177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78" t="s">
        <v>72</v>
      </c>
      <c r="E39" s="179"/>
      <c r="F39" s="179"/>
      <c r="G39" s="179"/>
      <c r="H39" s="1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75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78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75" t="s">
        <v>75</v>
      </c>
      <c r="E42" s="172"/>
      <c r="F42" s="173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78" t="s">
        <v>76</v>
      </c>
      <c r="E43" s="174"/>
      <c r="F43" s="174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75" t="s">
        <v>77</v>
      </c>
      <c r="E44" s="172"/>
      <c r="F44" s="173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78" t="s">
        <v>78</v>
      </c>
      <c r="E45" s="174"/>
      <c r="F45" s="174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75" t="s">
        <v>79</v>
      </c>
      <c r="E46" s="176"/>
      <c r="F46" s="176"/>
      <c r="G46" s="176"/>
      <c r="H46" s="177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78" t="s">
        <v>80</v>
      </c>
      <c r="E47" s="179"/>
      <c r="F47" s="179"/>
      <c r="G47" s="179"/>
      <c r="H47" s="1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75" t="s">
        <v>81</v>
      </c>
      <c r="E48" s="176"/>
      <c r="F48" s="176"/>
      <c r="G48" s="176"/>
      <c r="H48" s="177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78" t="s">
        <v>82</v>
      </c>
      <c r="E49" s="179"/>
      <c r="F49" s="179"/>
      <c r="G49" s="179"/>
      <c r="H49" s="1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9" priority="9" operator="greaterThan">
      <formula>$AA$28</formula>
    </cfRule>
    <cfRule type="cellIs" dxfId="268" priority="10" operator="lessThan">
      <formula>$AA$29</formula>
    </cfRule>
  </conditionalFormatting>
  <conditionalFormatting sqref="I32:X33">
    <cfRule type="cellIs" dxfId="267" priority="7" operator="greaterThan">
      <formula>$AA$32</formula>
    </cfRule>
    <cfRule type="cellIs" dxfId="266" priority="8" operator="lessThan">
      <formula>$AA$33</formula>
    </cfRule>
  </conditionalFormatting>
  <conditionalFormatting sqref="I30:X31">
    <cfRule type="cellIs" dxfId="265" priority="5" operator="greaterThan">
      <formula>$AA$30</formula>
    </cfRule>
    <cfRule type="cellIs" dxfId="264" priority="6" operator="lessThan">
      <formula>$AA$31</formula>
    </cfRule>
  </conditionalFormatting>
  <conditionalFormatting sqref="I26:X27">
    <cfRule type="cellIs" dxfId="263" priority="3" operator="greaterThan">
      <formula>$AA$26</formula>
    </cfRule>
    <cfRule type="cellIs" dxfId="262" priority="4" operator="lessThan">
      <formula>$AA$27</formula>
    </cfRule>
  </conditionalFormatting>
  <conditionalFormatting sqref="I32:X33">
    <cfRule type="cellIs" dxfId="261" priority="1" operator="greaterThan">
      <formula>$AA$32</formula>
    </cfRule>
    <cfRule type="cellIs" dxfId="2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81" t="s">
        <v>2</v>
      </c>
      <c r="E2" s="42"/>
      <c r="F2" s="273" t="s">
        <v>93</v>
      </c>
      <c r="G2" s="273"/>
      <c r="H2" s="273"/>
      <c r="I2" s="273"/>
      <c r="J2" s="273"/>
      <c r="K2" s="274"/>
      <c r="L2" s="181" t="s">
        <v>4</v>
      </c>
      <c r="M2" s="273">
        <v>9</v>
      </c>
      <c r="N2" s="319"/>
      <c r="O2" s="181" t="s">
        <v>6</v>
      </c>
      <c r="P2" s="322" t="s">
        <v>83</v>
      </c>
      <c r="Q2" s="323"/>
      <c r="R2" s="323"/>
      <c r="S2" s="323"/>
      <c r="T2" s="323"/>
      <c r="U2" s="323"/>
      <c r="V2" s="324"/>
      <c r="W2" s="181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82" t="s">
        <v>3</v>
      </c>
      <c r="E3" s="43"/>
      <c r="F3" s="275"/>
      <c r="G3" s="275"/>
      <c r="H3" s="275"/>
      <c r="I3" s="275"/>
      <c r="J3" s="275"/>
      <c r="K3" s="276"/>
      <c r="L3" s="182" t="s">
        <v>5</v>
      </c>
      <c r="M3" s="320"/>
      <c r="N3" s="321"/>
      <c r="O3" s="182" t="s">
        <v>7</v>
      </c>
      <c r="P3" s="325"/>
      <c r="Q3" s="325"/>
      <c r="R3" s="325"/>
      <c r="S3" s="325"/>
      <c r="T3" s="325"/>
      <c r="U3" s="325"/>
      <c r="V3" s="32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27" t="s">
        <v>116</v>
      </c>
      <c r="R4" s="328"/>
      <c r="S4" s="328"/>
      <c r="T4" s="329"/>
      <c r="U4" s="181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82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83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2.101</v>
      </c>
      <c r="J26" s="361"/>
      <c r="K26" s="361">
        <v>2.0990000000000002</v>
      </c>
      <c r="L26" s="361"/>
      <c r="M26" s="361">
        <v>2.0979999999999999</v>
      </c>
      <c r="N26" s="361"/>
      <c r="O26" s="361">
        <v>2.1019999999999999</v>
      </c>
      <c r="P26" s="361"/>
      <c r="Q26" s="361">
        <v>2.101</v>
      </c>
      <c r="R26" s="361"/>
      <c r="S26" s="361">
        <v>2.1030000000000002</v>
      </c>
      <c r="T26" s="361"/>
      <c r="U26" s="361">
        <v>2.0990000000000002</v>
      </c>
      <c r="V26" s="361"/>
      <c r="W26" s="361">
        <v>2.109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2.1030000000000002</v>
      </c>
      <c r="J30" s="361"/>
      <c r="K30" s="361">
        <v>2.1030000000000002</v>
      </c>
      <c r="L30" s="361"/>
      <c r="M30" s="361">
        <v>2.1019999999999999</v>
      </c>
      <c r="N30" s="361"/>
      <c r="O30" s="361">
        <v>2.105</v>
      </c>
      <c r="P30" s="361"/>
      <c r="Q30" s="361">
        <v>2.109</v>
      </c>
      <c r="R30" s="361"/>
      <c r="S30" s="361">
        <v>2.1040000000000001</v>
      </c>
      <c r="T30" s="361"/>
      <c r="U30" s="361">
        <v>2.097</v>
      </c>
      <c r="V30" s="361"/>
      <c r="W30" s="361">
        <v>2.1019999999999999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</v>
      </c>
      <c r="L32" s="314"/>
      <c r="M32" s="314">
        <v>11.02</v>
      </c>
      <c r="N32" s="314"/>
      <c r="O32" s="314">
        <v>11.02</v>
      </c>
      <c r="P32" s="314"/>
      <c r="Q32" s="314">
        <v>11.04</v>
      </c>
      <c r="R32" s="314"/>
      <c r="S32" s="314">
        <v>11.01</v>
      </c>
      <c r="T32" s="314"/>
      <c r="U32" s="314">
        <v>11</v>
      </c>
      <c r="V32" s="314"/>
      <c r="W32" s="314">
        <v>10.98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75" t="s">
        <v>89</v>
      </c>
      <c r="E34" s="176"/>
      <c r="F34" s="176"/>
      <c r="G34" s="176"/>
      <c r="H34" s="177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78" t="s">
        <v>90</v>
      </c>
      <c r="E35" s="179"/>
      <c r="F35" s="179"/>
      <c r="G35" s="179"/>
      <c r="H35" s="1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78" t="s">
        <v>69</v>
      </c>
      <c r="E37" s="179"/>
      <c r="F37" s="179"/>
      <c r="G37" s="179"/>
      <c r="H37" s="1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75" t="s">
        <v>71</v>
      </c>
      <c r="E38" s="176"/>
      <c r="F38" s="176"/>
      <c r="G38" s="176"/>
      <c r="H38" s="177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78" t="s">
        <v>72</v>
      </c>
      <c r="E39" s="179"/>
      <c r="F39" s="179"/>
      <c r="G39" s="179"/>
      <c r="H39" s="1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75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78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75" t="s">
        <v>75</v>
      </c>
      <c r="E42" s="172"/>
      <c r="F42" s="173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78" t="s">
        <v>76</v>
      </c>
      <c r="E43" s="174"/>
      <c r="F43" s="174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75" t="s">
        <v>77</v>
      </c>
      <c r="E44" s="172"/>
      <c r="F44" s="173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78" t="s">
        <v>78</v>
      </c>
      <c r="E45" s="174"/>
      <c r="F45" s="174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75" t="s">
        <v>79</v>
      </c>
      <c r="E46" s="176"/>
      <c r="F46" s="176"/>
      <c r="G46" s="176"/>
      <c r="H46" s="177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78" t="s">
        <v>80</v>
      </c>
      <c r="E47" s="179"/>
      <c r="F47" s="179"/>
      <c r="G47" s="179"/>
      <c r="H47" s="1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75" t="s">
        <v>81</v>
      </c>
      <c r="E48" s="176"/>
      <c r="F48" s="176"/>
      <c r="G48" s="176"/>
      <c r="H48" s="177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78" t="s">
        <v>82</v>
      </c>
      <c r="E49" s="179"/>
      <c r="F49" s="179"/>
      <c r="G49" s="179"/>
      <c r="H49" s="1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9" priority="9" operator="greaterThan">
      <formula>$AA$28</formula>
    </cfRule>
    <cfRule type="cellIs" dxfId="258" priority="10" operator="lessThan">
      <formula>$AA$29</formula>
    </cfRule>
  </conditionalFormatting>
  <conditionalFormatting sqref="I32:X33">
    <cfRule type="cellIs" dxfId="257" priority="7" operator="greaterThan">
      <formula>$AA$32</formula>
    </cfRule>
    <cfRule type="cellIs" dxfId="256" priority="8" operator="lessThan">
      <formula>$AA$33</formula>
    </cfRule>
  </conditionalFormatting>
  <conditionalFormatting sqref="I30:X31">
    <cfRule type="cellIs" dxfId="255" priority="5" operator="greaterThan">
      <formula>$AA$30</formula>
    </cfRule>
    <cfRule type="cellIs" dxfId="254" priority="6" operator="lessThan">
      <formula>$AA$31</formula>
    </cfRule>
  </conditionalFormatting>
  <conditionalFormatting sqref="I26:X27">
    <cfRule type="cellIs" dxfId="253" priority="3" operator="greaterThan">
      <formula>$AA$26</formula>
    </cfRule>
    <cfRule type="cellIs" dxfId="252" priority="4" operator="lessThan">
      <formula>$AA$27</formula>
    </cfRule>
  </conditionalFormatting>
  <conditionalFormatting sqref="I32:X33">
    <cfRule type="cellIs" dxfId="251" priority="1" operator="greaterThan">
      <formula>$AA$32</formula>
    </cfRule>
    <cfRule type="cellIs" dxfId="25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E4" sqref="E4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81" t="s">
        <v>2</v>
      </c>
      <c r="E2" s="42"/>
      <c r="F2" s="273" t="s">
        <v>93</v>
      </c>
      <c r="G2" s="273"/>
      <c r="H2" s="273"/>
      <c r="I2" s="273"/>
      <c r="J2" s="273"/>
      <c r="K2" s="274"/>
      <c r="L2" s="181" t="s">
        <v>4</v>
      </c>
      <c r="M2" s="273">
        <v>9</v>
      </c>
      <c r="N2" s="319"/>
      <c r="O2" s="181" t="s">
        <v>6</v>
      </c>
      <c r="P2" s="322" t="s">
        <v>83</v>
      </c>
      <c r="Q2" s="323"/>
      <c r="R2" s="323"/>
      <c r="S2" s="323"/>
      <c r="T2" s="323"/>
      <c r="U2" s="323"/>
      <c r="V2" s="324"/>
      <c r="W2" s="181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82" t="s">
        <v>3</v>
      </c>
      <c r="E3" s="43"/>
      <c r="F3" s="275"/>
      <c r="G3" s="275"/>
      <c r="H3" s="275"/>
      <c r="I3" s="275"/>
      <c r="J3" s="275"/>
      <c r="K3" s="276"/>
      <c r="L3" s="182" t="s">
        <v>5</v>
      </c>
      <c r="M3" s="320"/>
      <c r="N3" s="321"/>
      <c r="O3" s="182" t="s">
        <v>7</v>
      </c>
      <c r="P3" s="325"/>
      <c r="Q3" s="325"/>
      <c r="R3" s="325"/>
      <c r="S3" s="325"/>
      <c r="T3" s="325"/>
      <c r="U3" s="325"/>
      <c r="V3" s="32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27" t="s">
        <v>116</v>
      </c>
      <c r="R4" s="328"/>
      <c r="S4" s="328"/>
      <c r="T4" s="329"/>
      <c r="U4" s="181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82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83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</v>
      </c>
      <c r="J26" s="361"/>
      <c r="K26" s="361">
        <v>2.1030000000000002</v>
      </c>
      <c r="L26" s="361"/>
      <c r="M26" s="361">
        <v>2.0990000000000002</v>
      </c>
      <c r="N26" s="361"/>
      <c r="O26" s="361">
        <v>2.1040000000000001</v>
      </c>
      <c r="P26" s="361"/>
      <c r="Q26" s="361">
        <v>2.1019999999999999</v>
      </c>
      <c r="R26" s="361"/>
      <c r="S26" s="361">
        <v>2.0979999999999999</v>
      </c>
      <c r="T26" s="361"/>
      <c r="U26" s="361">
        <v>2.1040000000000001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2.0910000000000002</v>
      </c>
      <c r="J30" s="361"/>
      <c r="K30" s="361">
        <v>2.0920000000000001</v>
      </c>
      <c r="L30" s="361"/>
      <c r="M30" s="361">
        <v>2.1030000000000002</v>
      </c>
      <c r="N30" s="361"/>
      <c r="O30" s="361">
        <v>2.105</v>
      </c>
      <c r="P30" s="361"/>
      <c r="Q30" s="361">
        <v>2.0979999999999999</v>
      </c>
      <c r="R30" s="361"/>
      <c r="S30" s="361">
        <v>2.1040000000000001</v>
      </c>
      <c r="T30" s="361"/>
      <c r="U30" s="361">
        <v>2.097</v>
      </c>
      <c r="V30" s="361"/>
      <c r="W30" s="361">
        <v>2.0939999999999999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11.02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75" t="s">
        <v>89</v>
      </c>
      <c r="E34" s="176"/>
      <c r="F34" s="176"/>
      <c r="G34" s="176"/>
      <c r="H34" s="177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78" t="s">
        <v>90</v>
      </c>
      <c r="E35" s="179"/>
      <c r="F35" s="179"/>
      <c r="G35" s="179"/>
      <c r="H35" s="1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78" t="s">
        <v>69</v>
      </c>
      <c r="E37" s="179"/>
      <c r="F37" s="179"/>
      <c r="G37" s="179"/>
      <c r="H37" s="1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75" t="s">
        <v>71</v>
      </c>
      <c r="E38" s="176"/>
      <c r="F38" s="176"/>
      <c r="G38" s="176"/>
      <c r="H38" s="177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78" t="s">
        <v>72</v>
      </c>
      <c r="E39" s="179"/>
      <c r="F39" s="179"/>
      <c r="G39" s="179"/>
      <c r="H39" s="1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75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78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75" t="s">
        <v>75</v>
      </c>
      <c r="E42" s="172"/>
      <c r="F42" s="173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78" t="s">
        <v>76</v>
      </c>
      <c r="E43" s="174"/>
      <c r="F43" s="174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75" t="s">
        <v>77</v>
      </c>
      <c r="E44" s="172"/>
      <c r="F44" s="173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78" t="s">
        <v>78</v>
      </c>
      <c r="E45" s="174"/>
      <c r="F45" s="174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75" t="s">
        <v>79</v>
      </c>
      <c r="E46" s="176"/>
      <c r="F46" s="176"/>
      <c r="G46" s="176"/>
      <c r="H46" s="177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78" t="s">
        <v>80</v>
      </c>
      <c r="E47" s="179"/>
      <c r="F47" s="179"/>
      <c r="G47" s="179"/>
      <c r="H47" s="1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75" t="s">
        <v>81</v>
      </c>
      <c r="E48" s="176"/>
      <c r="F48" s="176"/>
      <c r="G48" s="176"/>
      <c r="H48" s="177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78" t="s">
        <v>82</v>
      </c>
      <c r="E49" s="179"/>
      <c r="F49" s="179"/>
      <c r="G49" s="179"/>
      <c r="H49" s="1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9" priority="9" operator="greaterThan">
      <formula>$AA$28</formula>
    </cfRule>
    <cfRule type="cellIs" dxfId="248" priority="10" operator="lessThan">
      <formula>$AA$29</formula>
    </cfRule>
  </conditionalFormatting>
  <conditionalFormatting sqref="I32:X33">
    <cfRule type="cellIs" dxfId="247" priority="7" operator="greaterThan">
      <formula>$AA$32</formula>
    </cfRule>
    <cfRule type="cellIs" dxfId="246" priority="8" operator="lessThan">
      <formula>$AA$33</formula>
    </cfRule>
  </conditionalFormatting>
  <conditionalFormatting sqref="I30:X31">
    <cfRule type="cellIs" dxfId="245" priority="5" operator="greaterThan">
      <formula>$AA$30</formula>
    </cfRule>
    <cfRule type="cellIs" dxfId="244" priority="6" operator="lessThan">
      <formula>$AA$31</formula>
    </cfRule>
  </conditionalFormatting>
  <conditionalFormatting sqref="I26:X27">
    <cfRule type="cellIs" dxfId="243" priority="3" operator="greaterThan">
      <formula>$AA$26</formula>
    </cfRule>
    <cfRule type="cellIs" dxfId="242" priority="4" operator="lessThan">
      <formula>$AA$27</formula>
    </cfRule>
  </conditionalFormatting>
  <conditionalFormatting sqref="I32:X33">
    <cfRule type="cellIs" dxfId="241" priority="1" operator="greaterThan">
      <formula>$AA$32</formula>
    </cfRule>
    <cfRule type="cellIs" dxfId="2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94" t="s">
        <v>2</v>
      </c>
      <c r="E2" s="42"/>
      <c r="F2" s="273" t="s">
        <v>93</v>
      </c>
      <c r="G2" s="273"/>
      <c r="H2" s="273"/>
      <c r="I2" s="273"/>
      <c r="J2" s="273"/>
      <c r="K2" s="274"/>
      <c r="L2" s="194" t="s">
        <v>4</v>
      </c>
      <c r="M2" s="273">
        <v>9</v>
      </c>
      <c r="N2" s="319"/>
      <c r="O2" s="194" t="s">
        <v>6</v>
      </c>
      <c r="P2" s="322" t="s">
        <v>83</v>
      </c>
      <c r="Q2" s="323"/>
      <c r="R2" s="323"/>
      <c r="S2" s="323"/>
      <c r="T2" s="323"/>
      <c r="U2" s="323"/>
      <c r="V2" s="324"/>
      <c r="W2" s="194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95" t="s">
        <v>3</v>
      </c>
      <c r="E3" s="43"/>
      <c r="F3" s="275"/>
      <c r="G3" s="275"/>
      <c r="H3" s="275"/>
      <c r="I3" s="275"/>
      <c r="J3" s="275"/>
      <c r="K3" s="276"/>
      <c r="L3" s="195" t="s">
        <v>5</v>
      </c>
      <c r="M3" s="320"/>
      <c r="N3" s="321"/>
      <c r="O3" s="195" t="s">
        <v>7</v>
      </c>
      <c r="P3" s="325"/>
      <c r="Q3" s="325"/>
      <c r="R3" s="325"/>
      <c r="S3" s="325"/>
      <c r="T3" s="325"/>
      <c r="U3" s="325"/>
      <c r="V3" s="32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27" t="s">
        <v>117</v>
      </c>
      <c r="R4" s="328"/>
      <c r="S4" s="328"/>
      <c r="T4" s="329"/>
      <c r="U4" s="19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9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9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2.0960000000000001</v>
      </c>
      <c r="J26" s="361"/>
      <c r="K26" s="361">
        <v>2.0939999999999999</v>
      </c>
      <c r="L26" s="361"/>
      <c r="M26" s="361">
        <v>2.097</v>
      </c>
      <c r="N26" s="361"/>
      <c r="O26" s="361">
        <v>2.0870000000000002</v>
      </c>
      <c r="P26" s="361"/>
      <c r="Q26" s="361">
        <v>2.1059999999999999</v>
      </c>
      <c r="R26" s="361"/>
      <c r="S26" s="361">
        <v>2.101</v>
      </c>
      <c r="T26" s="361"/>
      <c r="U26" s="361">
        <v>2.1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</v>
      </c>
      <c r="J30" s="361"/>
      <c r="K30" s="361">
        <v>2.089</v>
      </c>
      <c r="L30" s="361"/>
      <c r="M30" s="361">
        <v>2.0979999999999999</v>
      </c>
      <c r="N30" s="361"/>
      <c r="O30" s="361">
        <v>2.089</v>
      </c>
      <c r="P30" s="361"/>
      <c r="Q30" s="361">
        <v>2.101</v>
      </c>
      <c r="R30" s="361"/>
      <c r="S30" s="361">
        <v>2.0910000000000002</v>
      </c>
      <c r="T30" s="361"/>
      <c r="U30" s="361">
        <v>2.1059999999999999</v>
      </c>
      <c r="V30" s="361"/>
      <c r="W30" s="361">
        <v>2.1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11.01</v>
      </c>
      <c r="L32" s="314"/>
      <c r="M32" s="314">
        <v>11.02</v>
      </c>
      <c r="N32" s="314"/>
      <c r="O32" s="314">
        <v>11.03</v>
      </c>
      <c r="P32" s="314"/>
      <c r="Q32" s="314">
        <v>11.02</v>
      </c>
      <c r="R32" s="314"/>
      <c r="S32" s="314">
        <v>11.02</v>
      </c>
      <c r="T32" s="314"/>
      <c r="U32" s="314">
        <v>11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88" t="s">
        <v>89</v>
      </c>
      <c r="E34" s="189"/>
      <c r="F34" s="189"/>
      <c r="G34" s="189"/>
      <c r="H34" s="190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91" t="s">
        <v>90</v>
      </c>
      <c r="E35" s="192"/>
      <c r="F35" s="192"/>
      <c r="G35" s="192"/>
      <c r="H35" s="193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91" t="s">
        <v>69</v>
      </c>
      <c r="E37" s="192"/>
      <c r="F37" s="192"/>
      <c r="G37" s="192"/>
      <c r="H37" s="193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88" t="s">
        <v>71</v>
      </c>
      <c r="E38" s="189"/>
      <c r="F38" s="189"/>
      <c r="G38" s="189"/>
      <c r="H38" s="190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91" t="s">
        <v>72</v>
      </c>
      <c r="E39" s="192"/>
      <c r="F39" s="192"/>
      <c r="G39" s="192"/>
      <c r="H39" s="193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88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91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88" t="s">
        <v>75</v>
      </c>
      <c r="E42" s="185"/>
      <c r="F42" s="186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91" t="s">
        <v>76</v>
      </c>
      <c r="E43" s="187"/>
      <c r="F43" s="187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88" t="s">
        <v>77</v>
      </c>
      <c r="E44" s="185"/>
      <c r="F44" s="186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91" t="s">
        <v>78</v>
      </c>
      <c r="E45" s="187"/>
      <c r="F45" s="187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88" t="s">
        <v>79</v>
      </c>
      <c r="E46" s="189"/>
      <c r="F46" s="189"/>
      <c r="G46" s="189"/>
      <c r="H46" s="19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91" t="s">
        <v>80</v>
      </c>
      <c r="E47" s="192"/>
      <c r="F47" s="192"/>
      <c r="G47" s="192"/>
      <c r="H47" s="193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88" t="s">
        <v>81</v>
      </c>
      <c r="E48" s="189"/>
      <c r="F48" s="189"/>
      <c r="G48" s="189"/>
      <c r="H48" s="190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91" t="s">
        <v>82</v>
      </c>
      <c r="E49" s="192"/>
      <c r="F49" s="192"/>
      <c r="G49" s="192"/>
      <c r="H49" s="193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9" operator="greaterThan">
      <formula>$AA$28</formula>
    </cfRule>
    <cfRule type="cellIs" dxfId="238" priority="10" operator="lessThan">
      <formula>$AA$29</formula>
    </cfRule>
  </conditionalFormatting>
  <conditionalFormatting sqref="I32:X33">
    <cfRule type="cellIs" dxfId="237" priority="7" operator="greaterThan">
      <formula>$AA$32</formula>
    </cfRule>
    <cfRule type="cellIs" dxfId="236" priority="8" operator="lessThan">
      <formula>$AA$33</formula>
    </cfRule>
  </conditionalFormatting>
  <conditionalFormatting sqref="I30:X31">
    <cfRule type="cellIs" dxfId="235" priority="5" operator="greaterThan">
      <formula>$AA$30</formula>
    </cfRule>
    <cfRule type="cellIs" dxfId="234" priority="6" operator="lessThan">
      <formula>$AA$31</formula>
    </cfRule>
  </conditionalFormatting>
  <conditionalFormatting sqref="I26:X27">
    <cfRule type="cellIs" dxfId="233" priority="3" operator="greaterThan">
      <formula>$AA$26</formula>
    </cfRule>
    <cfRule type="cellIs" dxfId="232" priority="4" operator="lessThan">
      <formula>$AA$27</formula>
    </cfRule>
  </conditionalFormatting>
  <conditionalFormatting sqref="I32:X33">
    <cfRule type="cellIs" dxfId="231" priority="1" operator="greaterThan">
      <formula>$AA$32</formula>
    </cfRule>
    <cfRule type="cellIs" dxfId="23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E4" sqref="E4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94" t="s">
        <v>2</v>
      </c>
      <c r="E2" s="42"/>
      <c r="F2" s="273" t="s">
        <v>93</v>
      </c>
      <c r="G2" s="273"/>
      <c r="H2" s="273"/>
      <c r="I2" s="273"/>
      <c r="J2" s="273"/>
      <c r="K2" s="274"/>
      <c r="L2" s="194" t="s">
        <v>4</v>
      </c>
      <c r="M2" s="273">
        <v>9</v>
      </c>
      <c r="N2" s="319"/>
      <c r="O2" s="194" t="s">
        <v>6</v>
      </c>
      <c r="P2" s="322" t="s">
        <v>83</v>
      </c>
      <c r="Q2" s="323"/>
      <c r="R2" s="323"/>
      <c r="S2" s="323"/>
      <c r="T2" s="323"/>
      <c r="U2" s="323"/>
      <c r="V2" s="324"/>
      <c r="W2" s="194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95" t="s">
        <v>3</v>
      </c>
      <c r="E3" s="43"/>
      <c r="F3" s="275"/>
      <c r="G3" s="275"/>
      <c r="H3" s="275"/>
      <c r="I3" s="275"/>
      <c r="J3" s="275"/>
      <c r="K3" s="276"/>
      <c r="L3" s="195" t="s">
        <v>5</v>
      </c>
      <c r="M3" s="320"/>
      <c r="N3" s="321"/>
      <c r="O3" s="195" t="s">
        <v>7</v>
      </c>
      <c r="P3" s="325"/>
      <c r="Q3" s="325"/>
      <c r="R3" s="325"/>
      <c r="S3" s="325"/>
      <c r="T3" s="325"/>
      <c r="U3" s="325"/>
      <c r="V3" s="32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27" t="s">
        <v>117</v>
      </c>
      <c r="R4" s="328"/>
      <c r="S4" s="328"/>
      <c r="T4" s="329"/>
      <c r="U4" s="19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9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9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2.0990000000000002</v>
      </c>
      <c r="J26" s="361"/>
      <c r="K26" s="361">
        <v>2.0990000000000002</v>
      </c>
      <c r="L26" s="361"/>
      <c r="M26" s="361">
        <v>2.1019999999999999</v>
      </c>
      <c r="N26" s="361"/>
      <c r="O26" s="361">
        <v>2.0990000000000002</v>
      </c>
      <c r="P26" s="361"/>
      <c r="Q26" s="361">
        <v>2.0950000000000002</v>
      </c>
      <c r="R26" s="361"/>
      <c r="S26" s="361">
        <v>2.0870000000000002</v>
      </c>
      <c r="T26" s="361"/>
      <c r="U26" s="361">
        <v>2.0990000000000002</v>
      </c>
      <c r="V26" s="361"/>
      <c r="W26" s="361">
        <v>2.0910000000000002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2.0979999999999999</v>
      </c>
      <c r="J30" s="361"/>
      <c r="K30" s="361">
        <v>2.101</v>
      </c>
      <c r="L30" s="361"/>
      <c r="M30" s="361">
        <v>2.1</v>
      </c>
      <c r="N30" s="361"/>
      <c r="O30" s="361">
        <v>2.0979999999999999</v>
      </c>
      <c r="P30" s="361"/>
      <c r="Q30" s="361">
        <v>2.093</v>
      </c>
      <c r="R30" s="361"/>
      <c r="S30" s="361">
        <v>2.0939999999999999</v>
      </c>
      <c r="T30" s="361"/>
      <c r="U30" s="361">
        <v>2.0960000000000001</v>
      </c>
      <c r="V30" s="361"/>
      <c r="W30" s="361">
        <v>2.0840000000000001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11.01</v>
      </c>
      <c r="J32" s="314"/>
      <c r="K32" s="314">
        <v>11.01</v>
      </c>
      <c r="L32" s="314"/>
      <c r="M32" s="314">
        <v>11.02</v>
      </c>
      <c r="N32" s="314"/>
      <c r="O32" s="314">
        <v>11.02</v>
      </c>
      <c r="P32" s="314"/>
      <c r="Q32" s="314">
        <v>11.02</v>
      </c>
      <c r="R32" s="314"/>
      <c r="S32" s="314">
        <v>11.01</v>
      </c>
      <c r="T32" s="314"/>
      <c r="U32" s="314">
        <v>10.99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88" t="s">
        <v>89</v>
      </c>
      <c r="E34" s="189"/>
      <c r="F34" s="189"/>
      <c r="G34" s="189"/>
      <c r="H34" s="190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91" t="s">
        <v>90</v>
      </c>
      <c r="E35" s="192"/>
      <c r="F35" s="192"/>
      <c r="G35" s="192"/>
      <c r="H35" s="193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91" t="s">
        <v>69</v>
      </c>
      <c r="E37" s="192"/>
      <c r="F37" s="192"/>
      <c r="G37" s="192"/>
      <c r="H37" s="193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88" t="s">
        <v>71</v>
      </c>
      <c r="E38" s="189"/>
      <c r="F38" s="189"/>
      <c r="G38" s="189"/>
      <c r="H38" s="190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91" t="s">
        <v>72</v>
      </c>
      <c r="E39" s="192"/>
      <c r="F39" s="192"/>
      <c r="G39" s="192"/>
      <c r="H39" s="193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88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91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88" t="s">
        <v>75</v>
      </c>
      <c r="E42" s="185"/>
      <c r="F42" s="186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91" t="s">
        <v>76</v>
      </c>
      <c r="E43" s="187"/>
      <c r="F43" s="187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88" t="s">
        <v>77</v>
      </c>
      <c r="E44" s="185"/>
      <c r="F44" s="186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91" t="s">
        <v>78</v>
      </c>
      <c r="E45" s="187"/>
      <c r="F45" s="187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88" t="s">
        <v>79</v>
      </c>
      <c r="E46" s="189"/>
      <c r="F46" s="189"/>
      <c r="G46" s="189"/>
      <c r="H46" s="19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91" t="s">
        <v>80</v>
      </c>
      <c r="E47" s="192"/>
      <c r="F47" s="192"/>
      <c r="G47" s="192"/>
      <c r="H47" s="193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88" t="s">
        <v>81</v>
      </c>
      <c r="E48" s="189"/>
      <c r="F48" s="189"/>
      <c r="G48" s="189"/>
      <c r="H48" s="190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91" t="s">
        <v>82</v>
      </c>
      <c r="E49" s="192"/>
      <c r="F49" s="192"/>
      <c r="G49" s="192"/>
      <c r="H49" s="193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9" priority="9" operator="greaterThan">
      <formula>$AA$28</formula>
    </cfRule>
    <cfRule type="cellIs" dxfId="228" priority="10" operator="lessThan">
      <formula>$AA$29</formula>
    </cfRule>
  </conditionalFormatting>
  <conditionalFormatting sqref="I32:X33">
    <cfRule type="cellIs" dxfId="227" priority="7" operator="greaterThan">
      <formula>$AA$32</formula>
    </cfRule>
    <cfRule type="cellIs" dxfId="226" priority="8" operator="lessThan">
      <formula>$AA$33</formula>
    </cfRule>
  </conditionalFormatting>
  <conditionalFormatting sqref="I30:X31">
    <cfRule type="cellIs" dxfId="225" priority="5" operator="greaterThan">
      <formula>$AA$30</formula>
    </cfRule>
    <cfRule type="cellIs" dxfId="224" priority="6" operator="lessThan">
      <formula>$AA$31</formula>
    </cfRule>
  </conditionalFormatting>
  <conditionalFormatting sqref="I26:X27">
    <cfRule type="cellIs" dxfId="223" priority="3" operator="greaterThan">
      <formula>$AA$26</formula>
    </cfRule>
    <cfRule type="cellIs" dxfId="222" priority="4" operator="lessThan">
      <formula>$AA$27</formula>
    </cfRule>
  </conditionalFormatting>
  <conditionalFormatting sqref="I32:X33">
    <cfRule type="cellIs" dxfId="221" priority="1" operator="greaterThan">
      <formula>$AA$32</formula>
    </cfRule>
    <cfRule type="cellIs" dxfId="2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94" t="s">
        <v>2</v>
      </c>
      <c r="E2" s="42"/>
      <c r="F2" s="273" t="s">
        <v>93</v>
      </c>
      <c r="G2" s="273"/>
      <c r="H2" s="273"/>
      <c r="I2" s="273"/>
      <c r="J2" s="273"/>
      <c r="K2" s="274"/>
      <c r="L2" s="194" t="s">
        <v>4</v>
      </c>
      <c r="M2" s="273">
        <v>9</v>
      </c>
      <c r="N2" s="319"/>
      <c r="O2" s="194" t="s">
        <v>6</v>
      </c>
      <c r="P2" s="322" t="s">
        <v>83</v>
      </c>
      <c r="Q2" s="323"/>
      <c r="R2" s="323"/>
      <c r="S2" s="323"/>
      <c r="T2" s="323"/>
      <c r="U2" s="323"/>
      <c r="V2" s="324"/>
      <c r="W2" s="194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195" t="s">
        <v>3</v>
      </c>
      <c r="E3" s="43"/>
      <c r="F3" s="275"/>
      <c r="G3" s="275"/>
      <c r="H3" s="275"/>
      <c r="I3" s="275"/>
      <c r="J3" s="275"/>
      <c r="K3" s="276"/>
      <c r="L3" s="195" t="s">
        <v>5</v>
      </c>
      <c r="M3" s="320"/>
      <c r="N3" s="321"/>
      <c r="O3" s="195" t="s">
        <v>7</v>
      </c>
      <c r="P3" s="325"/>
      <c r="Q3" s="325"/>
      <c r="R3" s="325"/>
      <c r="S3" s="325"/>
      <c r="T3" s="325"/>
      <c r="U3" s="325"/>
      <c r="V3" s="32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27" t="s">
        <v>118</v>
      </c>
      <c r="R4" s="328"/>
      <c r="S4" s="328"/>
      <c r="T4" s="329"/>
      <c r="U4" s="19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9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19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2.093</v>
      </c>
      <c r="J26" s="361"/>
      <c r="K26" s="361">
        <v>2.093</v>
      </c>
      <c r="L26" s="361"/>
      <c r="M26" s="361">
        <v>2.0939999999999999</v>
      </c>
      <c r="N26" s="361"/>
      <c r="O26" s="361">
        <v>2.0910000000000002</v>
      </c>
      <c r="P26" s="361"/>
      <c r="Q26" s="361">
        <v>2.0950000000000002</v>
      </c>
      <c r="R26" s="361"/>
      <c r="S26" s="361">
        <v>2.0939999999999999</v>
      </c>
      <c r="T26" s="361"/>
      <c r="U26" s="361">
        <v>2.09</v>
      </c>
      <c r="V26" s="361"/>
      <c r="W26" s="361">
        <v>2.0880000000000001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2.0870000000000002</v>
      </c>
      <c r="J30" s="361"/>
      <c r="K30" s="361">
        <v>2.0960000000000001</v>
      </c>
      <c r="L30" s="361"/>
      <c r="M30" s="361">
        <v>2.0859999999999999</v>
      </c>
      <c r="N30" s="361"/>
      <c r="O30" s="361">
        <v>2.09</v>
      </c>
      <c r="P30" s="361"/>
      <c r="Q30" s="361">
        <v>2.0960000000000001</v>
      </c>
      <c r="R30" s="361"/>
      <c r="S30" s="361">
        <v>2.093</v>
      </c>
      <c r="T30" s="361"/>
      <c r="U30" s="361">
        <v>2.089</v>
      </c>
      <c r="V30" s="361"/>
      <c r="W30" s="361">
        <v>2.09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11.02</v>
      </c>
      <c r="J32" s="314"/>
      <c r="K32" s="314">
        <v>11.05</v>
      </c>
      <c r="L32" s="314"/>
      <c r="M32" s="314">
        <v>11.05</v>
      </c>
      <c r="N32" s="314"/>
      <c r="O32" s="314">
        <v>11.05</v>
      </c>
      <c r="P32" s="314"/>
      <c r="Q32" s="314">
        <v>11.05</v>
      </c>
      <c r="R32" s="314"/>
      <c r="S32" s="314">
        <v>11.05</v>
      </c>
      <c r="T32" s="314"/>
      <c r="U32" s="314">
        <v>11.05</v>
      </c>
      <c r="V32" s="314"/>
      <c r="W32" s="314">
        <v>11.03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88" t="s">
        <v>89</v>
      </c>
      <c r="E34" s="189"/>
      <c r="F34" s="189"/>
      <c r="G34" s="189"/>
      <c r="H34" s="190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91" t="s">
        <v>90</v>
      </c>
      <c r="E35" s="192"/>
      <c r="F35" s="192"/>
      <c r="G35" s="192"/>
      <c r="H35" s="193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91" t="s">
        <v>69</v>
      </c>
      <c r="E37" s="192"/>
      <c r="F37" s="192"/>
      <c r="G37" s="192"/>
      <c r="H37" s="193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88" t="s">
        <v>71</v>
      </c>
      <c r="E38" s="189"/>
      <c r="F38" s="189"/>
      <c r="G38" s="189"/>
      <c r="H38" s="190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91" t="s">
        <v>72</v>
      </c>
      <c r="E39" s="192"/>
      <c r="F39" s="192"/>
      <c r="G39" s="192"/>
      <c r="H39" s="193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88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91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88" t="s">
        <v>75</v>
      </c>
      <c r="E42" s="185"/>
      <c r="F42" s="186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91" t="s">
        <v>76</v>
      </c>
      <c r="E43" s="187"/>
      <c r="F43" s="187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88" t="s">
        <v>77</v>
      </c>
      <c r="E44" s="185"/>
      <c r="F44" s="186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91" t="s">
        <v>78</v>
      </c>
      <c r="E45" s="187"/>
      <c r="F45" s="187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88" t="s">
        <v>79</v>
      </c>
      <c r="E46" s="189"/>
      <c r="F46" s="189"/>
      <c r="G46" s="189"/>
      <c r="H46" s="19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91" t="s">
        <v>80</v>
      </c>
      <c r="E47" s="192"/>
      <c r="F47" s="192"/>
      <c r="G47" s="192"/>
      <c r="H47" s="193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88" t="s">
        <v>81</v>
      </c>
      <c r="E48" s="189"/>
      <c r="F48" s="189"/>
      <c r="G48" s="189"/>
      <c r="H48" s="190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91" t="s">
        <v>82</v>
      </c>
      <c r="E49" s="192"/>
      <c r="F49" s="192"/>
      <c r="G49" s="192"/>
      <c r="H49" s="193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9" priority="9" operator="greaterThan">
      <formula>$AA$28</formula>
    </cfRule>
    <cfRule type="cellIs" dxfId="218" priority="10" operator="lessThan">
      <formula>$AA$29</formula>
    </cfRule>
  </conditionalFormatting>
  <conditionalFormatting sqref="I32:X33">
    <cfRule type="cellIs" dxfId="217" priority="7" operator="greaterThan">
      <formula>$AA$32</formula>
    </cfRule>
    <cfRule type="cellIs" dxfId="216" priority="8" operator="lessThan">
      <formula>$AA$33</formula>
    </cfRule>
  </conditionalFormatting>
  <conditionalFormatting sqref="I30:X31">
    <cfRule type="cellIs" dxfId="215" priority="5" operator="greaterThan">
      <formula>$AA$30</formula>
    </cfRule>
    <cfRule type="cellIs" dxfId="214" priority="6" operator="lessThan">
      <formula>$AA$31</formula>
    </cfRule>
  </conditionalFormatting>
  <conditionalFormatting sqref="I26:X27">
    <cfRule type="cellIs" dxfId="213" priority="3" operator="greaterThan">
      <formula>$AA$26</formula>
    </cfRule>
    <cfRule type="cellIs" dxfId="212" priority="4" operator="lessThan">
      <formula>$AA$27</formula>
    </cfRule>
  </conditionalFormatting>
  <conditionalFormatting sqref="I32:X33">
    <cfRule type="cellIs" dxfId="211" priority="1" operator="greaterThan">
      <formula>$AA$32</formula>
    </cfRule>
    <cfRule type="cellIs" dxfId="21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E4" sqref="E4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194" t="s">
        <v>2</v>
      </c>
      <c r="E2" s="42"/>
      <c r="F2" s="273" t="s">
        <v>93</v>
      </c>
      <c r="G2" s="273"/>
      <c r="H2" s="273"/>
      <c r="I2" s="273"/>
      <c r="J2" s="273"/>
      <c r="K2" s="274"/>
      <c r="L2" s="194" t="s">
        <v>4</v>
      </c>
      <c r="M2" s="273">
        <v>9</v>
      </c>
      <c r="N2" s="319"/>
      <c r="O2" s="194" t="s">
        <v>6</v>
      </c>
      <c r="P2" s="322" t="s">
        <v>83</v>
      </c>
      <c r="Q2" s="323"/>
      <c r="R2" s="323"/>
      <c r="S2" s="323"/>
      <c r="T2" s="323"/>
      <c r="U2" s="323"/>
      <c r="V2" s="324"/>
      <c r="W2" s="194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195" t="s">
        <v>3</v>
      </c>
      <c r="E3" s="43"/>
      <c r="F3" s="275"/>
      <c r="G3" s="275"/>
      <c r="H3" s="275"/>
      <c r="I3" s="275"/>
      <c r="J3" s="275"/>
      <c r="K3" s="276"/>
      <c r="L3" s="195" t="s">
        <v>5</v>
      </c>
      <c r="M3" s="320"/>
      <c r="N3" s="321"/>
      <c r="O3" s="195" t="s">
        <v>7</v>
      </c>
      <c r="P3" s="325"/>
      <c r="Q3" s="325"/>
      <c r="R3" s="325"/>
      <c r="S3" s="325"/>
      <c r="T3" s="325"/>
      <c r="U3" s="325"/>
      <c r="V3" s="32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27" t="s">
        <v>118</v>
      </c>
      <c r="R4" s="328"/>
      <c r="S4" s="328"/>
      <c r="T4" s="329"/>
      <c r="U4" s="194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195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196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2.0870000000000002</v>
      </c>
      <c r="J26" s="361"/>
      <c r="K26" s="361">
        <v>2.09</v>
      </c>
      <c r="L26" s="361"/>
      <c r="M26" s="361">
        <v>2.0939999999999999</v>
      </c>
      <c r="N26" s="361"/>
      <c r="O26" s="361">
        <v>2.093</v>
      </c>
      <c r="P26" s="361"/>
      <c r="Q26" s="361">
        <v>2.0990000000000002</v>
      </c>
      <c r="R26" s="361"/>
      <c r="S26" s="361">
        <v>2.1</v>
      </c>
      <c r="T26" s="361"/>
      <c r="U26" s="361">
        <v>2.093</v>
      </c>
      <c r="V26" s="361"/>
      <c r="W26" s="361">
        <v>2.089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2.0760000000000001</v>
      </c>
      <c r="J30" s="361"/>
      <c r="K30" s="361">
        <v>2.0859999999999999</v>
      </c>
      <c r="L30" s="361"/>
      <c r="M30" s="361">
        <v>2.09</v>
      </c>
      <c r="N30" s="361"/>
      <c r="O30" s="361">
        <v>2.0920000000000001</v>
      </c>
      <c r="P30" s="361"/>
      <c r="Q30" s="361">
        <v>2.0910000000000002</v>
      </c>
      <c r="R30" s="361"/>
      <c r="S30" s="361">
        <v>2.089</v>
      </c>
      <c r="T30" s="361"/>
      <c r="U30" s="361">
        <v>2.0819999999999999</v>
      </c>
      <c r="V30" s="361"/>
      <c r="W30" s="361">
        <v>2.081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11.02</v>
      </c>
      <c r="J32" s="314"/>
      <c r="K32" s="314">
        <v>11.03</v>
      </c>
      <c r="L32" s="314"/>
      <c r="M32" s="314">
        <v>11.05</v>
      </c>
      <c r="N32" s="314"/>
      <c r="O32" s="314">
        <v>11.05</v>
      </c>
      <c r="P32" s="314"/>
      <c r="Q32" s="314">
        <v>11.05</v>
      </c>
      <c r="R32" s="314"/>
      <c r="S32" s="314">
        <v>11.05</v>
      </c>
      <c r="T32" s="314"/>
      <c r="U32" s="314">
        <v>11.05</v>
      </c>
      <c r="V32" s="314"/>
      <c r="W32" s="314">
        <v>11.04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88" t="s">
        <v>89</v>
      </c>
      <c r="E34" s="189"/>
      <c r="F34" s="189"/>
      <c r="G34" s="189"/>
      <c r="H34" s="190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191" t="s">
        <v>90</v>
      </c>
      <c r="E35" s="192"/>
      <c r="F35" s="192"/>
      <c r="G35" s="192"/>
      <c r="H35" s="193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191" t="s">
        <v>69</v>
      </c>
      <c r="E37" s="192"/>
      <c r="F37" s="192"/>
      <c r="G37" s="192"/>
      <c r="H37" s="193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88" t="s">
        <v>71</v>
      </c>
      <c r="E38" s="189"/>
      <c r="F38" s="189"/>
      <c r="G38" s="189"/>
      <c r="H38" s="190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191" t="s">
        <v>72</v>
      </c>
      <c r="E39" s="192"/>
      <c r="F39" s="192"/>
      <c r="G39" s="192"/>
      <c r="H39" s="193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88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191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88" t="s">
        <v>75</v>
      </c>
      <c r="E42" s="185"/>
      <c r="F42" s="186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191" t="s">
        <v>76</v>
      </c>
      <c r="E43" s="187"/>
      <c r="F43" s="187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88" t="s">
        <v>77</v>
      </c>
      <c r="E44" s="185"/>
      <c r="F44" s="186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191" t="s">
        <v>78</v>
      </c>
      <c r="E45" s="187"/>
      <c r="F45" s="187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88" t="s">
        <v>79</v>
      </c>
      <c r="E46" s="189"/>
      <c r="F46" s="189"/>
      <c r="G46" s="189"/>
      <c r="H46" s="19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191" t="s">
        <v>80</v>
      </c>
      <c r="E47" s="192"/>
      <c r="F47" s="192"/>
      <c r="G47" s="192"/>
      <c r="H47" s="193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88" t="s">
        <v>81</v>
      </c>
      <c r="E48" s="189"/>
      <c r="F48" s="189"/>
      <c r="G48" s="189"/>
      <c r="H48" s="190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191" t="s">
        <v>82</v>
      </c>
      <c r="E49" s="192"/>
      <c r="F49" s="192"/>
      <c r="G49" s="192"/>
      <c r="H49" s="193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9" priority="9" operator="greaterThan">
      <formula>$AA$28</formula>
    </cfRule>
    <cfRule type="cellIs" dxfId="208" priority="10" operator="lessThan">
      <formula>$AA$29</formula>
    </cfRule>
  </conditionalFormatting>
  <conditionalFormatting sqref="I32:X33">
    <cfRule type="cellIs" dxfId="207" priority="7" operator="greaterThan">
      <formula>$AA$32</formula>
    </cfRule>
    <cfRule type="cellIs" dxfId="206" priority="8" operator="lessThan">
      <formula>$AA$33</formula>
    </cfRule>
  </conditionalFormatting>
  <conditionalFormatting sqref="I30:X31">
    <cfRule type="cellIs" dxfId="205" priority="5" operator="greaterThan">
      <formula>$AA$30</formula>
    </cfRule>
    <cfRule type="cellIs" dxfId="204" priority="6" operator="lessThan">
      <formula>$AA$31</formula>
    </cfRule>
  </conditionalFormatting>
  <conditionalFormatting sqref="I26:X27">
    <cfRule type="cellIs" dxfId="203" priority="3" operator="greaterThan">
      <formula>$AA$26</formula>
    </cfRule>
    <cfRule type="cellIs" dxfId="202" priority="4" operator="lessThan">
      <formula>$AA$27</formula>
    </cfRule>
  </conditionalFormatting>
  <conditionalFormatting sqref="I32:X33">
    <cfRule type="cellIs" dxfId="201" priority="1" operator="greaterThan">
      <formula>$AA$32</formula>
    </cfRule>
    <cfRule type="cellIs" dxfId="20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05" t="s">
        <v>2</v>
      </c>
      <c r="E2" s="42"/>
      <c r="F2" s="273" t="s">
        <v>93</v>
      </c>
      <c r="G2" s="273"/>
      <c r="H2" s="273"/>
      <c r="I2" s="273"/>
      <c r="J2" s="273"/>
      <c r="K2" s="274"/>
      <c r="L2" s="205" t="s">
        <v>4</v>
      </c>
      <c r="M2" s="273">
        <v>9</v>
      </c>
      <c r="N2" s="319"/>
      <c r="O2" s="205" t="s">
        <v>6</v>
      </c>
      <c r="P2" s="322" t="s">
        <v>83</v>
      </c>
      <c r="Q2" s="323"/>
      <c r="R2" s="323"/>
      <c r="S2" s="323"/>
      <c r="T2" s="323"/>
      <c r="U2" s="323"/>
      <c r="V2" s="324"/>
      <c r="W2" s="205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06" t="s">
        <v>3</v>
      </c>
      <c r="E3" s="43"/>
      <c r="F3" s="275"/>
      <c r="G3" s="275"/>
      <c r="H3" s="275"/>
      <c r="I3" s="275"/>
      <c r="J3" s="275"/>
      <c r="K3" s="276"/>
      <c r="L3" s="206" t="s">
        <v>5</v>
      </c>
      <c r="M3" s="320"/>
      <c r="N3" s="321"/>
      <c r="O3" s="206" t="s">
        <v>7</v>
      </c>
      <c r="P3" s="325"/>
      <c r="Q3" s="325"/>
      <c r="R3" s="325"/>
      <c r="S3" s="325"/>
      <c r="T3" s="325"/>
      <c r="U3" s="325"/>
      <c r="V3" s="32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27" t="s">
        <v>119</v>
      </c>
      <c r="R4" s="328"/>
      <c r="S4" s="328"/>
      <c r="T4" s="329"/>
      <c r="U4" s="205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06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03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2.0939999999999999</v>
      </c>
      <c r="J26" s="361"/>
      <c r="K26" s="361">
        <v>2.0870000000000002</v>
      </c>
      <c r="L26" s="361"/>
      <c r="M26" s="361">
        <v>2.093</v>
      </c>
      <c r="N26" s="361"/>
      <c r="O26" s="361">
        <v>2.0979999999999999</v>
      </c>
      <c r="P26" s="361"/>
      <c r="Q26" s="361">
        <v>2.09</v>
      </c>
      <c r="R26" s="361"/>
      <c r="S26" s="361">
        <v>2.0910000000000002</v>
      </c>
      <c r="T26" s="361"/>
      <c r="U26" s="361">
        <v>2.09</v>
      </c>
      <c r="V26" s="361"/>
      <c r="W26" s="361">
        <v>2.0910000000000002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2.0859999999999999</v>
      </c>
      <c r="J30" s="361"/>
      <c r="K30" s="361">
        <v>2.0870000000000002</v>
      </c>
      <c r="L30" s="361"/>
      <c r="M30" s="361">
        <v>2.0910000000000002</v>
      </c>
      <c r="N30" s="361"/>
      <c r="O30" s="361">
        <v>2.093</v>
      </c>
      <c r="P30" s="361"/>
      <c r="Q30" s="361">
        <v>2.0960000000000001</v>
      </c>
      <c r="R30" s="361"/>
      <c r="S30" s="361">
        <v>2.089</v>
      </c>
      <c r="T30" s="361"/>
      <c r="U30" s="361">
        <v>2.0859999999999999</v>
      </c>
      <c r="V30" s="361"/>
      <c r="W30" s="361">
        <v>2.0840000000000001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11.03</v>
      </c>
      <c r="J32" s="314"/>
      <c r="K32" s="314">
        <v>11.03</v>
      </c>
      <c r="L32" s="314"/>
      <c r="M32" s="314">
        <v>11.05</v>
      </c>
      <c r="N32" s="314"/>
      <c r="O32" s="314">
        <v>11.05</v>
      </c>
      <c r="P32" s="314"/>
      <c r="Q32" s="314">
        <v>11.05</v>
      </c>
      <c r="R32" s="314"/>
      <c r="S32" s="314">
        <v>11.05</v>
      </c>
      <c r="T32" s="314"/>
      <c r="U32" s="314">
        <v>11.05</v>
      </c>
      <c r="V32" s="314"/>
      <c r="W32" s="314">
        <v>11.02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97" t="s">
        <v>89</v>
      </c>
      <c r="E34" s="198"/>
      <c r="F34" s="198"/>
      <c r="G34" s="198"/>
      <c r="H34" s="199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00" t="s">
        <v>90</v>
      </c>
      <c r="E35" s="201"/>
      <c r="F35" s="201"/>
      <c r="G35" s="201"/>
      <c r="H35" s="202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00" t="s">
        <v>69</v>
      </c>
      <c r="E37" s="201"/>
      <c r="F37" s="201"/>
      <c r="G37" s="201"/>
      <c r="H37" s="202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97" t="s">
        <v>71</v>
      </c>
      <c r="E38" s="198"/>
      <c r="F38" s="198"/>
      <c r="G38" s="198"/>
      <c r="H38" s="199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00" t="s">
        <v>72</v>
      </c>
      <c r="E39" s="201"/>
      <c r="F39" s="201"/>
      <c r="G39" s="201"/>
      <c r="H39" s="202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97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00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97" t="s">
        <v>75</v>
      </c>
      <c r="E42" s="204"/>
      <c r="F42" s="208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00" t="s">
        <v>76</v>
      </c>
      <c r="E43" s="209"/>
      <c r="F43" s="209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97" t="s">
        <v>77</v>
      </c>
      <c r="E44" s="204"/>
      <c r="F44" s="208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00" t="s">
        <v>78</v>
      </c>
      <c r="E45" s="209"/>
      <c r="F45" s="209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97" t="s">
        <v>79</v>
      </c>
      <c r="E46" s="198"/>
      <c r="F46" s="198"/>
      <c r="G46" s="198"/>
      <c r="H46" s="199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00" t="s">
        <v>80</v>
      </c>
      <c r="E47" s="201"/>
      <c r="F47" s="201"/>
      <c r="G47" s="201"/>
      <c r="H47" s="202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97" t="s">
        <v>81</v>
      </c>
      <c r="E48" s="198"/>
      <c r="F48" s="198"/>
      <c r="G48" s="198"/>
      <c r="H48" s="199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00" t="s">
        <v>82</v>
      </c>
      <c r="E49" s="201"/>
      <c r="F49" s="201"/>
      <c r="G49" s="201"/>
      <c r="H49" s="202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9" operator="greaterThan">
      <formula>$AA$28</formula>
    </cfRule>
    <cfRule type="cellIs" dxfId="198" priority="10" operator="lessThan">
      <formula>$AA$29</formula>
    </cfRule>
  </conditionalFormatting>
  <conditionalFormatting sqref="I32:X33">
    <cfRule type="cellIs" dxfId="197" priority="7" operator="greaterThan">
      <formula>$AA$32</formula>
    </cfRule>
    <cfRule type="cellIs" dxfId="196" priority="8" operator="lessThan">
      <formula>$AA$33</formula>
    </cfRule>
  </conditionalFormatting>
  <conditionalFormatting sqref="I30:X31">
    <cfRule type="cellIs" dxfId="195" priority="5" operator="greaterThan">
      <formula>$AA$30</formula>
    </cfRule>
    <cfRule type="cellIs" dxfId="194" priority="6" operator="lessThan">
      <formula>$AA$31</formula>
    </cfRule>
  </conditionalFormatting>
  <conditionalFormatting sqref="I26:X27">
    <cfRule type="cellIs" dxfId="193" priority="3" operator="greaterThan">
      <formula>$AA$26</formula>
    </cfRule>
    <cfRule type="cellIs" dxfId="192" priority="4" operator="lessThan">
      <formula>$AA$27</formula>
    </cfRule>
  </conditionalFormatting>
  <conditionalFormatting sqref="I32:X33">
    <cfRule type="cellIs" dxfId="191" priority="1" operator="greaterThan">
      <formula>$AA$32</formula>
    </cfRule>
    <cfRule type="cellIs" dxfId="1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E4" sqref="E4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05" t="s">
        <v>2</v>
      </c>
      <c r="E2" s="42"/>
      <c r="F2" s="273" t="s">
        <v>93</v>
      </c>
      <c r="G2" s="273"/>
      <c r="H2" s="273"/>
      <c r="I2" s="273"/>
      <c r="J2" s="273"/>
      <c r="K2" s="274"/>
      <c r="L2" s="205" t="s">
        <v>4</v>
      </c>
      <c r="M2" s="273">
        <v>9</v>
      </c>
      <c r="N2" s="319"/>
      <c r="O2" s="205" t="s">
        <v>6</v>
      </c>
      <c r="P2" s="322" t="s">
        <v>83</v>
      </c>
      <c r="Q2" s="323"/>
      <c r="R2" s="323"/>
      <c r="S2" s="323"/>
      <c r="T2" s="323"/>
      <c r="U2" s="323"/>
      <c r="V2" s="324"/>
      <c r="W2" s="205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06" t="s">
        <v>3</v>
      </c>
      <c r="E3" s="43"/>
      <c r="F3" s="275"/>
      <c r="G3" s="275"/>
      <c r="H3" s="275"/>
      <c r="I3" s="275"/>
      <c r="J3" s="275"/>
      <c r="K3" s="276"/>
      <c r="L3" s="206" t="s">
        <v>5</v>
      </c>
      <c r="M3" s="320"/>
      <c r="N3" s="321"/>
      <c r="O3" s="206" t="s">
        <v>7</v>
      </c>
      <c r="P3" s="325"/>
      <c r="Q3" s="325"/>
      <c r="R3" s="325"/>
      <c r="S3" s="325"/>
      <c r="T3" s="325"/>
      <c r="U3" s="325"/>
      <c r="V3" s="32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27" t="s">
        <v>119</v>
      </c>
      <c r="R4" s="328"/>
      <c r="S4" s="328"/>
      <c r="T4" s="329"/>
      <c r="U4" s="205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06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03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2.0920000000000001</v>
      </c>
      <c r="J26" s="361"/>
      <c r="K26" s="361">
        <v>2.0950000000000002</v>
      </c>
      <c r="L26" s="361"/>
      <c r="M26" s="361">
        <v>2.089</v>
      </c>
      <c r="N26" s="361"/>
      <c r="O26" s="361">
        <v>2.0910000000000002</v>
      </c>
      <c r="P26" s="361"/>
      <c r="Q26" s="361">
        <v>2.09</v>
      </c>
      <c r="R26" s="361"/>
      <c r="S26" s="361">
        <v>2.0910000000000002</v>
      </c>
      <c r="T26" s="361"/>
      <c r="U26" s="361">
        <v>2.09</v>
      </c>
      <c r="V26" s="361"/>
      <c r="W26" s="361">
        <v>2.089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2.081</v>
      </c>
      <c r="J30" s="361"/>
      <c r="K30" s="361">
        <v>2.08</v>
      </c>
      <c r="L30" s="361"/>
      <c r="M30" s="361">
        <v>2.0920000000000001</v>
      </c>
      <c r="N30" s="361"/>
      <c r="O30" s="361">
        <v>2.0920000000000001</v>
      </c>
      <c r="P30" s="361"/>
      <c r="Q30" s="361">
        <v>2.0920000000000001</v>
      </c>
      <c r="R30" s="361"/>
      <c r="S30" s="361">
        <v>2.0840000000000001</v>
      </c>
      <c r="T30" s="361"/>
      <c r="U30" s="361">
        <v>2.0840000000000001</v>
      </c>
      <c r="V30" s="361"/>
      <c r="W30" s="361">
        <v>2.085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11.03</v>
      </c>
      <c r="J32" s="314"/>
      <c r="K32" s="314">
        <v>11.05</v>
      </c>
      <c r="L32" s="314"/>
      <c r="M32" s="314">
        <v>11.05</v>
      </c>
      <c r="N32" s="314"/>
      <c r="O32" s="314">
        <v>11.05</v>
      </c>
      <c r="P32" s="314"/>
      <c r="Q32" s="314">
        <v>11.05</v>
      </c>
      <c r="R32" s="314"/>
      <c r="S32" s="314">
        <v>11.05</v>
      </c>
      <c r="T32" s="314"/>
      <c r="U32" s="314">
        <v>11.05</v>
      </c>
      <c r="V32" s="314"/>
      <c r="W32" s="314">
        <v>11.03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197" t="s">
        <v>89</v>
      </c>
      <c r="E34" s="198"/>
      <c r="F34" s="198"/>
      <c r="G34" s="198"/>
      <c r="H34" s="199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00" t="s">
        <v>90</v>
      </c>
      <c r="E35" s="201"/>
      <c r="F35" s="201"/>
      <c r="G35" s="201"/>
      <c r="H35" s="202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00" t="s">
        <v>69</v>
      </c>
      <c r="E37" s="201"/>
      <c r="F37" s="201"/>
      <c r="G37" s="201"/>
      <c r="H37" s="202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197" t="s">
        <v>71</v>
      </c>
      <c r="E38" s="198"/>
      <c r="F38" s="198"/>
      <c r="G38" s="198"/>
      <c r="H38" s="199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00" t="s">
        <v>72</v>
      </c>
      <c r="E39" s="201"/>
      <c r="F39" s="201"/>
      <c r="G39" s="201"/>
      <c r="H39" s="202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197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00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197" t="s">
        <v>75</v>
      </c>
      <c r="E42" s="204"/>
      <c r="F42" s="208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00" t="s">
        <v>76</v>
      </c>
      <c r="E43" s="209"/>
      <c r="F43" s="209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197" t="s">
        <v>77</v>
      </c>
      <c r="E44" s="204"/>
      <c r="F44" s="208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00" t="s">
        <v>78</v>
      </c>
      <c r="E45" s="209"/>
      <c r="F45" s="209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197" t="s">
        <v>79</v>
      </c>
      <c r="E46" s="198"/>
      <c r="F46" s="198"/>
      <c r="G46" s="198"/>
      <c r="H46" s="199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00" t="s">
        <v>80</v>
      </c>
      <c r="E47" s="201"/>
      <c r="F47" s="201"/>
      <c r="G47" s="201"/>
      <c r="H47" s="202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197" t="s">
        <v>81</v>
      </c>
      <c r="E48" s="198"/>
      <c r="F48" s="198"/>
      <c r="G48" s="198"/>
      <c r="H48" s="199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00" t="s">
        <v>82</v>
      </c>
      <c r="E49" s="201"/>
      <c r="F49" s="201"/>
      <c r="G49" s="201"/>
      <c r="H49" s="202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9" priority="9" operator="greaterThan">
      <formula>$AA$28</formula>
    </cfRule>
    <cfRule type="cellIs" dxfId="188" priority="10" operator="lessThan">
      <formula>$AA$29</formula>
    </cfRule>
  </conditionalFormatting>
  <conditionalFormatting sqref="I32:X33">
    <cfRule type="cellIs" dxfId="187" priority="7" operator="greaterThan">
      <formula>$AA$32</formula>
    </cfRule>
    <cfRule type="cellIs" dxfId="186" priority="8" operator="lessThan">
      <formula>$AA$33</formula>
    </cfRule>
  </conditionalFormatting>
  <conditionalFormatting sqref="I30:X31">
    <cfRule type="cellIs" dxfId="185" priority="5" operator="greaterThan">
      <formula>$AA$30</formula>
    </cfRule>
    <cfRule type="cellIs" dxfId="184" priority="6" operator="lessThan">
      <formula>$AA$31</formula>
    </cfRule>
  </conditionalFormatting>
  <conditionalFormatting sqref="I26:X27">
    <cfRule type="cellIs" dxfId="183" priority="3" operator="greaterThan">
      <formula>$AA$26</formula>
    </cfRule>
    <cfRule type="cellIs" dxfId="182" priority="4" operator="lessThan">
      <formula>$AA$27</formula>
    </cfRule>
  </conditionalFormatting>
  <conditionalFormatting sqref="I32:X33">
    <cfRule type="cellIs" dxfId="181" priority="1" operator="greaterThan">
      <formula>$AA$32</formula>
    </cfRule>
    <cfRule type="cellIs" dxfId="1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20" t="s">
        <v>2</v>
      </c>
      <c r="E2" s="42"/>
      <c r="F2" s="273" t="s">
        <v>93</v>
      </c>
      <c r="G2" s="273"/>
      <c r="H2" s="273"/>
      <c r="I2" s="273"/>
      <c r="J2" s="273"/>
      <c r="K2" s="274"/>
      <c r="L2" s="220" t="s">
        <v>4</v>
      </c>
      <c r="M2" s="273">
        <v>9</v>
      </c>
      <c r="N2" s="319"/>
      <c r="O2" s="220" t="s">
        <v>6</v>
      </c>
      <c r="P2" s="322" t="s">
        <v>83</v>
      </c>
      <c r="Q2" s="323"/>
      <c r="R2" s="323"/>
      <c r="S2" s="323"/>
      <c r="T2" s="323"/>
      <c r="U2" s="323"/>
      <c r="V2" s="324"/>
      <c r="W2" s="220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21" t="s">
        <v>3</v>
      </c>
      <c r="E3" s="43"/>
      <c r="F3" s="275"/>
      <c r="G3" s="275"/>
      <c r="H3" s="275"/>
      <c r="I3" s="275"/>
      <c r="J3" s="275"/>
      <c r="K3" s="276"/>
      <c r="L3" s="221" t="s">
        <v>5</v>
      </c>
      <c r="M3" s="320"/>
      <c r="N3" s="321"/>
      <c r="O3" s="221" t="s">
        <v>7</v>
      </c>
      <c r="P3" s="325"/>
      <c r="Q3" s="325"/>
      <c r="R3" s="325"/>
      <c r="S3" s="325"/>
      <c r="T3" s="325"/>
      <c r="U3" s="325"/>
      <c r="V3" s="32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27" t="s">
        <v>120</v>
      </c>
      <c r="R4" s="328"/>
      <c r="S4" s="328"/>
      <c r="T4" s="329"/>
      <c r="U4" s="22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2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2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2.1030000000000002</v>
      </c>
      <c r="J26" s="361"/>
      <c r="K26" s="361">
        <v>2.0979999999999999</v>
      </c>
      <c r="L26" s="361"/>
      <c r="M26" s="361">
        <v>2.1030000000000002</v>
      </c>
      <c r="N26" s="361"/>
      <c r="O26" s="361">
        <v>2.105</v>
      </c>
      <c r="P26" s="361"/>
      <c r="Q26" s="361">
        <v>2.1030000000000002</v>
      </c>
      <c r="R26" s="361"/>
      <c r="S26" s="361">
        <v>2.1019999999999999</v>
      </c>
      <c r="T26" s="361"/>
      <c r="U26" s="361">
        <v>2.1040000000000001</v>
      </c>
      <c r="V26" s="361"/>
      <c r="W26" s="361">
        <v>2.1030000000000002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</v>
      </c>
      <c r="J30" s="361"/>
      <c r="K30" s="361">
        <v>2.0939999999999999</v>
      </c>
      <c r="L30" s="361"/>
      <c r="M30" s="361">
        <v>2.0990000000000002</v>
      </c>
      <c r="N30" s="361"/>
      <c r="O30" s="361">
        <v>2.1030000000000002</v>
      </c>
      <c r="P30" s="361"/>
      <c r="Q30" s="361">
        <v>2.1030000000000002</v>
      </c>
      <c r="R30" s="361"/>
      <c r="S30" s="361">
        <v>2.1</v>
      </c>
      <c r="T30" s="361"/>
      <c r="U30" s="361">
        <v>2.1</v>
      </c>
      <c r="V30" s="361"/>
      <c r="W30" s="361">
        <v>2.0910000000000002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11.01</v>
      </c>
      <c r="J32" s="314"/>
      <c r="K32" s="314">
        <v>11.01</v>
      </c>
      <c r="L32" s="314"/>
      <c r="M32" s="314">
        <v>11.02</v>
      </c>
      <c r="N32" s="314"/>
      <c r="O32" s="314">
        <v>11.04</v>
      </c>
      <c r="P32" s="314"/>
      <c r="Q32" s="314">
        <v>11.02</v>
      </c>
      <c r="R32" s="314"/>
      <c r="S32" s="314">
        <v>11.04</v>
      </c>
      <c r="T32" s="314"/>
      <c r="U32" s="314">
        <v>11.01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14" t="s">
        <v>89</v>
      </c>
      <c r="E34" s="215"/>
      <c r="F34" s="215"/>
      <c r="G34" s="215"/>
      <c r="H34" s="216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17" t="s">
        <v>90</v>
      </c>
      <c r="E35" s="218"/>
      <c r="F35" s="218"/>
      <c r="G35" s="218"/>
      <c r="H35" s="219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17" t="s">
        <v>69</v>
      </c>
      <c r="E37" s="218"/>
      <c r="F37" s="218"/>
      <c r="G37" s="218"/>
      <c r="H37" s="219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14" t="s">
        <v>71</v>
      </c>
      <c r="E38" s="215"/>
      <c r="F38" s="215"/>
      <c r="G38" s="215"/>
      <c r="H38" s="216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17" t="s">
        <v>72</v>
      </c>
      <c r="E39" s="218"/>
      <c r="F39" s="218"/>
      <c r="G39" s="218"/>
      <c r="H39" s="219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14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17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14" t="s">
        <v>75</v>
      </c>
      <c r="E42" s="211"/>
      <c r="F42" s="212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17" t="s">
        <v>76</v>
      </c>
      <c r="E43" s="213"/>
      <c r="F43" s="213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14" t="s">
        <v>77</v>
      </c>
      <c r="E44" s="211"/>
      <c r="F44" s="212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17" t="s">
        <v>78</v>
      </c>
      <c r="E45" s="213"/>
      <c r="F45" s="213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14" t="s">
        <v>79</v>
      </c>
      <c r="E46" s="215"/>
      <c r="F46" s="215"/>
      <c r="G46" s="215"/>
      <c r="H46" s="216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17" t="s">
        <v>80</v>
      </c>
      <c r="E47" s="218"/>
      <c r="F47" s="218"/>
      <c r="G47" s="218"/>
      <c r="H47" s="219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14" t="s">
        <v>81</v>
      </c>
      <c r="E48" s="215"/>
      <c r="F48" s="215"/>
      <c r="G48" s="215"/>
      <c r="H48" s="216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17" t="s">
        <v>82</v>
      </c>
      <c r="E49" s="218"/>
      <c r="F49" s="218"/>
      <c r="G49" s="218"/>
      <c r="H49" s="219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9" priority="9" operator="greaterThan">
      <formula>$AA$28</formula>
    </cfRule>
    <cfRule type="cellIs" dxfId="178" priority="10" operator="lessThan">
      <formula>$AA$29</formula>
    </cfRule>
  </conditionalFormatting>
  <conditionalFormatting sqref="I32:X33">
    <cfRule type="cellIs" dxfId="177" priority="7" operator="greaterThan">
      <formula>$AA$32</formula>
    </cfRule>
    <cfRule type="cellIs" dxfId="176" priority="8" operator="lessThan">
      <formula>$AA$33</formula>
    </cfRule>
  </conditionalFormatting>
  <conditionalFormatting sqref="I30:X31">
    <cfRule type="cellIs" dxfId="175" priority="5" operator="greaterThan">
      <formula>$AA$30</formula>
    </cfRule>
    <cfRule type="cellIs" dxfId="174" priority="6" operator="lessThan">
      <formula>$AA$31</formula>
    </cfRule>
  </conditionalFormatting>
  <conditionalFormatting sqref="I26:X27">
    <cfRule type="cellIs" dxfId="173" priority="3" operator="greaterThan">
      <formula>$AA$26</formula>
    </cfRule>
    <cfRule type="cellIs" dxfId="172" priority="4" operator="lessThan">
      <formula>$AA$27</formula>
    </cfRule>
  </conditionalFormatting>
  <conditionalFormatting sqref="I32:X33">
    <cfRule type="cellIs" dxfId="171" priority="1" operator="greaterThan">
      <formula>$AA$32</formula>
    </cfRule>
    <cfRule type="cellIs" dxfId="17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20" t="s">
        <v>2</v>
      </c>
      <c r="E2" s="42"/>
      <c r="F2" s="273" t="s">
        <v>93</v>
      </c>
      <c r="G2" s="273"/>
      <c r="H2" s="273"/>
      <c r="I2" s="273"/>
      <c r="J2" s="273"/>
      <c r="K2" s="274"/>
      <c r="L2" s="220" t="s">
        <v>4</v>
      </c>
      <c r="M2" s="273">
        <v>9</v>
      </c>
      <c r="N2" s="319"/>
      <c r="O2" s="220" t="s">
        <v>6</v>
      </c>
      <c r="P2" s="322" t="s">
        <v>83</v>
      </c>
      <c r="Q2" s="323"/>
      <c r="R2" s="323"/>
      <c r="S2" s="323"/>
      <c r="T2" s="323"/>
      <c r="U2" s="323"/>
      <c r="V2" s="324"/>
      <c r="W2" s="220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21" t="s">
        <v>3</v>
      </c>
      <c r="E3" s="43"/>
      <c r="F3" s="275"/>
      <c r="G3" s="275"/>
      <c r="H3" s="275"/>
      <c r="I3" s="275"/>
      <c r="J3" s="275"/>
      <c r="K3" s="276"/>
      <c r="L3" s="221" t="s">
        <v>5</v>
      </c>
      <c r="M3" s="320"/>
      <c r="N3" s="321"/>
      <c r="O3" s="221" t="s">
        <v>7</v>
      </c>
      <c r="P3" s="325"/>
      <c r="Q3" s="325"/>
      <c r="R3" s="325"/>
      <c r="S3" s="325"/>
      <c r="T3" s="325"/>
      <c r="U3" s="325"/>
      <c r="V3" s="32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27" t="s">
        <v>120</v>
      </c>
      <c r="R4" s="328"/>
      <c r="S4" s="328"/>
      <c r="T4" s="329"/>
      <c r="U4" s="22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2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2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2.0990000000000002</v>
      </c>
      <c r="J26" s="361"/>
      <c r="K26" s="361">
        <v>2.0990000000000002</v>
      </c>
      <c r="L26" s="361"/>
      <c r="M26" s="361">
        <v>2.1</v>
      </c>
      <c r="N26" s="361"/>
      <c r="O26" s="361">
        <v>2.1019999999999999</v>
      </c>
      <c r="P26" s="361"/>
      <c r="Q26" s="361">
        <v>2.101</v>
      </c>
      <c r="R26" s="361"/>
      <c r="S26" s="361">
        <v>2.0990000000000002</v>
      </c>
      <c r="T26" s="361"/>
      <c r="U26" s="361">
        <v>2.0979999999999999</v>
      </c>
      <c r="V26" s="361"/>
      <c r="W26" s="361">
        <v>2.097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</v>
      </c>
      <c r="J30" s="361"/>
      <c r="K30" s="361">
        <v>2.097</v>
      </c>
      <c r="L30" s="361"/>
      <c r="M30" s="361">
        <v>2.0979999999999999</v>
      </c>
      <c r="N30" s="361"/>
      <c r="O30" s="361">
        <v>2.1059999999999999</v>
      </c>
      <c r="P30" s="361"/>
      <c r="Q30" s="361">
        <v>2.11</v>
      </c>
      <c r="R30" s="361"/>
      <c r="S30" s="361">
        <v>2.1070000000000002</v>
      </c>
      <c r="T30" s="361"/>
      <c r="U30" s="361">
        <v>2.0990000000000002</v>
      </c>
      <c r="V30" s="361"/>
      <c r="W30" s="361">
        <v>2.097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</v>
      </c>
      <c r="L32" s="314"/>
      <c r="M32" s="314">
        <v>11.02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10.99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14" t="s">
        <v>89</v>
      </c>
      <c r="E34" s="215"/>
      <c r="F34" s="215"/>
      <c r="G34" s="215"/>
      <c r="H34" s="216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17" t="s">
        <v>90</v>
      </c>
      <c r="E35" s="218"/>
      <c r="F35" s="218"/>
      <c r="G35" s="218"/>
      <c r="H35" s="219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17" t="s">
        <v>69</v>
      </c>
      <c r="E37" s="218"/>
      <c r="F37" s="218"/>
      <c r="G37" s="218"/>
      <c r="H37" s="219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14" t="s">
        <v>71</v>
      </c>
      <c r="E38" s="215"/>
      <c r="F38" s="215"/>
      <c r="G38" s="215"/>
      <c r="H38" s="216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17" t="s">
        <v>72</v>
      </c>
      <c r="E39" s="218"/>
      <c r="F39" s="218"/>
      <c r="G39" s="218"/>
      <c r="H39" s="219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14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17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14" t="s">
        <v>75</v>
      </c>
      <c r="E42" s="211"/>
      <c r="F42" s="212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17" t="s">
        <v>76</v>
      </c>
      <c r="E43" s="213"/>
      <c r="F43" s="213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14" t="s">
        <v>77</v>
      </c>
      <c r="E44" s="211"/>
      <c r="F44" s="212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17" t="s">
        <v>78</v>
      </c>
      <c r="E45" s="213"/>
      <c r="F45" s="213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14" t="s">
        <v>79</v>
      </c>
      <c r="E46" s="215"/>
      <c r="F46" s="215"/>
      <c r="G46" s="215"/>
      <c r="H46" s="216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17" t="s">
        <v>80</v>
      </c>
      <c r="E47" s="218"/>
      <c r="F47" s="218"/>
      <c r="G47" s="218"/>
      <c r="H47" s="219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14" t="s">
        <v>81</v>
      </c>
      <c r="E48" s="215"/>
      <c r="F48" s="215"/>
      <c r="G48" s="215"/>
      <c r="H48" s="216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17" t="s">
        <v>82</v>
      </c>
      <c r="E49" s="218"/>
      <c r="F49" s="218"/>
      <c r="G49" s="218"/>
      <c r="H49" s="219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9" priority="9" operator="greaterThan">
      <formula>$AA$28</formula>
    </cfRule>
    <cfRule type="cellIs" dxfId="168" priority="10" operator="lessThan">
      <formula>$AA$29</formula>
    </cfRule>
  </conditionalFormatting>
  <conditionalFormatting sqref="I32:X33">
    <cfRule type="cellIs" dxfId="167" priority="7" operator="greaterThan">
      <formula>$AA$32</formula>
    </cfRule>
    <cfRule type="cellIs" dxfId="166" priority="8" operator="lessThan">
      <formula>$AA$33</formula>
    </cfRule>
  </conditionalFormatting>
  <conditionalFormatting sqref="I30:X31">
    <cfRule type="cellIs" dxfId="165" priority="5" operator="greaterThan">
      <formula>$AA$30</formula>
    </cfRule>
    <cfRule type="cellIs" dxfId="164" priority="6" operator="lessThan">
      <formula>$AA$31</formula>
    </cfRule>
  </conditionalFormatting>
  <conditionalFormatting sqref="I26:X27">
    <cfRule type="cellIs" dxfId="163" priority="3" operator="greaterThan">
      <formula>$AA$26</formula>
    </cfRule>
    <cfRule type="cellIs" dxfId="162" priority="4" operator="lessThan">
      <formula>$AA$27</formula>
    </cfRule>
  </conditionalFormatting>
  <conditionalFormatting sqref="I32:X33">
    <cfRule type="cellIs" dxfId="161" priority="1" operator="greaterThan">
      <formula>$AA$32</formula>
    </cfRule>
    <cfRule type="cellIs" dxfId="1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20" t="s">
        <v>2</v>
      </c>
      <c r="E2" s="42"/>
      <c r="F2" s="273" t="s">
        <v>93</v>
      </c>
      <c r="G2" s="273"/>
      <c r="H2" s="273"/>
      <c r="I2" s="273"/>
      <c r="J2" s="273"/>
      <c r="K2" s="274"/>
      <c r="L2" s="220" t="s">
        <v>4</v>
      </c>
      <c r="M2" s="273">
        <v>9</v>
      </c>
      <c r="N2" s="319"/>
      <c r="O2" s="220" t="s">
        <v>6</v>
      </c>
      <c r="P2" s="322" t="s">
        <v>83</v>
      </c>
      <c r="Q2" s="323"/>
      <c r="R2" s="323"/>
      <c r="S2" s="323"/>
      <c r="T2" s="323"/>
      <c r="U2" s="323"/>
      <c r="V2" s="324"/>
      <c r="W2" s="220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21" t="s">
        <v>3</v>
      </c>
      <c r="E3" s="43"/>
      <c r="F3" s="275"/>
      <c r="G3" s="275"/>
      <c r="H3" s="275"/>
      <c r="I3" s="275"/>
      <c r="J3" s="275"/>
      <c r="K3" s="276"/>
      <c r="L3" s="221" t="s">
        <v>5</v>
      </c>
      <c r="M3" s="320"/>
      <c r="N3" s="321"/>
      <c r="O3" s="221" t="s">
        <v>7</v>
      </c>
      <c r="P3" s="325"/>
      <c r="Q3" s="325"/>
      <c r="R3" s="325"/>
      <c r="S3" s="325"/>
      <c r="T3" s="325"/>
      <c r="U3" s="325"/>
      <c r="V3" s="32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27" t="s">
        <v>121</v>
      </c>
      <c r="R4" s="328"/>
      <c r="S4" s="328"/>
      <c r="T4" s="329"/>
      <c r="U4" s="22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2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2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2.0990000000000002</v>
      </c>
      <c r="J26" s="361"/>
      <c r="K26" s="361">
        <v>2.0979999999999999</v>
      </c>
      <c r="L26" s="361"/>
      <c r="M26" s="361">
        <v>2.1019999999999999</v>
      </c>
      <c r="N26" s="361"/>
      <c r="O26" s="361">
        <v>2.0979999999999999</v>
      </c>
      <c r="P26" s="361"/>
      <c r="Q26" s="361">
        <v>2.1040000000000001</v>
      </c>
      <c r="R26" s="361"/>
      <c r="S26" s="361">
        <v>2.1019999999999999</v>
      </c>
      <c r="T26" s="361"/>
      <c r="U26" s="361">
        <v>2.1</v>
      </c>
      <c r="V26" s="361"/>
      <c r="W26" s="361">
        <v>2.097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2.0979999999999999</v>
      </c>
      <c r="J30" s="361"/>
      <c r="K30" s="361">
        <v>2.0950000000000002</v>
      </c>
      <c r="L30" s="361"/>
      <c r="M30" s="361">
        <v>2.0950000000000002</v>
      </c>
      <c r="N30" s="361"/>
      <c r="O30" s="361">
        <v>2.101</v>
      </c>
      <c r="P30" s="361"/>
      <c r="Q30" s="361">
        <v>2.101</v>
      </c>
      <c r="R30" s="361"/>
      <c r="S30" s="361">
        <v>2.0979999999999999</v>
      </c>
      <c r="T30" s="361"/>
      <c r="U30" s="361">
        <v>2.0939999999999999</v>
      </c>
      <c r="V30" s="361"/>
      <c r="W30" s="361">
        <v>2.0979999999999999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11.01</v>
      </c>
      <c r="L32" s="314"/>
      <c r="M32" s="314">
        <v>11.02</v>
      </c>
      <c r="N32" s="314"/>
      <c r="O32" s="314">
        <v>11.03</v>
      </c>
      <c r="P32" s="314"/>
      <c r="Q32" s="314">
        <v>11.02</v>
      </c>
      <c r="R32" s="314"/>
      <c r="S32" s="314">
        <v>11.01</v>
      </c>
      <c r="T32" s="314"/>
      <c r="U32" s="314">
        <v>11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14" t="s">
        <v>89</v>
      </c>
      <c r="E34" s="215"/>
      <c r="F34" s="215"/>
      <c r="G34" s="215"/>
      <c r="H34" s="216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17" t="s">
        <v>90</v>
      </c>
      <c r="E35" s="218"/>
      <c r="F35" s="218"/>
      <c r="G35" s="218"/>
      <c r="H35" s="219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17" t="s">
        <v>69</v>
      </c>
      <c r="E37" s="218"/>
      <c r="F37" s="218"/>
      <c r="G37" s="218"/>
      <c r="H37" s="219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14" t="s">
        <v>71</v>
      </c>
      <c r="E38" s="215"/>
      <c r="F38" s="215"/>
      <c r="G38" s="215"/>
      <c r="H38" s="216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17" t="s">
        <v>72</v>
      </c>
      <c r="E39" s="218"/>
      <c r="F39" s="218"/>
      <c r="G39" s="218"/>
      <c r="H39" s="219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14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17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14" t="s">
        <v>75</v>
      </c>
      <c r="E42" s="211"/>
      <c r="F42" s="212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17" t="s">
        <v>76</v>
      </c>
      <c r="E43" s="213"/>
      <c r="F43" s="213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14" t="s">
        <v>77</v>
      </c>
      <c r="E44" s="211"/>
      <c r="F44" s="212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17" t="s">
        <v>78</v>
      </c>
      <c r="E45" s="213"/>
      <c r="F45" s="213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14" t="s">
        <v>79</v>
      </c>
      <c r="E46" s="215"/>
      <c r="F46" s="215"/>
      <c r="G46" s="215"/>
      <c r="H46" s="216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17" t="s">
        <v>80</v>
      </c>
      <c r="E47" s="218"/>
      <c r="F47" s="218"/>
      <c r="G47" s="218"/>
      <c r="H47" s="219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14" t="s">
        <v>81</v>
      </c>
      <c r="E48" s="215"/>
      <c r="F48" s="215"/>
      <c r="G48" s="215"/>
      <c r="H48" s="216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17" t="s">
        <v>82</v>
      </c>
      <c r="E49" s="218"/>
      <c r="F49" s="218"/>
      <c r="G49" s="218"/>
      <c r="H49" s="219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9" operator="greaterThan">
      <formula>$AA$28</formula>
    </cfRule>
    <cfRule type="cellIs" dxfId="158" priority="10" operator="lessThan">
      <formula>$AA$29</formula>
    </cfRule>
  </conditionalFormatting>
  <conditionalFormatting sqref="I32:X33">
    <cfRule type="cellIs" dxfId="157" priority="7" operator="greaterThan">
      <formula>$AA$32</formula>
    </cfRule>
    <cfRule type="cellIs" dxfId="156" priority="8" operator="lessThan">
      <formula>$AA$33</formula>
    </cfRule>
  </conditionalFormatting>
  <conditionalFormatting sqref="I30:X31">
    <cfRule type="cellIs" dxfId="155" priority="5" operator="greaterThan">
      <formula>$AA$30</formula>
    </cfRule>
    <cfRule type="cellIs" dxfId="154" priority="6" operator="lessThan">
      <formula>$AA$31</formula>
    </cfRule>
  </conditionalFormatting>
  <conditionalFormatting sqref="I26:X27">
    <cfRule type="cellIs" dxfId="153" priority="3" operator="greaterThan">
      <formula>$AA$26</formula>
    </cfRule>
    <cfRule type="cellIs" dxfId="152" priority="4" operator="lessThan">
      <formula>$AA$27</formula>
    </cfRule>
  </conditionalFormatting>
  <conditionalFormatting sqref="I32:X33">
    <cfRule type="cellIs" dxfId="151" priority="1" operator="greaterThan">
      <formula>$AA$32</formula>
    </cfRule>
    <cfRule type="cellIs" dxfId="15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20" t="s">
        <v>2</v>
      </c>
      <c r="E2" s="42"/>
      <c r="F2" s="273" t="s">
        <v>93</v>
      </c>
      <c r="G2" s="273"/>
      <c r="H2" s="273"/>
      <c r="I2" s="273"/>
      <c r="J2" s="273"/>
      <c r="K2" s="274"/>
      <c r="L2" s="220" t="s">
        <v>4</v>
      </c>
      <c r="M2" s="273">
        <v>9</v>
      </c>
      <c r="N2" s="319"/>
      <c r="O2" s="220" t="s">
        <v>6</v>
      </c>
      <c r="P2" s="322" t="s">
        <v>83</v>
      </c>
      <c r="Q2" s="323"/>
      <c r="R2" s="323"/>
      <c r="S2" s="323"/>
      <c r="T2" s="323"/>
      <c r="U2" s="323"/>
      <c r="V2" s="324"/>
      <c r="W2" s="220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21" t="s">
        <v>3</v>
      </c>
      <c r="E3" s="43"/>
      <c r="F3" s="275"/>
      <c r="G3" s="275"/>
      <c r="H3" s="275"/>
      <c r="I3" s="275"/>
      <c r="J3" s="275"/>
      <c r="K3" s="276"/>
      <c r="L3" s="221" t="s">
        <v>5</v>
      </c>
      <c r="M3" s="320"/>
      <c r="N3" s="321"/>
      <c r="O3" s="221" t="s">
        <v>7</v>
      </c>
      <c r="P3" s="325"/>
      <c r="Q3" s="325"/>
      <c r="R3" s="325"/>
      <c r="S3" s="325"/>
      <c r="T3" s="325"/>
      <c r="U3" s="325"/>
      <c r="V3" s="32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27" t="s">
        <v>121</v>
      </c>
      <c r="R4" s="328"/>
      <c r="S4" s="328"/>
      <c r="T4" s="329"/>
      <c r="U4" s="22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2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2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2.0960000000000001</v>
      </c>
      <c r="J26" s="361"/>
      <c r="K26" s="361">
        <v>2.0979999999999999</v>
      </c>
      <c r="L26" s="361"/>
      <c r="M26" s="361">
        <v>2.0990000000000002</v>
      </c>
      <c r="N26" s="361"/>
      <c r="O26" s="361">
        <v>2.1040000000000001</v>
      </c>
      <c r="P26" s="361"/>
      <c r="Q26" s="361">
        <v>2.105</v>
      </c>
      <c r="R26" s="361"/>
      <c r="S26" s="361">
        <v>2.0979999999999999</v>
      </c>
      <c r="T26" s="361"/>
      <c r="U26" s="361">
        <v>2.1</v>
      </c>
      <c r="V26" s="361"/>
      <c r="W26" s="361">
        <v>2.097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2.085</v>
      </c>
      <c r="J30" s="361"/>
      <c r="K30" s="361">
        <v>2.0870000000000002</v>
      </c>
      <c r="L30" s="361"/>
      <c r="M30" s="361">
        <v>2.0880000000000001</v>
      </c>
      <c r="N30" s="361"/>
      <c r="O30" s="361">
        <v>2.097</v>
      </c>
      <c r="P30" s="361"/>
      <c r="Q30" s="361">
        <v>2.0979999999999999</v>
      </c>
      <c r="R30" s="361"/>
      <c r="S30" s="361">
        <v>2.0939999999999999</v>
      </c>
      <c r="T30" s="361"/>
      <c r="U30" s="361">
        <v>2.0950000000000002</v>
      </c>
      <c r="V30" s="361"/>
      <c r="W30" s="361">
        <v>2.09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10.99</v>
      </c>
      <c r="L32" s="314"/>
      <c r="M32" s="314">
        <v>11.02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11.02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14" t="s">
        <v>89</v>
      </c>
      <c r="E34" s="215"/>
      <c r="F34" s="215"/>
      <c r="G34" s="215"/>
      <c r="H34" s="216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17" t="s">
        <v>90</v>
      </c>
      <c r="E35" s="218"/>
      <c r="F35" s="218"/>
      <c r="G35" s="218"/>
      <c r="H35" s="219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17" t="s">
        <v>69</v>
      </c>
      <c r="E37" s="218"/>
      <c r="F37" s="218"/>
      <c r="G37" s="218"/>
      <c r="H37" s="219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14" t="s">
        <v>71</v>
      </c>
      <c r="E38" s="215"/>
      <c r="F38" s="215"/>
      <c r="G38" s="215"/>
      <c r="H38" s="216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17" t="s">
        <v>72</v>
      </c>
      <c r="E39" s="218"/>
      <c r="F39" s="218"/>
      <c r="G39" s="218"/>
      <c r="H39" s="219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14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17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14" t="s">
        <v>75</v>
      </c>
      <c r="E42" s="211"/>
      <c r="F42" s="212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17" t="s">
        <v>76</v>
      </c>
      <c r="E43" s="213"/>
      <c r="F43" s="213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14" t="s">
        <v>77</v>
      </c>
      <c r="E44" s="211"/>
      <c r="F44" s="212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17" t="s">
        <v>78</v>
      </c>
      <c r="E45" s="213"/>
      <c r="F45" s="213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14" t="s">
        <v>79</v>
      </c>
      <c r="E46" s="215"/>
      <c r="F46" s="215"/>
      <c r="G46" s="215"/>
      <c r="H46" s="216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17" t="s">
        <v>80</v>
      </c>
      <c r="E47" s="218"/>
      <c r="F47" s="218"/>
      <c r="G47" s="218"/>
      <c r="H47" s="219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14" t="s">
        <v>81</v>
      </c>
      <c r="E48" s="215"/>
      <c r="F48" s="215"/>
      <c r="G48" s="215"/>
      <c r="H48" s="216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17" t="s">
        <v>82</v>
      </c>
      <c r="E49" s="218"/>
      <c r="F49" s="218"/>
      <c r="G49" s="218"/>
      <c r="H49" s="219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9" priority="9" operator="greaterThan">
      <formula>$AA$28</formula>
    </cfRule>
    <cfRule type="cellIs" dxfId="148" priority="10" operator="lessThan">
      <formula>$AA$29</formula>
    </cfRule>
  </conditionalFormatting>
  <conditionalFormatting sqref="I32:X33">
    <cfRule type="cellIs" dxfId="147" priority="7" operator="greaterThan">
      <formula>$AA$32</formula>
    </cfRule>
    <cfRule type="cellIs" dxfId="146" priority="8" operator="lessThan">
      <formula>$AA$33</formula>
    </cfRule>
  </conditionalFormatting>
  <conditionalFormatting sqref="I30:X31">
    <cfRule type="cellIs" dxfId="145" priority="5" operator="greaterThan">
      <formula>$AA$30</formula>
    </cfRule>
    <cfRule type="cellIs" dxfId="144" priority="6" operator="lessThan">
      <formula>$AA$31</formula>
    </cfRule>
  </conditionalFormatting>
  <conditionalFormatting sqref="I26:X27">
    <cfRule type="cellIs" dxfId="143" priority="3" operator="greaterThan">
      <formula>$AA$26</formula>
    </cfRule>
    <cfRule type="cellIs" dxfId="142" priority="4" operator="lessThan">
      <formula>$AA$27</formula>
    </cfRule>
  </conditionalFormatting>
  <conditionalFormatting sqref="I32:X33">
    <cfRule type="cellIs" dxfId="141" priority="1" operator="greaterThan">
      <formula>$AA$32</formula>
    </cfRule>
    <cfRule type="cellIs" dxfId="1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K30" sqref="K30:L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20" t="s">
        <v>2</v>
      </c>
      <c r="E2" s="42"/>
      <c r="F2" s="273" t="s">
        <v>93</v>
      </c>
      <c r="G2" s="273"/>
      <c r="H2" s="273"/>
      <c r="I2" s="273"/>
      <c r="J2" s="273"/>
      <c r="K2" s="274"/>
      <c r="L2" s="220" t="s">
        <v>4</v>
      </c>
      <c r="M2" s="273">
        <v>9</v>
      </c>
      <c r="N2" s="319"/>
      <c r="O2" s="220" t="s">
        <v>6</v>
      </c>
      <c r="P2" s="322" t="s">
        <v>83</v>
      </c>
      <c r="Q2" s="323"/>
      <c r="R2" s="323"/>
      <c r="S2" s="323"/>
      <c r="T2" s="323"/>
      <c r="U2" s="323"/>
      <c r="V2" s="324"/>
      <c r="W2" s="220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21" t="s">
        <v>3</v>
      </c>
      <c r="E3" s="43"/>
      <c r="F3" s="275"/>
      <c r="G3" s="275"/>
      <c r="H3" s="275"/>
      <c r="I3" s="275"/>
      <c r="J3" s="275"/>
      <c r="K3" s="276"/>
      <c r="L3" s="221" t="s">
        <v>5</v>
      </c>
      <c r="M3" s="320"/>
      <c r="N3" s="321"/>
      <c r="O3" s="221" t="s">
        <v>7</v>
      </c>
      <c r="P3" s="325"/>
      <c r="Q3" s="325"/>
      <c r="R3" s="325"/>
      <c r="S3" s="325"/>
      <c r="T3" s="325"/>
      <c r="U3" s="325"/>
      <c r="V3" s="32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27" t="s">
        <v>122</v>
      </c>
      <c r="R4" s="328"/>
      <c r="S4" s="328"/>
      <c r="T4" s="329"/>
      <c r="U4" s="22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2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2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2.1019999999999999</v>
      </c>
      <c r="J26" s="361"/>
      <c r="K26" s="361">
        <v>2.097</v>
      </c>
      <c r="L26" s="361"/>
      <c r="M26" s="361">
        <v>2.1019999999999999</v>
      </c>
      <c r="N26" s="361"/>
      <c r="O26" s="361">
        <v>2.1040000000000001</v>
      </c>
      <c r="P26" s="361"/>
      <c r="Q26" s="361">
        <v>2.1019999999999999</v>
      </c>
      <c r="R26" s="361"/>
      <c r="S26" s="361">
        <v>2.1070000000000002</v>
      </c>
      <c r="T26" s="361"/>
      <c r="U26" s="361">
        <v>2.1070000000000002</v>
      </c>
      <c r="V26" s="361"/>
      <c r="W26" s="361">
        <v>2.101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2.101</v>
      </c>
      <c r="J30" s="361"/>
      <c r="K30" s="361">
        <v>2.0950000000000002</v>
      </c>
      <c r="L30" s="361"/>
      <c r="M30" s="361">
        <v>2.097</v>
      </c>
      <c r="N30" s="361"/>
      <c r="O30" s="361">
        <v>2.0990000000000002</v>
      </c>
      <c r="P30" s="361"/>
      <c r="Q30" s="361">
        <v>2.101</v>
      </c>
      <c r="R30" s="361"/>
      <c r="S30" s="361">
        <v>2.0979999999999999</v>
      </c>
      <c r="T30" s="361"/>
      <c r="U30" s="361">
        <v>2.0939999999999999</v>
      </c>
      <c r="V30" s="361"/>
      <c r="W30" s="361">
        <v>2.0939999999999999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11.02</v>
      </c>
      <c r="J32" s="314"/>
      <c r="K32" s="314">
        <v>11.02</v>
      </c>
      <c r="L32" s="314"/>
      <c r="M32" s="314">
        <v>11.02</v>
      </c>
      <c r="N32" s="314"/>
      <c r="O32" s="314">
        <v>11.04</v>
      </c>
      <c r="P32" s="314"/>
      <c r="Q32" s="314">
        <v>11.04</v>
      </c>
      <c r="R32" s="314"/>
      <c r="S32" s="314">
        <v>11.02</v>
      </c>
      <c r="T32" s="314"/>
      <c r="U32" s="314">
        <v>11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14" t="s">
        <v>89</v>
      </c>
      <c r="E34" s="215"/>
      <c r="F34" s="215"/>
      <c r="G34" s="215"/>
      <c r="H34" s="216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17" t="s">
        <v>90</v>
      </c>
      <c r="E35" s="218"/>
      <c r="F35" s="218"/>
      <c r="G35" s="218"/>
      <c r="H35" s="219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17" t="s">
        <v>69</v>
      </c>
      <c r="E37" s="218"/>
      <c r="F37" s="218"/>
      <c r="G37" s="218"/>
      <c r="H37" s="219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14" t="s">
        <v>71</v>
      </c>
      <c r="E38" s="215"/>
      <c r="F38" s="215"/>
      <c r="G38" s="215"/>
      <c r="H38" s="216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17" t="s">
        <v>72</v>
      </c>
      <c r="E39" s="218"/>
      <c r="F39" s="218"/>
      <c r="G39" s="218"/>
      <c r="H39" s="219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14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17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14" t="s">
        <v>75</v>
      </c>
      <c r="E42" s="211"/>
      <c r="F42" s="212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17" t="s">
        <v>76</v>
      </c>
      <c r="E43" s="213"/>
      <c r="F43" s="213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14" t="s">
        <v>77</v>
      </c>
      <c r="E44" s="211"/>
      <c r="F44" s="212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17" t="s">
        <v>78</v>
      </c>
      <c r="E45" s="213"/>
      <c r="F45" s="213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14" t="s">
        <v>79</v>
      </c>
      <c r="E46" s="215"/>
      <c r="F46" s="215"/>
      <c r="G46" s="215"/>
      <c r="H46" s="216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17" t="s">
        <v>80</v>
      </c>
      <c r="E47" s="218"/>
      <c r="F47" s="218"/>
      <c r="G47" s="218"/>
      <c r="H47" s="219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14" t="s">
        <v>81</v>
      </c>
      <c r="E48" s="215"/>
      <c r="F48" s="215"/>
      <c r="G48" s="215"/>
      <c r="H48" s="216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17" t="s">
        <v>82</v>
      </c>
      <c r="E49" s="218"/>
      <c r="F49" s="218"/>
      <c r="G49" s="218"/>
      <c r="H49" s="219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9" priority="9" operator="greaterThan">
      <formula>$AA$28</formula>
    </cfRule>
    <cfRule type="cellIs" dxfId="138" priority="10" operator="lessThan">
      <formula>$AA$29</formula>
    </cfRule>
  </conditionalFormatting>
  <conditionalFormatting sqref="I32:X33">
    <cfRule type="cellIs" dxfId="137" priority="7" operator="greaterThan">
      <formula>$AA$32</formula>
    </cfRule>
    <cfRule type="cellIs" dxfId="136" priority="8" operator="lessThan">
      <formula>$AA$33</formula>
    </cfRule>
  </conditionalFormatting>
  <conditionalFormatting sqref="I30:X31">
    <cfRule type="cellIs" dxfId="135" priority="5" operator="greaterThan">
      <formula>$AA$30</formula>
    </cfRule>
    <cfRule type="cellIs" dxfId="134" priority="6" operator="lessThan">
      <formula>$AA$31</formula>
    </cfRule>
  </conditionalFormatting>
  <conditionalFormatting sqref="I26:X27">
    <cfRule type="cellIs" dxfId="133" priority="3" operator="greaterThan">
      <formula>$AA$26</formula>
    </cfRule>
    <cfRule type="cellIs" dxfId="132" priority="4" operator="lessThan">
      <formula>$AA$27</formula>
    </cfRule>
  </conditionalFormatting>
  <conditionalFormatting sqref="I32:X33">
    <cfRule type="cellIs" dxfId="131" priority="1" operator="greaterThan">
      <formula>$AA$32</formula>
    </cfRule>
    <cfRule type="cellIs" dxfId="13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20" t="s">
        <v>2</v>
      </c>
      <c r="E2" s="42"/>
      <c r="F2" s="273" t="s">
        <v>93</v>
      </c>
      <c r="G2" s="273"/>
      <c r="H2" s="273"/>
      <c r="I2" s="273"/>
      <c r="J2" s="273"/>
      <c r="K2" s="274"/>
      <c r="L2" s="220" t="s">
        <v>4</v>
      </c>
      <c r="M2" s="273">
        <v>9</v>
      </c>
      <c r="N2" s="319"/>
      <c r="O2" s="220" t="s">
        <v>6</v>
      </c>
      <c r="P2" s="322" t="s">
        <v>83</v>
      </c>
      <c r="Q2" s="323"/>
      <c r="R2" s="323"/>
      <c r="S2" s="323"/>
      <c r="T2" s="323"/>
      <c r="U2" s="323"/>
      <c r="V2" s="324"/>
      <c r="W2" s="220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21" t="s">
        <v>3</v>
      </c>
      <c r="E3" s="43"/>
      <c r="F3" s="275"/>
      <c r="G3" s="275"/>
      <c r="H3" s="275"/>
      <c r="I3" s="275"/>
      <c r="J3" s="275"/>
      <c r="K3" s="276"/>
      <c r="L3" s="221" t="s">
        <v>5</v>
      </c>
      <c r="M3" s="320"/>
      <c r="N3" s="321"/>
      <c r="O3" s="221" t="s">
        <v>7</v>
      </c>
      <c r="P3" s="325"/>
      <c r="Q3" s="325"/>
      <c r="R3" s="325"/>
      <c r="S3" s="325"/>
      <c r="T3" s="325"/>
      <c r="U3" s="325"/>
      <c r="V3" s="32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27" t="s">
        <v>122</v>
      </c>
      <c r="R4" s="328"/>
      <c r="S4" s="328"/>
      <c r="T4" s="329"/>
      <c r="U4" s="220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21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22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2.0939999999999999</v>
      </c>
      <c r="J26" s="361"/>
      <c r="K26" s="361">
        <v>2.0990000000000002</v>
      </c>
      <c r="L26" s="361"/>
      <c r="M26" s="361">
        <v>2.097</v>
      </c>
      <c r="N26" s="361"/>
      <c r="O26" s="361">
        <v>2.105</v>
      </c>
      <c r="P26" s="361"/>
      <c r="Q26" s="361">
        <v>2.0990000000000002</v>
      </c>
      <c r="R26" s="361"/>
      <c r="S26" s="361">
        <v>2.0990000000000002</v>
      </c>
      <c r="T26" s="361"/>
      <c r="U26" s="361">
        <v>2.101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2.085</v>
      </c>
      <c r="J30" s="361"/>
      <c r="K30" s="361">
        <v>2.0910000000000002</v>
      </c>
      <c r="L30" s="361"/>
      <c r="M30" s="361">
        <v>2.0910000000000002</v>
      </c>
      <c r="N30" s="361"/>
      <c r="O30" s="361">
        <v>2.1030000000000002</v>
      </c>
      <c r="P30" s="361"/>
      <c r="Q30" s="361">
        <v>2.1019999999999999</v>
      </c>
      <c r="R30" s="361"/>
      <c r="S30" s="361">
        <v>2.1059999999999999</v>
      </c>
      <c r="T30" s="361"/>
      <c r="U30" s="361">
        <v>2.0979999999999999</v>
      </c>
      <c r="V30" s="361"/>
      <c r="W30" s="361">
        <v>2.0920000000000001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11.03</v>
      </c>
      <c r="N32" s="314"/>
      <c r="O32" s="314">
        <v>11.04</v>
      </c>
      <c r="P32" s="314"/>
      <c r="Q32" s="314">
        <v>11.04</v>
      </c>
      <c r="R32" s="314"/>
      <c r="S32" s="314">
        <v>11.03</v>
      </c>
      <c r="T32" s="314"/>
      <c r="U32" s="314">
        <v>11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14" t="s">
        <v>89</v>
      </c>
      <c r="E34" s="215"/>
      <c r="F34" s="215"/>
      <c r="G34" s="215"/>
      <c r="H34" s="216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17" t="s">
        <v>90</v>
      </c>
      <c r="E35" s="218"/>
      <c r="F35" s="218"/>
      <c r="G35" s="218"/>
      <c r="H35" s="219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17" t="s">
        <v>69</v>
      </c>
      <c r="E37" s="218"/>
      <c r="F37" s="218"/>
      <c r="G37" s="218"/>
      <c r="H37" s="219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14" t="s">
        <v>71</v>
      </c>
      <c r="E38" s="215"/>
      <c r="F38" s="215"/>
      <c r="G38" s="215"/>
      <c r="H38" s="216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17" t="s">
        <v>72</v>
      </c>
      <c r="E39" s="218"/>
      <c r="F39" s="218"/>
      <c r="G39" s="218"/>
      <c r="H39" s="219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14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17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14" t="s">
        <v>75</v>
      </c>
      <c r="E42" s="211"/>
      <c r="F42" s="212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17" t="s">
        <v>76</v>
      </c>
      <c r="E43" s="213"/>
      <c r="F43" s="213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14" t="s">
        <v>77</v>
      </c>
      <c r="E44" s="211"/>
      <c r="F44" s="212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17" t="s">
        <v>78</v>
      </c>
      <c r="E45" s="213"/>
      <c r="F45" s="213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14" t="s">
        <v>79</v>
      </c>
      <c r="E46" s="215"/>
      <c r="F46" s="215"/>
      <c r="G46" s="215"/>
      <c r="H46" s="216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17" t="s">
        <v>80</v>
      </c>
      <c r="E47" s="218"/>
      <c r="F47" s="218"/>
      <c r="G47" s="218"/>
      <c r="H47" s="219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14" t="s">
        <v>81</v>
      </c>
      <c r="E48" s="215"/>
      <c r="F48" s="215"/>
      <c r="G48" s="215"/>
      <c r="H48" s="216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17" t="s">
        <v>82</v>
      </c>
      <c r="E49" s="218"/>
      <c r="F49" s="218"/>
      <c r="G49" s="218"/>
      <c r="H49" s="219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9" priority="9" operator="greaterThan">
      <formula>$AA$28</formula>
    </cfRule>
    <cfRule type="cellIs" dxfId="128" priority="10" operator="lessThan">
      <formula>$AA$29</formula>
    </cfRule>
  </conditionalFormatting>
  <conditionalFormatting sqref="I32:X33">
    <cfRule type="cellIs" dxfId="127" priority="7" operator="greaterThan">
      <formula>$AA$32</formula>
    </cfRule>
    <cfRule type="cellIs" dxfId="126" priority="8" operator="lessThan">
      <formula>$AA$33</formula>
    </cfRule>
  </conditionalFormatting>
  <conditionalFormatting sqref="I30:X31">
    <cfRule type="cellIs" dxfId="125" priority="5" operator="greaterThan">
      <formula>$AA$30</formula>
    </cfRule>
    <cfRule type="cellIs" dxfId="124" priority="6" operator="lessThan">
      <formula>$AA$31</formula>
    </cfRule>
  </conditionalFormatting>
  <conditionalFormatting sqref="I26:X27">
    <cfRule type="cellIs" dxfId="123" priority="3" operator="greaterThan">
      <formula>$AA$26</formula>
    </cfRule>
    <cfRule type="cellIs" dxfId="122" priority="4" operator="lessThan">
      <formula>$AA$27</formula>
    </cfRule>
  </conditionalFormatting>
  <conditionalFormatting sqref="I32:X33">
    <cfRule type="cellIs" dxfId="121" priority="1" operator="greaterThan">
      <formula>$AA$32</formula>
    </cfRule>
    <cfRule type="cellIs" dxfId="1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33" t="s">
        <v>2</v>
      </c>
      <c r="E2" s="42"/>
      <c r="F2" s="273" t="s">
        <v>93</v>
      </c>
      <c r="G2" s="273"/>
      <c r="H2" s="273"/>
      <c r="I2" s="273"/>
      <c r="J2" s="273"/>
      <c r="K2" s="274"/>
      <c r="L2" s="233" t="s">
        <v>4</v>
      </c>
      <c r="M2" s="273">
        <v>9</v>
      </c>
      <c r="N2" s="319"/>
      <c r="O2" s="233" t="s">
        <v>6</v>
      </c>
      <c r="P2" s="322" t="s">
        <v>83</v>
      </c>
      <c r="Q2" s="323"/>
      <c r="R2" s="323"/>
      <c r="S2" s="323"/>
      <c r="T2" s="323"/>
      <c r="U2" s="323"/>
      <c r="V2" s="324"/>
      <c r="W2" s="233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34" t="s">
        <v>3</v>
      </c>
      <c r="E3" s="43"/>
      <c r="F3" s="275"/>
      <c r="G3" s="275"/>
      <c r="H3" s="275"/>
      <c r="I3" s="275"/>
      <c r="J3" s="275"/>
      <c r="K3" s="276"/>
      <c r="L3" s="234" t="s">
        <v>5</v>
      </c>
      <c r="M3" s="320"/>
      <c r="N3" s="321"/>
      <c r="O3" s="234" t="s">
        <v>7</v>
      </c>
      <c r="P3" s="325"/>
      <c r="Q3" s="325"/>
      <c r="R3" s="325"/>
      <c r="S3" s="325"/>
      <c r="T3" s="325"/>
      <c r="U3" s="325"/>
      <c r="V3" s="32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27" t="s">
        <v>123</v>
      </c>
      <c r="R4" s="328"/>
      <c r="S4" s="328"/>
      <c r="T4" s="329"/>
      <c r="U4" s="233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34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35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2.1040000000000001</v>
      </c>
      <c r="J26" s="361"/>
      <c r="K26" s="361">
        <v>2.0979999999999999</v>
      </c>
      <c r="L26" s="361"/>
      <c r="M26" s="361">
        <v>2.1030000000000002</v>
      </c>
      <c r="N26" s="361"/>
      <c r="O26" s="361">
        <v>2.101</v>
      </c>
      <c r="P26" s="361"/>
      <c r="Q26" s="361">
        <v>2.1030000000000002</v>
      </c>
      <c r="R26" s="361"/>
      <c r="S26" s="361">
        <v>2.1</v>
      </c>
      <c r="T26" s="361"/>
      <c r="U26" s="361">
        <v>2.0990000000000002</v>
      </c>
      <c r="V26" s="361"/>
      <c r="W26" s="361">
        <v>2.105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2.0979999999999999</v>
      </c>
      <c r="J30" s="361"/>
      <c r="K30" s="361">
        <v>2.101</v>
      </c>
      <c r="L30" s="361"/>
      <c r="M30" s="361">
        <v>2.1040000000000001</v>
      </c>
      <c r="N30" s="361"/>
      <c r="O30" s="361">
        <v>2.1059999999999999</v>
      </c>
      <c r="P30" s="361"/>
      <c r="Q30" s="361">
        <v>2.105</v>
      </c>
      <c r="R30" s="361"/>
      <c r="S30" s="361">
        <v>2.1</v>
      </c>
      <c r="T30" s="361"/>
      <c r="U30" s="361">
        <v>2.0960000000000001</v>
      </c>
      <c r="V30" s="361"/>
      <c r="W30" s="361">
        <v>2.0920000000000001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11.02</v>
      </c>
      <c r="J32" s="314"/>
      <c r="K32" s="314">
        <v>11.01</v>
      </c>
      <c r="L32" s="314"/>
      <c r="M32" s="314">
        <v>11.03</v>
      </c>
      <c r="N32" s="314"/>
      <c r="O32" s="314">
        <v>11.03</v>
      </c>
      <c r="P32" s="314"/>
      <c r="Q32" s="314">
        <v>11.02</v>
      </c>
      <c r="R32" s="314"/>
      <c r="S32" s="314">
        <v>11.01</v>
      </c>
      <c r="T32" s="314"/>
      <c r="U32" s="314">
        <v>11.01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27" t="s">
        <v>89</v>
      </c>
      <c r="E34" s="228"/>
      <c r="F34" s="228"/>
      <c r="G34" s="228"/>
      <c r="H34" s="229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30" t="s">
        <v>90</v>
      </c>
      <c r="E35" s="231"/>
      <c r="F35" s="231"/>
      <c r="G35" s="231"/>
      <c r="H35" s="232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30" t="s">
        <v>69</v>
      </c>
      <c r="E37" s="231"/>
      <c r="F37" s="231"/>
      <c r="G37" s="231"/>
      <c r="H37" s="232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27" t="s">
        <v>71</v>
      </c>
      <c r="E38" s="228"/>
      <c r="F38" s="228"/>
      <c r="G38" s="228"/>
      <c r="H38" s="229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30" t="s">
        <v>72</v>
      </c>
      <c r="E39" s="231"/>
      <c r="F39" s="231"/>
      <c r="G39" s="231"/>
      <c r="H39" s="232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27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30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27" t="s">
        <v>75</v>
      </c>
      <c r="E42" s="224"/>
      <c r="F42" s="225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30" t="s">
        <v>76</v>
      </c>
      <c r="E43" s="226"/>
      <c r="F43" s="226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27" t="s">
        <v>77</v>
      </c>
      <c r="E44" s="224"/>
      <c r="F44" s="225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30" t="s">
        <v>78</v>
      </c>
      <c r="E45" s="226"/>
      <c r="F45" s="226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27" t="s">
        <v>79</v>
      </c>
      <c r="E46" s="228"/>
      <c r="F46" s="228"/>
      <c r="G46" s="228"/>
      <c r="H46" s="229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30" t="s">
        <v>80</v>
      </c>
      <c r="E47" s="231"/>
      <c r="F47" s="231"/>
      <c r="G47" s="231"/>
      <c r="H47" s="232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27" t="s">
        <v>81</v>
      </c>
      <c r="E48" s="228"/>
      <c r="F48" s="228"/>
      <c r="G48" s="228"/>
      <c r="H48" s="229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30" t="s">
        <v>82</v>
      </c>
      <c r="E49" s="231"/>
      <c r="F49" s="231"/>
      <c r="G49" s="231"/>
      <c r="H49" s="232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9" operator="greaterThan">
      <formula>$AA$28</formula>
    </cfRule>
    <cfRule type="cellIs" dxfId="118" priority="10" operator="lessThan">
      <formula>$AA$29</formula>
    </cfRule>
  </conditionalFormatting>
  <conditionalFormatting sqref="I32:X33">
    <cfRule type="cellIs" dxfId="117" priority="7" operator="greaterThan">
      <formula>$AA$32</formula>
    </cfRule>
    <cfRule type="cellIs" dxfId="116" priority="8" operator="lessThan">
      <formula>$AA$33</formula>
    </cfRule>
  </conditionalFormatting>
  <conditionalFormatting sqref="I30:X31">
    <cfRule type="cellIs" dxfId="115" priority="5" operator="greaterThan">
      <formula>$AA$30</formula>
    </cfRule>
    <cfRule type="cellIs" dxfId="114" priority="6" operator="lessThan">
      <formula>$AA$31</formula>
    </cfRule>
  </conditionalFormatting>
  <conditionalFormatting sqref="I26:X27">
    <cfRule type="cellIs" dxfId="113" priority="3" operator="greaterThan">
      <formula>$AA$26</formula>
    </cfRule>
    <cfRule type="cellIs" dxfId="112" priority="4" operator="lessThan">
      <formula>$AA$27</formula>
    </cfRule>
  </conditionalFormatting>
  <conditionalFormatting sqref="I32:X33">
    <cfRule type="cellIs" dxfId="111" priority="1" operator="greaterThan">
      <formula>$AA$32</formula>
    </cfRule>
    <cfRule type="cellIs" dxfId="11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33" t="s">
        <v>2</v>
      </c>
      <c r="E2" s="42"/>
      <c r="F2" s="273" t="s">
        <v>93</v>
      </c>
      <c r="G2" s="273"/>
      <c r="H2" s="273"/>
      <c r="I2" s="273"/>
      <c r="J2" s="273"/>
      <c r="K2" s="274"/>
      <c r="L2" s="233" t="s">
        <v>4</v>
      </c>
      <c r="M2" s="273">
        <v>9</v>
      </c>
      <c r="N2" s="319"/>
      <c r="O2" s="233" t="s">
        <v>6</v>
      </c>
      <c r="P2" s="322" t="s">
        <v>83</v>
      </c>
      <c r="Q2" s="323"/>
      <c r="R2" s="323"/>
      <c r="S2" s="323"/>
      <c r="T2" s="323"/>
      <c r="U2" s="323"/>
      <c r="V2" s="324"/>
      <c r="W2" s="233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34" t="s">
        <v>3</v>
      </c>
      <c r="E3" s="43"/>
      <c r="F3" s="275"/>
      <c r="G3" s="275"/>
      <c r="H3" s="275"/>
      <c r="I3" s="275"/>
      <c r="J3" s="275"/>
      <c r="K3" s="276"/>
      <c r="L3" s="234" t="s">
        <v>5</v>
      </c>
      <c r="M3" s="320"/>
      <c r="N3" s="321"/>
      <c r="O3" s="234" t="s">
        <v>7</v>
      </c>
      <c r="P3" s="325"/>
      <c r="Q3" s="325"/>
      <c r="R3" s="325"/>
      <c r="S3" s="325"/>
      <c r="T3" s="325"/>
      <c r="U3" s="325"/>
      <c r="V3" s="32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27" t="s">
        <v>123</v>
      </c>
      <c r="R4" s="328"/>
      <c r="S4" s="328"/>
      <c r="T4" s="329"/>
      <c r="U4" s="233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34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35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2.0950000000000002</v>
      </c>
      <c r="J26" s="361"/>
      <c r="K26" s="361">
        <v>2.0990000000000002</v>
      </c>
      <c r="L26" s="361"/>
      <c r="M26" s="361">
        <v>2.0979999999999999</v>
      </c>
      <c r="N26" s="361"/>
      <c r="O26" s="361">
        <v>2.1040000000000001</v>
      </c>
      <c r="P26" s="361"/>
      <c r="Q26" s="361">
        <v>2.1019999999999999</v>
      </c>
      <c r="R26" s="361"/>
      <c r="S26" s="361">
        <v>2.101</v>
      </c>
      <c r="T26" s="361"/>
      <c r="U26" s="361">
        <v>2.0990000000000002</v>
      </c>
      <c r="V26" s="361"/>
      <c r="W26" s="361">
        <v>2.0979999999999999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</v>
      </c>
      <c r="J30" s="361"/>
      <c r="K30" s="361">
        <v>2.0939999999999999</v>
      </c>
      <c r="L30" s="361"/>
      <c r="M30" s="361">
        <v>2.0979999999999999</v>
      </c>
      <c r="N30" s="361"/>
      <c r="O30" s="361">
        <v>2.1019999999999999</v>
      </c>
      <c r="P30" s="361"/>
      <c r="Q30" s="361">
        <v>2.0990000000000002</v>
      </c>
      <c r="R30" s="361"/>
      <c r="S30" s="361">
        <v>2.097</v>
      </c>
      <c r="T30" s="361"/>
      <c r="U30" s="361">
        <v>2.09</v>
      </c>
      <c r="V30" s="361"/>
      <c r="W30" s="361">
        <v>2.097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11.02</v>
      </c>
      <c r="N32" s="314"/>
      <c r="O32" s="314">
        <v>11.04</v>
      </c>
      <c r="P32" s="314"/>
      <c r="Q32" s="314">
        <v>11.03</v>
      </c>
      <c r="R32" s="314"/>
      <c r="S32" s="314">
        <v>11.01</v>
      </c>
      <c r="T32" s="314"/>
      <c r="U32" s="314">
        <v>11.01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27" t="s">
        <v>89</v>
      </c>
      <c r="E34" s="228"/>
      <c r="F34" s="228"/>
      <c r="G34" s="228"/>
      <c r="H34" s="229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30" t="s">
        <v>90</v>
      </c>
      <c r="E35" s="231"/>
      <c r="F35" s="231"/>
      <c r="G35" s="231"/>
      <c r="H35" s="232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30" t="s">
        <v>69</v>
      </c>
      <c r="E37" s="231"/>
      <c r="F37" s="231"/>
      <c r="G37" s="231"/>
      <c r="H37" s="232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27" t="s">
        <v>71</v>
      </c>
      <c r="E38" s="228"/>
      <c r="F38" s="228"/>
      <c r="G38" s="228"/>
      <c r="H38" s="229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30" t="s">
        <v>72</v>
      </c>
      <c r="E39" s="231"/>
      <c r="F39" s="231"/>
      <c r="G39" s="231"/>
      <c r="H39" s="232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27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30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27" t="s">
        <v>75</v>
      </c>
      <c r="E42" s="224"/>
      <c r="F42" s="225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30" t="s">
        <v>76</v>
      </c>
      <c r="E43" s="226"/>
      <c r="F43" s="226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27" t="s">
        <v>77</v>
      </c>
      <c r="E44" s="224"/>
      <c r="F44" s="225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30" t="s">
        <v>78</v>
      </c>
      <c r="E45" s="226"/>
      <c r="F45" s="226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27" t="s">
        <v>79</v>
      </c>
      <c r="E46" s="228"/>
      <c r="F46" s="228"/>
      <c r="G46" s="228"/>
      <c r="H46" s="229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30" t="s">
        <v>80</v>
      </c>
      <c r="E47" s="231"/>
      <c r="F47" s="231"/>
      <c r="G47" s="231"/>
      <c r="H47" s="232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27" t="s">
        <v>81</v>
      </c>
      <c r="E48" s="228"/>
      <c r="F48" s="228"/>
      <c r="G48" s="228"/>
      <c r="H48" s="229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30" t="s">
        <v>82</v>
      </c>
      <c r="E49" s="231"/>
      <c r="F49" s="231"/>
      <c r="G49" s="231"/>
      <c r="H49" s="232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9" priority="9" operator="greaterThan">
      <formula>$AA$28</formula>
    </cfRule>
    <cfRule type="cellIs" dxfId="108" priority="10" operator="lessThan">
      <formula>$AA$29</formula>
    </cfRule>
  </conditionalFormatting>
  <conditionalFormatting sqref="I32:X33">
    <cfRule type="cellIs" dxfId="107" priority="7" operator="greaterThan">
      <formula>$AA$32</formula>
    </cfRule>
    <cfRule type="cellIs" dxfId="106" priority="8" operator="lessThan">
      <formula>$AA$33</formula>
    </cfRule>
  </conditionalFormatting>
  <conditionalFormatting sqref="I30:X31">
    <cfRule type="cellIs" dxfId="105" priority="5" operator="greaterThan">
      <formula>$AA$30</formula>
    </cfRule>
    <cfRule type="cellIs" dxfId="104" priority="6" operator="lessThan">
      <formula>$AA$31</formula>
    </cfRule>
  </conditionalFormatting>
  <conditionalFormatting sqref="I26:X27">
    <cfRule type="cellIs" dxfId="103" priority="3" operator="greaterThan">
      <formula>$AA$26</formula>
    </cfRule>
    <cfRule type="cellIs" dxfId="102" priority="4" operator="lessThan">
      <formula>$AA$27</formula>
    </cfRule>
  </conditionalFormatting>
  <conditionalFormatting sqref="I32:X33">
    <cfRule type="cellIs" dxfId="101" priority="1" operator="greaterThan">
      <formula>$AA$32</formula>
    </cfRule>
    <cfRule type="cellIs" dxfId="10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33" t="s">
        <v>2</v>
      </c>
      <c r="E2" s="42"/>
      <c r="F2" s="273" t="s">
        <v>93</v>
      </c>
      <c r="G2" s="273"/>
      <c r="H2" s="273"/>
      <c r="I2" s="273"/>
      <c r="J2" s="273"/>
      <c r="K2" s="274"/>
      <c r="L2" s="233" t="s">
        <v>4</v>
      </c>
      <c r="M2" s="273">
        <v>9</v>
      </c>
      <c r="N2" s="319"/>
      <c r="O2" s="233" t="s">
        <v>6</v>
      </c>
      <c r="P2" s="322" t="s">
        <v>83</v>
      </c>
      <c r="Q2" s="323"/>
      <c r="R2" s="323"/>
      <c r="S2" s="323"/>
      <c r="T2" s="323"/>
      <c r="U2" s="323"/>
      <c r="V2" s="324"/>
      <c r="W2" s="233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34" t="s">
        <v>3</v>
      </c>
      <c r="E3" s="43"/>
      <c r="F3" s="275"/>
      <c r="G3" s="275"/>
      <c r="H3" s="275"/>
      <c r="I3" s="275"/>
      <c r="J3" s="275"/>
      <c r="K3" s="276"/>
      <c r="L3" s="234" t="s">
        <v>5</v>
      </c>
      <c r="M3" s="320"/>
      <c r="N3" s="321"/>
      <c r="O3" s="234" t="s">
        <v>7</v>
      </c>
      <c r="P3" s="325"/>
      <c r="Q3" s="325"/>
      <c r="R3" s="325"/>
      <c r="S3" s="325"/>
      <c r="T3" s="325"/>
      <c r="U3" s="325"/>
      <c r="V3" s="32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27" t="s">
        <v>124</v>
      </c>
      <c r="R4" s="328"/>
      <c r="S4" s="328"/>
      <c r="T4" s="329"/>
      <c r="U4" s="233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34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35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2.0990000000000002</v>
      </c>
      <c r="J26" s="361"/>
      <c r="K26" s="361">
        <v>2.093</v>
      </c>
      <c r="L26" s="361"/>
      <c r="M26" s="361">
        <v>2.101</v>
      </c>
      <c r="N26" s="361"/>
      <c r="O26" s="361">
        <v>2.1019999999999999</v>
      </c>
      <c r="P26" s="361"/>
      <c r="Q26" s="361">
        <v>2.1019999999999999</v>
      </c>
      <c r="R26" s="361"/>
      <c r="S26" s="361">
        <v>2.1040000000000001</v>
      </c>
      <c r="T26" s="361"/>
      <c r="U26" s="361">
        <v>2.0979999999999999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2.1040000000000001</v>
      </c>
      <c r="J30" s="361"/>
      <c r="K30" s="361">
        <v>2.1</v>
      </c>
      <c r="L30" s="361"/>
      <c r="M30" s="361">
        <v>2.101</v>
      </c>
      <c r="N30" s="361"/>
      <c r="O30" s="361">
        <v>2.101</v>
      </c>
      <c r="P30" s="361"/>
      <c r="Q30" s="361">
        <v>2.105</v>
      </c>
      <c r="R30" s="361"/>
      <c r="S30" s="361">
        <v>2.1040000000000001</v>
      </c>
      <c r="T30" s="361"/>
      <c r="U30" s="361">
        <v>2.0979999999999999</v>
      </c>
      <c r="V30" s="361"/>
      <c r="W30" s="361">
        <v>2.097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11.01</v>
      </c>
      <c r="L32" s="314"/>
      <c r="M32" s="314">
        <v>11.04</v>
      </c>
      <c r="N32" s="314"/>
      <c r="O32" s="314">
        <v>11.04</v>
      </c>
      <c r="P32" s="314"/>
      <c r="Q32" s="314">
        <v>11.03</v>
      </c>
      <c r="R32" s="314"/>
      <c r="S32" s="314">
        <v>11.02</v>
      </c>
      <c r="T32" s="314"/>
      <c r="U32" s="314">
        <v>11.01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27" t="s">
        <v>89</v>
      </c>
      <c r="E34" s="228"/>
      <c r="F34" s="228"/>
      <c r="G34" s="228"/>
      <c r="H34" s="229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30" t="s">
        <v>90</v>
      </c>
      <c r="E35" s="231"/>
      <c r="F35" s="231"/>
      <c r="G35" s="231"/>
      <c r="H35" s="232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30" t="s">
        <v>69</v>
      </c>
      <c r="E37" s="231"/>
      <c r="F37" s="231"/>
      <c r="G37" s="231"/>
      <c r="H37" s="232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27" t="s">
        <v>71</v>
      </c>
      <c r="E38" s="228"/>
      <c r="F38" s="228"/>
      <c r="G38" s="228"/>
      <c r="H38" s="229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30" t="s">
        <v>72</v>
      </c>
      <c r="E39" s="231"/>
      <c r="F39" s="231"/>
      <c r="G39" s="231"/>
      <c r="H39" s="232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27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30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27" t="s">
        <v>75</v>
      </c>
      <c r="E42" s="224"/>
      <c r="F42" s="225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30" t="s">
        <v>76</v>
      </c>
      <c r="E43" s="226"/>
      <c r="F43" s="226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27" t="s">
        <v>77</v>
      </c>
      <c r="E44" s="224"/>
      <c r="F44" s="225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30" t="s">
        <v>78</v>
      </c>
      <c r="E45" s="226"/>
      <c r="F45" s="226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27" t="s">
        <v>79</v>
      </c>
      <c r="E46" s="228"/>
      <c r="F46" s="228"/>
      <c r="G46" s="228"/>
      <c r="H46" s="229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30" t="s">
        <v>80</v>
      </c>
      <c r="E47" s="231"/>
      <c r="F47" s="231"/>
      <c r="G47" s="231"/>
      <c r="H47" s="232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27" t="s">
        <v>81</v>
      </c>
      <c r="E48" s="228"/>
      <c r="F48" s="228"/>
      <c r="G48" s="228"/>
      <c r="H48" s="229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30" t="s">
        <v>82</v>
      </c>
      <c r="E49" s="231"/>
      <c r="F49" s="231"/>
      <c r="G49" s="231"/>
      <c r="H49" s="232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" priority="9" operator="greaterThan">
      <formula>$AA$28</formula>
    </cfRule>
    <cfRule type="cellIs" dxfId="98" priority="10" operator="lessThan">
      <formula>$AA$29</formula>
    </cfRule>
  </conditionalFormatting>
  <conditionalFormatting sqref="I32:X33">
    <cfRule type="cellIs" dxfId="97" priority="7" operator="greaterThan">
      <formula>$AA$32</formula>
    </cfRule>
    <cfRule type="cellIs" dxfId="96" priority="8" operator="lessThan">
      <formula>$AA$33</formula>
    </cfRule>
  </conditionalFormatting>
  <conditionalFormatting sqref="I30:X31">
    <cfRule type="cellIs" dxfId="95" priority="5" operator="greaterThan">
      <formula>$AA$30</formula>
    </cfRule>
    <cfRule type="cellIs" dxfId="94" priority="6" operator="lessThan">
      <formula>$AA$31</formula>
    </cfRule>
  </conditionalFormatting>
  <conditionalFormatting sqref="I26:X27">
    <cfRule type="cellIs" dxfId="93" priority="3" operator="greaterThan">
      <formula>$AA$26</formula>
    </cfRule>
    <cfRule type="cellIs" dxfId="92" priority="4" operator="lessThan">
      <formula>$AA$27</formula>
    </cfRule>
  </conditionalFormatting>
  <conditionalFormatting sqref="I32:X33">
    <cfRule type="cellIs" dxfId="91" priority="1" operator="greaterThan">
      <formula>$AA$32</formula>
    </cfRule>
    <cfRule type="cellIs" dxfId="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33" t="s">
        <v>2</v>
      </c>
      <c r="E2" s="42"/>
      <c r="F2" s="273" t="s">
        <v>93</v>
      </c>
      <c r="G2" s="273"/>
      <c r="H2" s="273"/>
      <c r="I2" s="273"/>
      <c r="J2" s="273"/>
      <c r="K2" s="274"/>
      <c r="L2" s="233" t="s">
        <v>4</v>
      </c>
      <c r="M2" s="273">
        <v>9</v>
      </c>
      <c r="N2" s="319"/>
      <c r="O2" s="233" t="s">
        <v>6</v>
      </c>
      <c r="P2" s="322" t="s">
        <v>83</v>
      </c>
      <c r="Q2" s="323"/>
      <c r="R2" s="323"/>
      <c r="S2" s="323"/>
      <c r="T2" s="323"/>
      <c r="U2" s="323"/>
      <c r="V2" s="324"/>
      <c r="W2" s="233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34" t="s">
        <v>3</v>
      </c>
      <c r="E3" s="43"/>
      <c r="F3" s="275"/>
      <c r="G3" s="275"/>
      <c r="H3" s="275"/>
      <c r="I3" s="275"/>
      <c r="J3" s="275"/>
      <c r="K3" s="276"/>
      <c r="L3" s="234" t="s">
        <v>5</v>
      </c>
      <c r="M3" s="320"/>
      <c r="N3" s="321"/>
      <c r="O3" s="234" t="s">
        <v>7</v>
      </c>
      <c r="P3" s="325"/>
      <c r="Q3" s="325"/>
      <c r="R3" s="325"/>
      <c r="S3" s="325"/>
      <c r="T3" s="325"/>
      <c r="U3" s="325"/>
      <c r="V3" s="32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27" t="s">
        <v>124</v>
      </c>
      <c r="R4" s="328"/>
      <c r="S4" s="328"/>
      <c r="T4" s="329"/>
      <c r="U4" s="233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34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35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2.0979999999999999</v>
      </c>
      <c r="J26" s="361"/>
      <c r="K26" s="361">
        <v>2.1</v>
      </c>
      <c r="L26" s="361"/>
      <c r="M26" s="361">
        <v>2.1</v>
      </c>
      <c r="N26" s="361"/>
      <c r="O26" s="361">
        <v>2.1030000000000002</v>
      </c>
      <c r="P26" s="361"/>
      <c r="Q26" s="361">
        <v>2.101</v>
      </c>
      <c r="R26" s="361"/>
      <c r="S26" s="361">
        <v>2.0990000000000002</v>
      </c>
      <c r="T26" s="361"/>
      <c r="U26" s="361">
        <v>2.0939999999999999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2.0920000000000001</v>
      </c>
      <c r="J30" s="361"/>
      <c r="K30" s="361">
        <v>2.0920000000000001</v>
      </c>
      <c r="L30" s="361"/>
      <c r="M30" s="361">
        <v>2.0960000000000001</v>
      </c>
      <c r="N30" s="361"/>
      <c r="O30" s="361">
        <v>2.1040000000000001</v>
      </c>
      <c r="P30" s="361"/>
      <c r="Q30" s="361">
        <v>2.0990000000000002</v>
      </c>
      <c r="R30" s="361"/>
      <c r="S30" s="361">
        <v>2.105</v>
      </c>
      <c r="T30" s="361"/>
      <c r="U30" s="361">
        <v>2.1</v>
      </c>
      <c r="V30" s="361"/>
      <c r="W30" s="361">
        <v>2.101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11.01</v>
      </c>
      <c r="L32" s="314"/>
      <c r="M32" s="314">
        <v>11.01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27" t="s">
        <v>89</v>
      </c>
      <c r="E34" s="228"/>
      <c r="F34" s="228"/>
      <c r="G34" s="228"/>
      <c r="H34" s="229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30" t="s">
        <v>90</v>
      </c>
      <c r="E35" s="231"/>
      <c r="F35" s="231"/>
      <c r="G35" s="231"/>
      <c r="H35" s="232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30" t="s">
        <v>69</v>
      </c>
      <c r="E37" s="231"/>
      <c r="F37" s="231"/>
      <c r="G37" s="231"/>
      <c r="H37" s="232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27" t="s">
        <v>71</v>
      </c>
      <c r="E38" s="228"/>
      <c r="F38" s="228"/>
      <c r="G38" s="228"/>
      <c r="H38" s="229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30" t="s">
        <v>72</v>
      </c>
      <c r="E39" s="231"/>
      <c r="F39" s="231"/>
      <c r="G39" s="231"/>
      <c r="H39" s="232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27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30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27" t="s">
        <v>75</v>
      </c>
      <c r="E42" s="224"/>
      <c r="F42" s="225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30" t="s">
        <v>76</v>
      </c>
      <c r="E43" s="226"/>
      <c r="F43" s="226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27" t="s">
        <v>77</v>
      </c>
      <c r="E44" s="224"/>
      <c r="F44" s="225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30" t="s">
        <v>78</v>
      </c>
      <c r="E45" s="226"/>
      <c r="F45" s="226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27" t="s">
        <v>79</v>
      </c>
      <c r="E46" s="228"/>
      <c r="F46" s="228"/>
      <c r="G46" s="228"/>
      <c r="H46" s="229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30" t="s">
        <v>80</v>
      </c>
      <c r="E47" s="231"/>
      <c r="F47" s="231"/>
      <c r="G47" s="231"/>
      <c r="H47" s="232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27" t="s">
        <v>81</v>
      </c>
      <c r="E48" s="228"/>
      <c r="F48" s="228"/>
      <c r="G48" s="228"/>
      <c r="H48" s="229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30" t="s">
        <v>82</v>
      </c>
      <c r="E49" s="231"/>
      <c r="F49" s="231"/>
      <c r="G49" s="231"/>
      <c r="H49" s="232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" priority="9" operator="greaterThan">
      <formula>$AA$28</formula>
    </cfRule>
    <cfRule type="cellIs" dxfId="88" priority="10" operator="lessThan">
      <formula>$AA$29</formula>
    </cfRule>
  </conditionalFormatting>
  <conditionalFormatting sqref="I32:X33">
    <cfRule type="cellIs" dxfId="87" priority="7" operator="greaterThan">
      <formula>$AA$32</formula>
    </cfRule>
    <cfRule type="cellIs" dxfId="86" priority="8" operator="lessThan">
      <formula>$AA$33</formula>
    </cfRule>
  </conditionalFormatting>
  <conditionalFormatting sqref="I30:X31">
    <cfRule type="cellIs" dxfId="85" priority="5" operator="greaterThan">
      <formula>$AA$30</formula>
    </cfRule>
    <cfRule type="cellIs" dxfId="84" priority="6" operator="lessThan">
      <formula>$AA$31</formula>
    </cfRule>
  </conditionalFormatting>
  <conditionalFormatting sqref="I26:X27">
    <cfRule type="cellIs" dxfId="83" priority="3" operator="greaterThan">
      <formula>$AA$26</formula>
    </cfRule>
    <cfRule type="cellIs" dxfId="82" priority="4" operator="lessThan">
      <formula>$AA$27</formula>
    </cfRule>
  </conditionalFormatting>
  <conditionalFormatting sqref="I32:X33">
    <cfRule type="cellIs" dxfId="81" priority="1" operator="greaterThan">
      <formula>$AA$32</formula>
    </cfRule>
    <cfRule type="cellIs" dxfId="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46" t="s">
        <v>2</v>
      </c>
      <c r="E2" s="42"/>
      <c r="F2" s="273" t="s">
        <v>93</v>
      </c>
      <c r="G2" s="273"/>
      <c r="H2" s="273"/>
      <c r="I2" s="273"/>
      <c r="J2" s="273"/>
      <c r="K2" s="274"/>
      <c r="L2" s="246" t="s">
        <v>4</v>
      </c>
      <c r="M2" s="273">
        <v>9</v>
      </c>
      <c r="N2" s="319"/>
      <c r="O2" s="246" t="s">
        <v>6</v>
      </c>
      <c r="P2" s="322" t="s">
        <v>83</v>
      </c>
      <c r="Q2" s="323"/>
      <c r="R2" s="323"/>
      <c r="S2" s="323"/>
      <c r="T2" s="323"/>
      <c r="U2" s="323"/>
      <c r="V2" s="324"/>
      <c r="W2" s="246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47" t="s">
        <v>3</v>
      </c>
      <c r="E3" s="43"/>
      <c r="F3" s="275"/>
      <c r="G3" s="275"/>
      <c r="H3" s="275"/>
      <c r="I3" s="275"/>
      <c r="J3" s="275"/>
      <c r="K3" s="276"/>
      <c r="L3" s="247" t="s">
        <v>5</v>
      </c>
      <c r="M3" s="320"/>
      <c r="N3" s="321"/>
      <c r="O3" s="247" t="s">
        <v>7</v>
      </c>
      <c r="P3" s="325"/>
      <c r="Q3" s="325"/>
      <c r="R3" s="325"/>
      <c r="S3" s="325"/>
      <c r="T3" s="325"/>
      <c r="U3" s="325"/>
      <c r="V3" s="326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27" t="s">
        <v>125</v>
      </c>
      <c r="R4" s="328"/>
      <c r="S4" s="328"/>
      <c r="T4" s="329"/>
      <c r="U4" s="246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47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48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2.1059999999999999</v>
      </c>
      <c r="J26" s="361"/>
      <c r="K26" s="361">
        <v>2.0990000000000002</v>
      </c>
      <c r="L26" s="361"/>
      <c r="M26" s="361">
        <v>2.1019999999999999</v>
      </c>
      <c r="N26" s="361"/>
      <c r="O26" s="361">
        <v>2.101</v>
      </c>
      <c r="P26" s="361"/>
      <c r="Q26" s="361">
        <v>2.1040000000000001</v>
      </c>
      <c r="R26" s="361"/>
      <c r="S26" s="361">
        <v>2.1030000000000002</v>
      </c>
      <c r="T26" s="361"/>
      <c r="U26" s="361">
        <v>2.1030000000000002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2.1019999999999999</v>
      </c>
      <c r="J30" s="361"/>
      <c r="K30" s="361">
        <v>2.1070000000000002</v>
      </c>
      <c r="L30" s="361"/>
      <c r="M30" s="361">
        <v>2.1059999999999999</v>
      </c>
      <c r="N30" s="361"/>
      <c r="O30" s="361">
        <v>2.11</v>
      </c>
      <c r="P30" s="361"/>
      <c r="Q30" s="361">
        <v>2.1030000000000002</v>
      </c>
      <c r="R30" s="361"/>
      <c r="S30" s="361">
        <v>2.105</v>
      </c>
      <c r="T30" s="361"/>
      <c r="U30" s="361">
        <v>2.0939999999999999</v>
      </c>
      <c r="V30" s="361"/>
      <c r="W30" s="361">
        <v>2.0910000000000002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11.01</v>
      </c>
      <c r="J32" s="314"/>
      <c r="K32" s="314">
        <v>11.01</v>
      </c>
      <c r="L32" s="314"/>
      <c r="M32" s="314">
        <v>11.04</v>
      </c>
      <c r="N32" s="314"/>
      <c r="O32" s="314">
        <v>11.03</v>
      </c>
      <c r="P32" s="314"/>
      <c r="Q32" s="314">
        <v>11.03</v>
      </c>
      <c r="R32" s="314"/>
      <c r="S32" s="314">
        <v>11.03</v>
      </c>
      <c r="T32" s="314"/>
      <c r="U32" s="314">
        <v>11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40" t="s">
        <v>89</v>
      </c>
      <c r="E34" s="241"/>
      <c r="F34" s="241"/>
      <c r="G34" s="241"/>
      <c r="H34" s="24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43" t="s">
        <v>90</v>
      </c>
      <c r="E35" s="244"/>
      <c r="F35" s="244"/>
      <c r="G35" s="244"/>
      <c r="H35" s="24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43" t="s">
        <v>69</v>
      </c>
      <c r="E37" s="244"/>
      <c r="F37" s="244"/>
      <c r="G37" s="244"/>
      <c r="H37" s="24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40" t="s">
        <v>71</v>
      </c>
      <c r="E38" s="241"/>
      <c r="F38" s="241"/>
      <c r="G38" s="241"/>
      <c r="H38" s="24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43" t="s">
        <v>72</v>
      </c>
      <c r="E39" s="244"/>
      <c r="F39" s="244"/>
      <c r="G39" s="244"/>
      <c r="H39" s="24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4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4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40" t="s">
        <v>75</v>
      </c>
      <c r="E42" s="237"/>
      <c r="F42" s="238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43" t="s">
        <v>76</v>
      </c>
      <c r="E43" s="239"/>
      <c r="F43" s="239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40" t="s">
        <v>77</v>
      </c>
      <c r="E44" s="237"/>
      <c r="F44" s="238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43" t="s">
        <v>78</v>
      </c>
      <c r="E45" s="239"/>
      <c r="F45" s="239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40" t="s">
        <v>79</v>
      </c>
      <c r="E46" s="241"/>
      <c r="F46" s="241"/>
      <c r="G46" s="241"/>
      <c r="H46" s="24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43" t="s">
        <v>80</v>
      </c>
      <c r="E47" s="244"/>
      <c r="F47" s="244"/>
      <c r="G47" s="244"/>
      <c r="H47" s="24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40" t="s">
        <v>81</v>
      </c>
      <c r="E48" s="241"/>
      <c r="F48" s="241"/>
      <c r="G48" s="241"/>
      <c r="H48" s="24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43" t="s">
        <v>82</v>
      </c>
      <c r="E49" s="244"/>
      <c r="F49" s="244"/>
      <c r="G49" s="244"/>
      <c r="H49" s="24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9" operator="greaterThan">
      <formula>$AA$28</formula>
    </cfRule>
    <cfRule type="cellIs" dxfId="78" priority="10" operator="lessThan">
      <formula>$AA$29</formula>
    </cfRule>
  </conditionalFormatting>
  <conditionalFormatting sqref="I32:X33">
    <cfRule type="cellIs" dxfId="77" priority="7" operator="greaterThan">
      <formula>$AA$32</formula>
    </cfRule>
    <cfRule type="cellIs" dxfId="76" priority="8" operator="lessThan">
      <formula>$AA$33</formula>
    </cfRule>
  </conditionalFormatting>
  <conditionalFormatting sqref="I30:X31">
    <cfRule type="cellIs" dxfId="75" priority="5" operator="greaterThan">
      <formula>$AA$30</formula>
    </cfRule>
    <cfRule type="cellIs" dxfId="74" priority="6" operator="lessThan">
      <formula>$AA$31</formula>
    </cfRule>
  </conditionalFormatting>
  <conditionalFormatting sqref="I26:X27">
    <cfRule type="cellIs" dxfId="73" priority="3" operator="greaterThan">
      <formula>$AA$26</formula>
    </cfRule>
    <cfRule type="cellIs" dxfId="72" priority="4" operator="lessThan">
      <formula>$AA$27</formula>
    </cfRule>
  </conditionalFormatting>
  <conditionalFormatting sqref="I32:X33">
    <cfRule type="cellIs" dxfId="71" priority="1" operator="greaterThan">
      <formula>$AA$32</formula>
    </cfRule>
    <cfRule type="cellIs" dxfId="7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46" t="s">
        <v>2</v>
      </c>
      <c r="E2" s="42"/>
      <c r="F2" s="273" t="s">
        <v>93</v>
      </c>
      <c r="G2" s="273"/>
      <c r="H2" s="273"/>
      <c r="I2" s="273"/>
      <c r="J2" s="273"/>
      <c r="K2" s="274"/>
      <c r="L2" s="246" t="s">
        <v>4</v>
      </c>
      <c r="M2" s="273">
        <v>9</v>
      </c>
      <c r="N2" s="319"/>
      <c r="O2" s="246" t="s">
        <v>6</v>
      </c>
      <c r="P2" s="322" t="s">
        <v>83</v>
      </c>
      <c r="Q2" s="323"/>
      <c r="R2" s="323"/>
      <c r="S2" s="323"/>
      <c r="T2" s="323"/>
      <c r="U2" s="323"/>
      <c r="V2" s="324"/>
      <c r="W2" s="246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47" t="s">
        <v>3</v>
      </c>
      <c r="E3" s="43"/>
      <c r="F3" s="275"/>
      <c r="G3" s="275"/>
      <c r="H3" s="275"/>
      <c r="I3" s="275"/>
      <c r="J3" s="275"/>
      <c r="K3" s="276"/>
      <c r="L3" s="247" t="s">
        <v>5</v>
      </c>
      <c r="M3" s="320"/>
      <c r="N3" s="321"/>
      <c r="O3" s="247" t="s">
        <v>7</v>
      </c>
      <c r="P3" s="325"/>
      <c r="Q3" s="325"/>
      <c r="R3" s="325"/>
      <c r="S3" s="325"/>
      <c r="T3" s="325"/>
      <c r="U3" s="325"/>
      <c r="V3" s="326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27" t="s">
        <v>125</v>
      </c>
      <c r="R4" s="328"/>
      <c r="S4" s="328"/>
      <c r="T4" s="329"/>
      <c r="U4" s="246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47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48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2.0920000000000001</v>
      </c>
      <c r="J26" s="361"/>
      <c r="K26" s="361">
        <v>2.0990000000000002</v>
      </c>
      <c r="L26" s="361"/>
      <c r="M26" s="361">
        <v>2.101</v>
      </c>
      <c r="N26" s="361"/>
      <c r="O26" s="361">
        <v>2.1070000000000002</v>
      </c>
      <c r="P26" s="361"/>
      <c r="Q26" s="361">
        <v>2.101</v>
      </c>
      <c r="R26" s="361"/>
      <c r="S26" s="361">
        <v>2.0990000000000002</v>
      </c>
      <c r="T26" s="361"/>
      <c r="U26" s="361">
        <v>2.0990000000000002</v>
      </c>
      <c r="V26" s="361"/>
      <c r="W26" s="361">
        <v>2.0990000000000002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2.089</v>
      </c>
      <c r="J30" s="361"/>
      <c r="K30" s="361">
        <v>2.089</v>
      </c>
      <c r="L30" s="361"/>
      <c r="M30" s="361">
        <v>2.1030000000000002</v>
      </c>
      <c r="N30" s="361"/>
      <c r="O30" s="361">
        <v>2.1070000000000002</v>
      </c>
      <c r="P30" s="361"/>
      <c r="Q30" s="361">
        <v>2.101</v>
      </c>
      <c r="R30" s="361"/>
      <c r="S30" s="361">
        <v>2.0990000000000002</v>
      </c>
      <c r="T30" s="361"/>
      <c r="U30" s="361">
        <v>2.1019999999999999</v>
      </c>
      <c r="V30" s="361"/>
      <c r="W30" s="361">
        <v>2.1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11.01</v>
      </c>
      <c r="L32" s="314"/>
      <c r="M32" s="314">
        <v>11.02</v>
      </c>
      <c r="N32" s="314"/>
      <c r="O32" s="314">
        <v>11.03</v>
      </c>
      <c r="P32" s="314"/>
      <c r="Q32" s="314">
        <v>11.04</v>
      </c>
      <c r="R32" s="314"/>
      <c r="S32" s="314">
        <v>11.02</v>
      </c>
      <c r="T32" s="314"/>
      <c r="U32" s="314">
        <v>11.01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40" t="s">
        <v>89</v>
      </c>
      <c r="E34" s="241"/>
      <c r="F34" s="241"/>
      <c r="G34" s="241"/>
      <c r="H34" s="24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43" t="s">
        <v>90</v>
      </c>
      <c r="E35" s="244"/>
      <c r="F35" s="244"/>
      <c r="G35" s="244"/>
      <c r="H35" s="24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43" t="s">
        <v>69</v>
      </c>
      <c r="E37" s="244"/>
      <c r="F37" s="244"/>
      <c r="G37" s="244"/>
      <c r="H37" s="24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40" t="s">
        <v>71</v>
      </c>
      <c r="E38" s="241"/>
      <c r="F38" s="241"/>
      <c r="G38" s="241"/>
      <c r="H38" s="24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43" t="s">
        <v>72</v>
      </c>
      <c r="E39" s="244"/>
      <c r="F39" s="244"/>
      <c r="G39" s="244"/>
      <c r="H39" s="24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4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4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40" t="s">
        <v>75</v>
      </c>
      <c r="E42" s="237"/>
      <c r="F42" s="238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43" t="s">
        <v>76</v>
      </c>
      <c r="E43" s="239"/>
      <c r="F43" s="239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40" t="s">
        <v>77</v>
      </c>
      <c r="E44" s="237"/>
      <c r="F44" s="238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43" t="s">
        <v>78</v>
      </c>
      <c r="E45" s="239"/>
      <c r="F45" s="239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40" t="s">
        <v>79</v>
      </c>
      <c r="E46" s="241"/>
      <c r="F46" s="241"/>
      <c r="G46" s="241"/>
      <c r="H46" s="24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43" t="s">
        <v>80</v>
      </c>
      <c r="E47" s="244"/>
      <c r="F47" s="244"/>
      <c r="G47" s="244"/>
      <c r="H47" s="24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40" t="s">
        <v>81</v>
      </c>
      <c r="E48" s="241"/>
      <c r="F48" s="241"/>
      <c r="G48" s="241"/>
      <c r="H48" s="24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43" t="s">
        <v>82</v>
      </c>
      <c r="E49" s="244"/>
      <c r="F49" s="244"/>
      <c r="G49" s="244"/>
      <c r="H49" s="24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9" priority="9" operator="greaterThan">
      <formula>$AA$28</formula>
    </cfRule>
    <cfRule type="cellIs" dxfId="68" priority="10" operator="lessThan">
      <formula>$AA$29</formula>
    </cfRule>
  </conditionalFormatting>
  <conditionalFormatting sqref="I32:X33">
    <cfRule type="cellIs" dxfId="67" priority="7" operator="greaterThan">
      <formula>$AA$32</formula>
    </cfRule>
    <cfRule type="cellIs" dxfId="66" priority="8" operator="lessThan">
      <formula>$AA$33</formula>
    </cfRule>
  </conditionalFormatting>
  <conditionalFormatting sqref="I30:X31">
    <cfRule type="cellIs" dxfId="65" priority="5" operator="greaterThan">
      <formula>$AA$30</formula>
    </cfRule>
    <cfRule type="cellIs" dxfId="64" priority="6" operator="lessThan">
      <formula>$AA$31</formula>
    </cfRule>
  </conditionalFormatting>
  <conditionalFormatting sqref="I26:X27">
    <cfRule type="cellIs" dxfId="63" priority="3" operator="greaterThan">
      <formula>$AA$26</formula>
    </cfRule>
    <cfRule type="cellIs" dxfId="62" priority="4" operator="lessThan">
      <formula>$AA$27</formula>
    </cfRule>
  </conditionalFormatting>
  <conditionalFormatting sqref="I32:X33">
    <cfRule type="cellIs" dxfId="61" priority="1" operator="greaterThan">
      <formula>$AA$32</formula>
    </cfRule>
    <cfRule type="cellIs" dxfId="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46" t="s">
        <v>2</v>
      </c>
      <c r="E2" s="42"/>
      <c r="F2" s="273" t="s">
        <v>93</v>
      </c>
      <c r="G2" s="273"/>
      <c r="H2" s="273"/>
      <c r="I2" s="273"/>
      <c r="J2" s="273"/>
      <c r="K2" s="274"/>
      <c r="L2" s="246" t="s">
        <v>4</v>
      </c>
      <c r="M2" s="273">
        <v>9</v>
      </c>
      <c r="N2" s="319"/>
      <c r="O2" s="246" t="s">
        <v>6</v>
      </c>
      <c r="P2" s="322" t="s">
        <v>83</v>
      </c>
      <c r="Q2" s="323"/>
      <c r="R2" s="323"/>
      <c r="S2" s="323"/>
      <c r="T2" s="323"/>
      <c r="U2" s="323"/>
      <c r="V2" s="324"/>
      <c r="W2" s="246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47" t="s">
        <v>3</v>
      </c>
      <c r="E3" s="43"/>
      <c r="F3" s="275"/>
      <c r="G3" s="275"/>
      <c r="H3" s="275"/>
      <c r="I3" s="275"/>
      <c r="J3" s="275"/>
      <c r="K3" s="276"/>
      <c r="L3" s="247" t="s">
        <v>5</v>
      </c>
      <c r="M3" s="320"/>
      <c r="N3" s="321"/>
      <c r="O3" s="247" t="s">
        <v>7</v>
      </c>
      <c r="P3" s="325"/>
      <c r="Q3" s="325"/>
      <c r="R3" s="325"/>
      <c r="S3" s="325"/>
      <c r="T3" s="325"/>
      <c r="U3" s="325"/>
      <c r="V3" s="326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27" t="s">
        <v>126</v>
      </c>
      <c r="R4" s="328"/>
      <c r="S4" s="328"/>
      <c r="T4" s="329"/>
      <c r="U4" s="246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47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48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2.101</v>
      </c>
      <c r="J26" s="361"/>
      <c r="K26" s="361">
        <v>2.0990000000000002</v>
      </c>
      <c r="L26" s="361"/>
      <c r="M26" s="361">
        <v>2.1</v>
      </c>
      <c r="N26" s="361"/>
      <c r="O26" s="361">
        <v>2.1040000000000001</v>
      </c>
      <c r="P26" s="361"/>
      <c r="Q26" s="361">
        <v>2.1</v>
      </c>
      <c r="R26" s="361"/>
      <c r="S26" s="361">
        <v>2.1040000000000001</v>
      </c>
      <c r="T26" s="361"/>
      <c r="U26" s="361">
        <v>2.101</v>
      </c>
      <c r="V26" s="361"/>
      <c r="W26" s="361">
        <v>2.1080000000000001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2.093</v>
      </c>
      <c r="J30" s="361"/>
      <c r="K30" s="361">
        <v>2.093</v>
      </c>
      <c r="L30" s="361"/>
      <c r="M30" s="361">
        <v>2.1</v>
      </c>
      <c r="N30" s="361"/>
      <c r="O30" s="361">
        <v>2.1080000000000001</v>
      </c>
      <c r="P30" s="361"/>
      <c r="Q30" s="361">
        <v>2.1019999999999999</v>
      </c>
      <c r="R30" s="361"/>
      <c r="S30" s="361">
        <v>2.0960000000000001</v>
      </c>
      <c r="T30" s="361"/>
      <c r="U30" s="361">
        <v>2.0910000000000002</v>
      </c>
      <c r="V30" s="361"/>
      <c r="W30" s="361">
        <v>2.0960000000000001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11.01</v>
      </c>
      <c r="J32" s="314"/>
      <c r="K32" s="314">
        <v>11</v>
      </c>
      <c r="L32" s="314"/>
      <c r="M32" s="314">
        <v>11.02</v>
      </c>
      <c r="N32" s="314"/>
      <c r="O32" s="314">
        <v>11.02</v>
      </c>
      <c r="P32" s="314"/>
      <c r="Q32" s="314">
        <v>11.04</v>
      </c>
      <c r="R32" s="314"/>
      <c r="S32" s="314">
        <v>11.02</v>
      </c>
      <c r="T32" s="314"/>
      <c r="U32" s="314">
        <v>11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40" t="s">
        <v>89</v>
      </c>
      <c r="E34" s="241"/>
      <c r="F34" s="241"/>
      <c r="G34" s="241"/>
      <c r="H34" s="24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43" t="s">
        <v>90</v>
      </c>
      <c r="E35" s="244"/>
      <c r="F35" s="244"/>
      <c r="G35" s="244"/>
      <c r="H35" s="24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43" t="s">
        <v>69</v>
      </c>
      <c r="E37" s="244"/>
      <c r="F37" s="244"/>
      <c r="G37" s="244"/>
      <c r="H37" s="24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40" t="s">
        <v>71</v>
      </c>
      <c r="E38" s="241"/>
      <c r="F38" s="241"/>
      <c r="G38" s="241"/>
      <c r="H38" s="24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43" t="s">
        <v>72</v>
      </c>
      <c r="E39" s="244"/>
      <c r="F39" s="244"/>
      <c r="G39" s="244"/>
      <c r="H39" s="24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4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4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40" t="s">
        <v>75</v>
      </c>
      <c r="E42" s="237"/>
      <c r="F42" s="238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43" t="s">
        <v>76</v>
      </c>
      <c r="E43" s="239"/>
      <c r="F43" s="239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40" t="s">
        <v>77</v>
      </c>
      <c r="E44" s="237"/>
      <c r="F44" s="238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43" t="s">
        <v>78</v>
      </c>
      <c r="E45" s="239"/>
      <c r="F45" s="239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40" t="s">
        <v>79</v>
      </c>
      <c r="E46" s="241"/>
      <c r="F46" s="241"/>
      <c r="G46" s="241"/>
      <c r="H46" s="24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43" t="s">
        <v>80</v>
      </c>
      <c r="E47" s="244"/>
      <c r="F47" s="244"/>
      <c r="G47" s="244"/>
      <c r="H47" s="24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40" t="s">
        <v>81</v>
      </c>
      <c r="E48" s="241"/>
      <c r="F48" s="241"/>
      <c r="G48" s="241"/>
      <c r="H48" s="24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43" t="s">
        <v>82</v>
      </c>
      <c r="E49" s="244"/>
      <c r="F49" s="244"/>
      <c r="G49" s="244"/>
      <c r="H49" s="24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" priority="9" operator="greaterThan">
      <formula>$AA$28</formula>
    </cfRule>
    <cfRule type="cellIs" dxfId="58" priority="10" operator="lessThan">
      <formula>$AA$29</formula>
    </cfRule>
  </conditionalFormatting>
  <conditionalFormatting sqref="I32:X33">
    <cfRule type="cellIs" dxfId="57" priority="7" operator="greaterThan">
      <formula>$AA$32</formula>
    </cfRule>
    <cfRule type="cellIs" dxfId="56" priority="8" operator="lessThan">
      <formula>$AA$33</formula>
    </cfRule>
  </conditionalFormatting>
  <conditionalFormatting sqref="I30:X31">
    <cfRule type="cellIs" dxfId="55" priority="5" operator="greaterThan">
      <formula>$AA$30</formula>
    </cfRule>
    <cfRule type="cellIs" dxfId="54" priority="6" operator="lessThan">
      <formula>$AA$31</formula>
    </cfRule>
  </conditionalFormatting>
  <conditionalFormatting sqref="I26:X27">
    <cfRule type="cellIs" dxfId="53" priority="3" operator="greaterThan">
      <formula>$AA$26</formula>
    </cfRule>
    <cfRule type="cellIs" dxfId="52" priority="4" operator="lessThan">
      <formula>$AA$27</formula>
    </cfRule>
  </conditionalFormatting>
  <conditionalFormatting sqref="I32:X33">
    <cfRule type="cellIs" dxfId="51" priority="1" operator="greaterThan">
      <formula>$AA$32</formula>
    </cfRule>
    <cfRule type="cellIs" dxfId="5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46" t="s">
        <v>2</v>
      </c>
      <c r="E2" s="42"/>
      <c r="F2" s="273" t="s">
        <v>93</v>
      </c>
      <c r="G2" s="273"/>
      <c r="H2" s="273"/>
      <c r="I2" s="273"/>
      <c r="J2" s="273"/>
      <c r="K2" s="274"/>
      <c r="L2" s="246" t="s">
        <v>4</v>
      </c>
      <c r="M2" s="273">
        <v>9</v>
      </c>
      <c r="N2" s="319"/>
      <c r="O2" s="246" t="s">
        <v>6</v>
      </c>
      <c r="P2" s="322" t="s">
        <v>83</v>
      </c>
      <c r="Q2" s="323"/>
      <c r="R2" s="323"/>
      <c r="S2" s="323"/>
      <c r="T2" s="323"/>
      <c r="U2" s="323"/>
      <c r="V2" s="324"/>
      <c r="W2" s="246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47" t="s">
        <v>3</v>
      </c>
      <c r="E3" s="43"/>
      <c r="F3" s="275"/>
      <c r="G3" s="275"/>
      <c r="H3" s="275"/>
      <c r="I3" s="275"/>
      <c r="J3" s="275"/>
      <c r="K3" s="276"/>
      <c r="L3" s="247" t="s">
        <v>5</v>
      </c>
      <c r="M3" s="320"/>
      <c r="N3" s="321"/>
      <c r="O3" s="247" t="s">
        <v>7</v>
      </c>
      <c r="P3" s="325"/>
      <c r="Q3" s="325"/>
      <c r="R3" s="325"/>
      <c r="S3" s="325"/>
      <c r="T3" s="325"/>
      <c r="U3" s="325"/>
      <c r="V3" s="326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27" t="s">
        <v>126</v>
      </c>
      <c r="R4" s="328"/>
      <c r="S4" s="328"/>
      <c r="T4" s="329"/>
      <c r="U4" s="246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47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48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2.101</v>
      </c>
      <c r="J26" s="361"/>
      <c r="K26" s="361">
        <v>2.101</v>
      </c>
      <c r="L26" s="361"/>
      <c r="M26" s="361">
        <v>2.101</v>
      </c>
      <c r="N26" s="361"/>
      <c r="O26" s="361">
        <v>2.1040000000000001</v>
      </c>
      <c r="P26" s="361"/>
      <c r="Q26" s="361">
        <v>2.101</v>
      </c>
      <c r="R26" s="361"/>
      <c r="S26" s="361">
        <v>2.0990000000000002</v>
      </c>
      <c r="T26" s="361"/>
      <c r="U26" s="361">
        <v>2.0990000000000002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2.085</v>
      </c>
      <c r="J30" s="361"/>
      <c r="K30" s="361">
        <v>2.0920000000000001</v>
      </c>
      <c r="L30" s="361"/>
      <c r="M30" s="361">
        <v>2.0950000000000002</v>
      </c>
      <c r="N30" s="361"/>
      <c r="O30" s="361">
        <v>2.0990000000000002</v>
      </c>
      <c r="P30" s="361"/>
      <c r="Q30" s="361">
        <v>2.1019999999999999</v>
      </c>
      <c r="R30" s="361"/>
      <c r="S30" s="361">
        <v>2.0990000000000002</v>
      </c>
      <c r="T30" s="361"/>
      <c r="U30" s="361">
        <v>2.101</v>
      </c>
      <c r="V30" s="361"/>
      <c r="W30" s="361">
        <v>2.0910000000000002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11.02</v>
      </c>
      <c r="N32" s="314"/>
      <c r="O32" s="314">
        <v>11.03</v>
      </c>
      <c r="P32" s="314"/>
      <c r="Q32" s="314">
        <v>11.03</v>
      </c>
      <c r="R32" s="314"/>
      <c r="S32" s="314">
        <v>11.03</v>
      </c>
      <c r="T32" s="314"/>
      <c r="U32" s="314">
        <v>11.02</v>
      </c>
      <c r="V32" s="314"/>
      <c r="W32" s="314">
        <v>11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40" t="s">
        <v>89</v>
      </c>
      <c r="E34" s="241"/>
      <c r="F34" s="241"/>
      <c r="G34" s="241"/>
      <c r="H34" s="242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43" t="s">
        <v>90</v>
      </c>
      <c r="E35" s="244"/>
      <c r="F35" s="244"/>
      <c r="G35" s="244"/>
      <c r="H35" s="245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43" t="s">
        <v>69</v>
      </c>
      <c r="E37" s="244"/>
      <c r="F37" s="244"/>
      <c r="G37" s="244"/>
      <c r="H37" s="245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40" t="s">
        <v>71</v>
      </c>
      <c r="E38" s="241"/>
      <c r="F38" s="241"/>
      <c r="G38" s="241"/>
      <c r="H38" s="242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43" t="s">
        <v>72</v>
      </c>
      <c r="E39" s="244"/>
      <c r="F39" s="244"/>
      <c r="G39" s="244"/>
      <c r="H39" s="245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40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43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40" t="s">
        <v>75</v>
      </c>
      <c r="E42" s="237"/>
      <c r="F42" s="238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43" t="s">
        <v>76</v>
      </c>
      <c r="E43" s="239"/>
      <c r="F43" s="239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40" t="s">
        <v>77</v>
      </c>
      <c r="E44" s="237"/>
      <c r="F44" s="238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43" t="s">
        <v>78</v>
      </c>
      <c r="E45" s="239"/>
      <c r="F45" s="239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40" t="s">
        <v>79</v>
      </c>
      <c r="E46" s="241"/>
      <c r="F46" s="241"/>
      <c r="G46" s="241"/>
      <c r="H46" s="24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43" t="s">
        <v>80</v>
      </c>
      <c r="E47" s="244"/>
      <c r="F47" s="244"/>
      <c r="G47" s="244"/>
      <c r="H47" s="245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40" t="s">
        <v>81</v>
      </c>
      <c r="E48" s="241"/>
      <c r="F48" s="241"/>
      <c r="G48" s="241"/>
      <c r="H48" s="242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43" t="s">
        <v>82</v>
      </c>
      <c r="E49" s="244"/>
      <c r="F49" s="244"/>
      <c r="G49" s="244"/>
      <c r="H49" s="245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" priority="9" operator="greaterThan">
      <formula>$AA$28</formula>
    </cfRule>
    <cfRule type="cellIs" dxfId="48" priority="10" operator="lessThan">
      <formula>$AA$29</formula>
    </cfRule>
  </conditionalFormatting>
  <conditionalFormatting sqref="I32:X33">
    <cfRule type="cellIs" dxfId="47" priority="7" operator="greaterThan">
      <formula>$AA$32</formula>
    </cfRule>
    <cfRule type="cellIs" dxfId="46" priority="8" operator="lessThan">
      <formula>$AA$33</formula>
    </cfRule>
  </conditionalFormatting>
  <conditionalFormatting sqref="I30:X31">
    <cfRule type="cellIs" dxfId="45" priority="5" operator="greaterThan">
      <formula>$AA$30</formula>
    </cfRule>
    <cfRule type="cellIs" dxfId="44" priority="6" operator="lessThan">
      <formula>$AA$31</formula>
    </cfRule>
  </conditionalFormatting>
  <conditionalFormatting sqref="I26:X27">
    <cfRule type="cellIs" dxfId="43" priority="3" operator="greaterThan">
      <formula>$AA$26</formula>
    </cfRule>
    <cfRule type="cellIs" dxfId="42" priority="4" operator="lessThan">
      <formula>$AA$27</formula>
    </cfRule>
  </conditionalFormatting>
  <conditionalFormatting sqref="I32:X33">
    <cfRule type="cellIs" dxfId="41" priority="1" operator="greaterThan">
      <formula>$AA$32</formula>
    </cfRule>
    <cfRule type="cellIs" dxfId="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59" t="s">
        <v>2</v>
      </c>
      <c r="E2" s="42"/>
      <c r="F2" s="273" t="s">
        <v>93</v>
      </c>
      <c r="G2" s="273"/>
      <c r="H2" s="273"/>
      <c r="I2" s="273"/>
      <c r="J2" s="273"/>
      <c r="K2" s="274"/>
      <c r="L2" s="259" t="s">
        <v>4</v>
      </c>
      <c r="M2" s="273">
        <v>9</v>
      </c>
      <c r="N2" s="319"/>
      <c r="O2" s="259" t="s">
        <v>6</v>
      </c>
      <c r="P2" s="322" t="s">
        <v>83</v>
      </c>
      <c r="Q2" s="323"/>
      <c r="R2" s="323"/>
      <c r="S2" s="323"/>
      <c r="T2" s="323"/>
      <c r="U2" s="323"/>
      <c r="V2" s="324"/>
      <c r="W2" s="259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60" t="s">
        <v>3</v>
      </c>
      <c r="E3" s="43"/>
      <c r="F3" s="275"/>
      <c r="G3" s="275"/>
      <c r="H3" s="275"/>
      <c r="I3" s="275"/>
      <c r="J3" s="275"/>
      <c r="K3" s="276"/>
      <c r="L3" s="260" t="s">
        <v>5</v>
      </c>
      <c r="M3" s="320"/>
      <c r="N3" s="321"/>
      <c r="O3" s="260" t="s">
        <v>7</v>
      </c>
      <c r="P3" s="325"/>
      <c r="Q3" s="325"/>
      <c r="R3" s="325"/>
      <c r="S3" s="325"/>
      <c r="T3" s="325"/>
      <c r="U3" s="325"/>
      <c r="V3" s="326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27" t="s">
        <v>127</v>
      </c>
      <c r="R4" s="328"/>
      <c r="S4" s="328"/>
      <c r="T4" s="329"/>
      <c r="U4" s="259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60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61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2.1070000000000002</v>
      </c>
      <c r="J26" s="361"/>
      <c r="K26" s="361">
        <v>2.101</v>
      </c>
      <c r="L26" s="361"/>
      <c r="M26" s="361">
        <v>2.1019999999999999</v>
      </c>
      <c r="N26" s="361"/>
      <c r="O26" s="361">
        <v>2.1040000000000001</v>
      </c>
      <c r="P26" s="361"/>
      <c r="Q26" s="361">
        <v>2.101</v>
      </c>
      <c r="R26" s="361"/>
      <c r="S26" s="361">
        <v>2.1</v>
      </c>
      <c r="T26" s="361"/>
      <c r="U26" s="361">
        <v>2.105</v>
      </c>
      <c r="V26" s="361"/>
      <c r="W26" s="361">
        <v>2.0979999999999999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</v>
      </c>
      <c r="J30" s="361"/>
      <c r="K30" s="361">
        <v>2.1</v>
      </c>
      <c r="L30" s="361"/>
      <c r="M30" s="361">
        <v>2.0979999999999999</v>
      </c>
      <c r="N30" s="361"/>
      <c r="O30" s="361">
        <v>2.0990000000000002</v>
      </c>
      <c r="P30" s="361"/>
      <c r="Q30" s="361">
        <v>2.1019999999999999</v>
      </c>
      <c r="R30" s="361"/>
      <c r="S30" s="361">
        <v>2.101</v>
      </c>
      <c r="T30" s="361"/>
      <c r="U30" s="361">
        <v>2.0979999999999999</v>
      </c>
      <c r="V30" s="361"/>
      <c r="W30" s="361">
        <v>2.1040000000000001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</v>
      </c>
      <c r="L32" s="314"/>
      <c r="M32" s="314">
        <v>11.01</v>
      </c>
      <c r="N32" s="314"/>
      <c r="O32" s="314">
        <v>11.03</v>
      </c>
      <c r="P32" s="314"/>
      <c r="Q32" s="314">
        <v>11.03</v>
      </c>
      <c r="R32" s="314"/>
      <c r="S32" s="314">
        <v>11.02</v>
      </c>
      <c r="T32" s="314"/>
      <c r="U32" s="314">
        <v>11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53" t="s">
        <v>89</v>
      </c>
      <c r="E34" s="254"/>
      <c r="F34" s="254"/>
      <c r="G34" s="254"/>
      <c r="H34" s="255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56" t="s">
        <v>90</v>
      </c>
      <c r="E35" s="257"/>
      <c r="F35" s="257"/>
      <c r="G35" s="257"/>
      <c r="H35" s="258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56" t="s">
        <v>69</v>
      </c>
      <c r="E37" s="257"/>
      <c r="F37" s="257"/>
      <c r="G37" s="257"/>
      <c r="H37" s="258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53" t="s">
        <v>71</v>
      </c>
      <c r="E38" s="254"/>
      <c r="F38" s="254"/>
      <c r="G38" s="254"/>
      <c r="H38" s="255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56" t="s">
        <v>72</v>
      </c>
      <c r="E39" s="257"/>
      <c r="F39" s="257"/>
      <c r="G39" s="257"/>
      <c r="H39" s="258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53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56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53" t="s">
        <v>75</v>
      </c>
      <c r="E42" s="250"/>
      <c r="F42" s="25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56" t="s">
        <v>76</v>
      </c>
      <c r="E43" s="252"/>
      <c r="F43" s="25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53" t="s">
        <v>77</v>
      </c>
      <c r="E44" s="250"/>
      <c r="F44" s="25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56" t="s">
        <v>78</v>
      </c>
      <c r="E45" s="252"/>
      <c r="F45" s="25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53" t="s">
        <v>79</v>
      </c>
      <c r="E46" s="254"/>
      <c r="F46" s="254"/>
      <c r="G46" s="254"/>
      <c r="H46" s="255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56" t="s">
        <v>80</v>
      </c>
      <c r="E47" s="257"/>
      <c r="F47" s="257"/>
      <c r="G47" s="257"/>
      <c r="H47" s="258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53" t="s">
        <v>81</v>
      </c>
      <c r="E48" s="254"/>
      <c r="F48" s="254"/>
      <c r="G48" s="254"/>
      <c r="H48" s="255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56" t="s">
        <v>82</v>
      </c>
      <c r="E49" s="257"/>
      <c r="F49" s="257"/>
      <c r="G49" s="257"/>
      <c r="H49" s="258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9" operator="greaterThan">
      <formula>$AA$28</formula>
    </cfRule>
    <cfRule type="cellIs" dxfId="38" priority="10" operator="lessThan">
      <formula>$AA$29</formula>
    </cfRule>
  </conditionalFormatting>
  <conditionalFormatting sqref="I32:X33">
    <cfRule type="cellIs" dxfId="37" priority="7" operator="greaterThan">
      <formula>$AA$32</formula>
    </cfRule>
    <cfRule type="cellIs" dxfId="36" priority="8" operator="lessThan">
      <formula>$AA$33</formula>
    </cfRule>
  </conditionalFormatting>
  <conditionalFormatting sqref="I30:X31">
    <cfRule type="cellIs" dxfId="35" priority="5" operator="greaterThan">
      <formula>$AA$30</formula>
    </cfRule>
    <cfRule type="cellIs" dxfId="34" priority="6" operator="lessThan">
      <formula>$AA$31</formula>
    </cfRule>
  </conditionalFormatting>
  <conditionalFormatting sqref="I26:X27">
    <cfRule type="cellIs" dxfId="33" priority="3" operator="greaterThan">
      <formula>$AA$26</formula>
    </cfRule>
    <cfRule type="cellIs" dxfId="32" priority="4" operator="lessThan">
      <formula>$AA$27</formula>
    </cfRule>
  </conditionalFormatting>
  <conditionalFormatting sqref="I32:X33">
    <cfRule type="cellIs" dxfId="31" priority="1" operator="greaterThan">
      <formula>$AA$32</formula>
    </cfRule>
    <cfRule type="cellIs" dxfId="3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59" t="s">
        <v>2</v>
      </c>
      <c r="E2" s="42"/>
      <c r="F2" s="273" t="s">
        <v>93</v>
      </c>
      <c r="G2" s="273"/>
      <c r="H2" s="273"/>
      <c r="I2" s="273"/>
      <c r="J2" s="273"/>
      <c r="K2" s="274"/>
      <c r="L2" s="259" t="s">
        <v>4</v>
      </c>
      <c r="M2" s="273">
        <v>9</v>
      </c>
      <c r="N2" s="319"/>
      <c r="O2" s="259" t="s">
        <v>6</v>
      </c>
      <c r="P2" s="322" t="s">
        <v>83</v>
      </c>
      <c r="Q2" s="323"/>
      <c r="R2" s="323"/>
      <c r="S2" s="323"/>
      <c r="T2" s="323"/>
      <c r="U2" s="323"/>
      <c r="V2" s="324"/>
      <c r="W2" s="259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60" t="s">
        <v>3</v>
      </c>
      <c r="E3" s="43"/>
      <c r="F3" s="275"/>
      <c r="G3" s="275"/>
      <c r="H3" s="275"/>
      <c r="I3" s="275"/>
      <c r="J3" s="275"/>
      <c r="K3" s="276"/>
      <c r="L3" s="260" t="s">
        <v>5</v>
      </c>
      <c r="M3" s="320"/>
      <c r="N3" s="321"/>
      <c r="O3" s="260" t="s">
        <v>7</v>
      </c>
      <c r="P3" s="325"/>
      <c r="Q3" s="325"/>
      <c r="R3" s="325"/>
      <c r="S3" s="325"/>
      <c r="T3" s="325"/>
      <c r="U3" s="325"/>
      <c r="V3" s="326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27" t="s">
        <v>127</v>
      </c>
      <c r="R4" s="328"/>
      <c r="S4" s="328"/>
      <c r="T4" s="329"/>
      <c r="U4" s="259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60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61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2.0960000000000001</v>
      </c>
      <c r="J26" s="361"/>
      <c r="K26" s="361">
        <v>2.0979999999999999</v>
      </c>
      <c r="L26" s="361"/>
      <c r="M26" s="361">
        <v>2.101</v>
      </c>
      <c r="N26" s="361"/>
      <c r="O26" s="361">
        <v>2.1059999999999999</v>
      </c>
      <c r="P26" s="361"/>
      <c r="Q26" s="361">
        <v>2.1</v>
      </c>
      <c r="R26" s="361"/>
      <c r="S26" s="361">
        <v>2.0979999999999999</v>
      </c>
      <c r="T26" s="361"/>
      <c r="U26" s="361">
        <v>2.101</v>
      </c>
      <c r="V26" s="361"/>
      <c r="W26" s="361">
        <v>2.1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2.0910000000000002</v>
      </c>
      <c r="J30" s="361"/>
      <c r="K30" s="361">
        <v>2.093</v>
      </c>
      <c r="L30" s="361"/>
      <c r="M30" s="361">
        <v>2.0960000000000001</v>
      </c>
      <c r="N30" s="361"/>
      <c r="O30" s="361">
        <v>2.101</v>
      </c>
      <c r="P30" s="361"/>
      <c r="Q30" s="361">
        <v>2.101</v>
      </c>
      <c r="R30" s="361"/>
      <c r="S30" s="361">
        <v>2.097</v>
      </c>
      <c r="T30" s="361"/>
      <c r="U30" s="361">
        <v>2.097</v>
      </c>
      <c r="V30" s="361"/>
      <c r="W30" s="361">
        <v>2.097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</v>
      </c>
      <c r="L32" s="314"/>
      <c r="M32" s="314">
        <v>11.02</v>
      </c>
      <c r="N32" s="314"/>
      <c r="O32" s="314">
        <v>11.04</v>
      </c>
      <c r="P32" s="314"/>
      <c r="Q32" s="314">
        <v>11.03</v>
      </c>
      <c r="R32" s="314"/>
      <c r="S32" s="314">
        <v>11.03</v>
      </c>
      <c r="T32" s="314"/>
      <c r="U32" s="314">
        <v>11</v>
      </c>
      <c r="V32" s="314"/>
      <c r="W32" s="314">
        <v>10.99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53" t="s">
        <v>89</v>
      </c>
      <c r="E34" s="254"/>
      <c r="F34" s="254"/>
      <c r="G34" s="254"/>
      <c r="H34" s="255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56" t="s">
        <v>90</v>
      </c>
      <c r="E35" s="257"/>
      <c r="F35" s="257"/>
      <c r="G35" s="257"/>
      <c r="H35" s="258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56" t="s">
        <v>69</v>
      </c>
      <c r="E37" s="257"/>
      <c r="F37" s="257"/>
      <c r="G37" s="257"/>
      <c r="H37" s="258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53" t="s">
        <v>71</v>
      </c>
      <c r="E38" s="254"/>
      <c r="F38" s="254"/>
      <c r="G38" s="254"/>
      <c r="H38" s="255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56" t="s">
        <v>72</v>
      </c>
      <c r="E39" s="257"/>
      <c r="F39" s="257"/>
      <c r="G39" s="257"/>
      <c r="H39" s="258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53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56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53" t="s">
        <v>75</v>
      </c>
      <c r="E42" s="250"/>
      <c r="F42" s="25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56" t="s">
        <v>76</v>
      </c>
      <c r="E43" s="252"/>
      <c r="F43" s="25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53" t="s">
        <v>77</v>
      </c>
      <c r="E44" s="250"/>
      <c r="F44" s="25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56" t="s">
        <v>78</v>
      </c>
      <c r="E45" s="252"/>
      <c r="F45" s="25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53" t="s">
        <v>79</v>
      </c>
      <c r="E46" s="254"/>
      <c r="F46" s="254"/>
      <c r="G46" s="254"/>
      <c r="H46" s="255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56" t="s">
        <v>80</v>
      </c>
      <c r="E47" s="257"/>
      <c r="F47" s="257"/>
      <c r="G47" s="257"/>
      <c r="H47" s="258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53" t="s">
        <v>81</v>
      </c>
      <c r="E48" s="254"/>
      <c r="F48" s="254"/>
      <c r="G48" s="254"/>
      <c r="H48" s="255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56" t="s">
        <v>82</v>
      </c>
      <c r="E49" s="257"/>
      <c r="F49" s="257"/>
      <c r="G49" s="257"/>
      <c r="H49" s="258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" priority="9" operator="greaterThan">
      <formula>$AA$28</formula>
    </cfRule>
    <cfRule type="cellIs" dxfId="28" priority="10" operator="lessThan">
      <formula>$AA$29</formula>
    </cfRule>
  </conditionalFormatting>
  <conditionalFormatting sqref="I32:X33">
    <cfRule type="cellIs" dxfId="27" priority="7" operator="greaterThan">
      <formula>$AA$32</formula>
    </cfRule>
    <cfRule type="cellIs" dxfId="26" priority="8" operator="lessThan">
      <formula>$AA$33</formula>
    </cfRule>
  </conditionalFormatting>
  <conditionalFormatting sqref="I30:X31">
    <cfRule type="cellIs" dxfId="25" priority="5" operator="greaterThan">
      <formula>$AA$30</formula>
    </cfRule>
    <cfRule type="cellIs" dxfId="24" priority="6" operator="lessThan">
      <formula>$AA$31</formula>
    </cfRule>
  </conditionalFormatting>
  <conditionalFormatting sqref="I26:X27">
    <cfRule type="cellIs" dxfId="23" priority="3" operator="greaterThan">
      <formula>$AA$26</formula>
    </cfRule>
    <cfRule type="cellIs" dxfId="22" priority="4" operator="lessThan">
      <formula>$AA$27</formula>
    </cfRule>
  </conditionalFormatting>
  <conditionalFormatting sqref="I32:X33">
    <cfRule type="cellIs" dxfId="21" priority="1" operator="greaterThan">
      <formula>$AA$32</formula>
    </cfRule>
    <cfRule type="cellIs" dxfId="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59" t="s">
        <v>2</v>
      </c>
      <c r="E2" s="42"/>
      <c r="F2" s="273" t="s">
        <v>93</v>
      </c>
      <c r="G2" s="273"/>
      <c r="H2" s="273"/>
      <c r="I2" s="273"/>
      <c r="J2" s="273"/>
      <c r="K2" s="274"/>
      <c r="L2" s="259" t="s">
        <v>4</v>
      </c>
      <c r="M2" s="273">
        <v>9</v>
      </c>
      <c r="N2" s="319"/>
      <c r="O2" s="259" t="s">
        <v>6</v>
      </c>
      <c r="P2" s="322" t="s">
        <v>83</v>
      </c>
      <c r="Q2" s="323"/>
      <c r="R2" s="323"/>
      <c r="S2" s="323"/>
      <c r="T2" s="323"/>
      <c r="U2" s="323"/>
      <c r="V2" s="324"/>
      <c r="W2" s="259" t="s">
        <v>34</v>
      </c>
      <c r="X2" s="32">
        <v>1</v>
      </c>
      <c r="Z2" s="34" t="s">
        <v>48</v>
      </c>
    </row>
    <row r="3" spans="1:26" ht="10" customHeight="1">
      <c r="A3" s="317" t="s">
        <v>1</v>
      </c>
      <c r="B3" s="318"/>
      <c r="C3" s="364"/>
      <c r="D3" s="260" t="s">
        <v>3</v>
      </c>
      <c r="E3" s="43"/>
      <c r="F3" s="275"/>
      <c r="G3" s="275"/>
      <c r="H3" s="275"/>
      <c r="I3" s="275"/>
      <c r="J3" s="275"/>
      <c r="K3" s="276"/>
      <c r="L3" s="260" t="s">
        <v>5</v>
      </c>
      <c r="M3" s="320"/>
      <c r="N3" s="321"/>
      <c r="O3" s="260" t="s">
        <v>7</v>
      </c>
      <c r="P3" s="325"/>
      <c r="Q3" s="325"/>
      <c r="R3" s="325"/>
      <c r="S3" s="325"/>
      <c r="T3" s="325"/>
      <c r="U3" s="325"/>
      <c r="V3" s="326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27" t="s">
        <v>128</v>
      </c>
      <c r="R4" s="328"/>
      <c r="S4" s="328"/>
      <c r="T4" s="329"/>
      <c r="U4" s="259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60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1</v>
      </c>
      <c r="J24" s="308"/>
      <c r="K24" s="308">
        <v>2</v>
      </c>
      <c r="L24" s="308"/>
      <c r="M24" s="308">
        <v>3</v>
      </c>
      <c r="N24" s="308"/>
      <c r="O24" s="308">
        <v>4</v>
      </c>
      <c r="P24" s="308"/>
      <c r="Q24" s="308">
        <v>5</v>
      </c>
      <c r="R24" s="308"/>
      <c r="S24" s="308">
        <v>6</v>
      </c>
      <c r="T24" s="308"/>
      <c r="U24" s="308">
        <v>7</v>
      </c>
      <c r="V24" s="308"/>
      <c r="W24" s="308">
        <v>8</v>
      </c>
      <c r="X24" s="308"/>
      <c r="Z24" s="50"/>
    </row>
    <row r="25" spans="1:28">
      <c r="A25" s="377" t="s">
        <v>15</v>
      </c>
      <c r="B25" s="378"/>
      <c r="C25" s="261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2.109</v>
      </c>
      <c r="J26" s="361"/>
      <c r="K26" s="361">
        <v>2.1</v>
      </c>
      <c r="L26" s="361"/>
      <c r="M26" s="361">
        <v>2.097</v>
      </c>
      <c r="N26" s="361"/>
      <c r="O26" s="361">
        <v>2.0990000000000002</v>
      </c>
      <c r="P26" s="361"/>
      <c r="Q26" s="361">
        <v>2.101</v>
      </c>
      <c r="R26" s="361"/>
      <c r="S26" s="361">
        <v>2.1080000000000001</v>
      </c>
      <c r="T26" s="361"/>
      <c r="U26" s="361">
        <v>2.1070000000000002</v>
      </c>
      <c r="V26" s="361"/>
      <c r="W26" s="361">
        <v>2.11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2.1040000000000001</v>
      </c>
      <c r="J30" s="361"/>
      <c r="K30" s="361">
        <v>2.0990000000000002</v>
      </c>
      <c r="L30" s="361"/>
      <c r="M30" s="361">
        <v>2.097</v>
      </c>
      <c r="N30" s="361"/>
      <c r="O30" s="361">
        <v>2.1040000000000001</v>
      </c>
      <c r="P30" s="361"/>
      <c r="Q30" s="361">
        <v>2.1040000000000001</v>
      </c>
      <c r="R30" s="361"/>
      <c r="S30" s="361">
        <v>2.0960000000000001</v>
      </c>
      <c r="T30" s="361"/>
      <c r="U30" s="361">
        <v>2.093</v>
      </c>
      <c r="V30" s="361"/>
      <c r="W30" s="361">
        <v>2.097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10.99</v>
      </c>
      <c r="J32" s="314"/>
      <c r="K32" s="314">
        <v>11</v>
      </c>
      <c r="L32" s="314"/>
      <c r="M32" s="314">
        <v>11.01</v>
      </c>
      <c r="N32" s="314"/>
      <c r="O32" s="314">
        <v>11.04</v>
      </c>
      <c r="P32" s="314"/>
      <c r="Q32" s="314">
        <v>11.04</v>
      </c>
      <c r="R32" s="314"/>
      <c r="S32" s="314">
        <v>11.02</v>
      </c>
      <c r="T32" s="314"/>
      <c r="U32" s="314">
        <v>11</v>
      </c>
      <c r="V32" s="314"/>
      <c r="W32" s="314">
        <v>11.01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53" t="s">
        <v>89</v>
      </c>
      <c r="E34" s="254"/>
      <c r="F34" s="254"/>
      <c r="G34" s="254"/>
      <c r="H34" s="255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56" t="s">
        <v>90</v>
      </c>
      <c r="E35" s="257"/>
      <c r="F35" s="257"/>
      <c r="G35" s="257"/>
      <c r="H35" s="258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56" t="s">
        <v>69</v>
      </c>
      <c r="E37" s="257"/>
      <c r="F37" s="257"/>
      <c r="G37" s="257"/>
      <c r="H37" s="258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53" t="s">
        <v>71</v>
      </c>
      <c r="E38" s="254"/>
      <c r="F38" s="254"/>
      <c r="G38" s="254"/>
      <c r="H38" s="255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56" t="s">
        <v>72</v>
      </c>
      <c r="E39" s="257"/>
      <c r="F39" s="257"/>
      <c r="G39" s="257"/>
      <c r="H39" s="258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53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56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53" t="s">
        <v>75</v>
      </c>
      <c r="E42" s="250"/>
      <c r="F42" s="25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56" t="s">
        <v>76</v>
      </c>
      <c r="E43" s="252"/>
      <c r="F43" s="25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53" t="s">
        <v>77</v>
      </c>
      <c r="E44" s="250"/>
      <c r="F44" s="25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56" t="s">
        <v>78</v>
      </c>
      <c r="E45" s="252"/>
      <c r="F45" s="25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53" t="s">
        <v>79</v>
      </c>
      <c r="E46" s="254"/>
      <c r="F46" s="254"/>
      <c r="G46" s="254"/>
      <c r="H46" s="255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56" t="s">
        <v>80</v>
      </c>
      <c r="E47" s="257"/>
      <c r="F47" s="257"/>
      <c r="G47" s="257"/>
      <c r="H47" s="258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53" t="s">
        <v>81</v>
      </c>
      <c r="E48" s="254"/>
      <c r="F48" s="254"/>
      <c r="G48" s="254"/>
      <c r="H48" s="255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56" t="s">
        <v>82</v>
      </c>
      <c r="E49" s="257"/>
      <c r="F49" s="257"/>
      <c r="G49" s="257"/>
      <c r="H49" s="258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" priority="9" operator="greaterThan">
      <formula>$AA$28</formula>
    </cfRule>
    <cfRule type="cellIs" dxfId="18" priority="10" operator="lessThan">
      <formula>$AA$29</formula>
    </cfRule>
  </conditionalFormatting>
  <conditionalFormatting sqref="I32:X33">
    <cfRule type="cellIs" dxfId="17" priority="7" operator="greaterThan">
      <formula>$AA$32</formula>
    </cfRule>
    <cfRule type="cellIs" dxfId="16" priority="8" operator="lessThan">
      <formula>$AA$33</formula>
    </cfRule>
  </conditionalFormatting>
  <conditionalFormatting sqref="I30:X31">
    <cfRule type="cellIs" dxfId="15" priority="5" operator="greaterThan">
      <formula>$AA$30</formula>
    </cfRule>
    <cfRule type="cellIs" dxfId="14" priority="6" operator="lessThan">
      <formula>$AA$31</formula>
    </cfRule>
  </conditionalFormatting>
  <conditionalFormatting sqref="I26:X27">
    <cfRule type="cellIs" dxfId="13" priority="3" operator="greaterThan">
      <formula>$AA$26</formula>
    </cfRule>
    <cfRule type="cellIs" dxfId="12" priority="4" operator="lessThan">
      <formula>$AA$27</formula>
    </cfRule>
  </conditionalFormatting>
  <conditionalFormatting sqref="I32:X33">
    <cfRule type="cellIs" dxfId="11" priority="1" operator="greaterThan">
      <formula>$AA$32</formula>
    </cfRule>
    <cfRule type="cellIs" dxfId="1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K26" sqref="K26:L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2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</row>
    <row r="2" spans="1:26" ht="13.5" customHeight="1">
      <c r="A2" s="315" t="s">
        <v>30</v>
      </c>
      <c r="B2" s="316"/>
      <c r="C2" s="360" t="s">
        <v>94</v>
      </c>
      <c r="D2" s="259" t="s">
        <v>2</v>
      </c>
      <c r="E2" s="42"/>
      <c r="F2" s="273" t="s">
        <v>93</v>
      </c>
      <c r="G2" s="273"/>
      <c r="H2" s="273"/>
      <c r="I2" s="273"/>
      <c r="J2" s="273"/>
      <c r="K2" s="274"/>
      <c r="L2" s="259" t="s">
        <v>4</v>
      </c>
      <c r="M2" s="273">
        <v>9</v>
      </c>
      <c r="N2" s="319"/>
      <c r="O2" s="259" t="s">
        <v>6</v>
      </c>
      <c r="P2" s="322" t="s">
        <v>83</v>
      </c>
      <c r="Q2" s="323"/>
      <c r="R2" s="323"/>
      <c r="S2" s="323"/>
      <c r="T2" s="323"/>
      <c r="U2" s="323"/>
      <c r="V2" s="324"/>
      <c r="W2" s="259" t="s">
        <v>34</v>
      </c>
      <c r="X2" s="32">
        <v>2</v>
      </c>
      <c r="Z2" s="34" t="s">
        <v>48</v>
      </c>
    </row>
    <row r="3" spans="1:26" ht="10" customHeight="1">
      <c r="A3" s="317" t="s">
        <v>1</v>
      </c>
      <c r="B3" s="318"/>
      <c r="C3" s="364"/>
      <c r="D3" s="260" t="s">
        <v>3</v>
      </c>
      <c r="E3" s="43"/>
      <c r="F3" s="275"/>
      <c r="G3" s="275"/>
      <c r="H3" s="275"/>
      <c r="I3" s="275"/>
      <c r="J3" s="275"/>
      <c r="K3" s="276"/>
      <c r="L3" s="260" t="s">
        <v>5</v>
      </c>
      <c r="M3" s="320"/>
      <c r="N3" s="321"/>
      <c r="O3" s="260" t="s">
        <v>7</v>
      </c>
      <c r="P3" s="325"/>
      <c r="Q3" s="325"/>
      <c r="R3" s="325"/>
      <c r="S3" s="325"/>
      <c r="T3" s="325"/>
      <c r="U3" s="325"/>
      <c r="V3" s="326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27" t="s">
        <v>128</v>
      </c>
      <c r="R4" s="328"/>
      <c r="S4" s="328"/>
      <c r="T4" s="329"/>
      <c r="U4" s="259" t="s">
        <v>11</v>
      </c>
      <c r="V4" s="7"/>
      <c r="W4" s="273">
        <v>3</v>
      </c>
      <c r="X4" s="319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30"/>
      <c r="R5" s="330"/>
      <c r="S5" s="330"/>
      <c r="T5" s="331"/>
      <c r="U5" s="260" t="s">
        <v>12</v>
      </c>
      <c r="V5" s="11"/>
      <c r="W5" s="320"/>
      <c r="X5" s="3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3" t="s">
        <v>36</v>
      </c>
      <c r="T6" s="344"/>
      <c r="U6" s="344"/>
      <c r="V6" s="344"/>
      <c r="W6" s="344"/>
      <c r="X6" s="29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6" t="s">
        <v>13</v>
      </c>
      <c r="T7" s="347"/>
      <c r="U7" s="347"/>
      <c r="V7" s="347"/>
      <c r="W7" s="347"/>
      <c r="X7" s="34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0" t="s">
        <v>93</v>
      </c>
      <c r="T8" s="311"/>
      <c r="U8" s="311"/>
      <c r="V8" s="312"/>
      <c r="W8" s="312"/>
      <c r="X8" s="31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9"/>
      <c r="T9" s="270"/>
      <c r="U9" s="270"/>
      <c r="V9" s="271"/>
      <c r="W9" s="271"/>
      <c r="X9" s="27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9"/>
      <c r="T10" s="270"/>
      <c r="U10" s="270"/>
      <c r="V10" s="271"/>
      <c r="W10" s="271"/>
      <c r="X10" s="27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9"/>
      <c r="T11" s="270"/>
      <c r="U11" s="270"/>
      <c r="V11" s="271"/>
      <c r="W11" s="271"/>
      <c r="X11" s="27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9"/>
      <c r="T12" s="270"/>
      <c r="U12" s="270"/>
      <c r="V12" s="271"/>
      <c r="W12" s="271"/>
      <c r="X12" s="27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9"/>
      <c r="T13" s="270"/>
      <c r="U13" s="270"/>
      <c r="V13" s="271"/>
      <c r="W13" s="271"/>
      <c r="X13" s="27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9"/>
      <c r="T14" s="307"/>
      <c r="U14" s="307"/>
      <c r="V14" s="387"/>
      <c r="W14" s="388"/>
      <c r="X14" s="3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9"/>
      <c r="T15" s="307"/>
      <c r="U15" s="307"/>
      <c r="V15" s="387"/>
      <c r="W15" s="388"/>
      <c r="X15" s="3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9"/>
      <c r="T16" s="307"/>
      <c r="U16" s="307"/>
      <c r="V16" s="387"/>
      <c r="W16" s="388"/>
      <c r="X16" s="3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9"/>
      <c r="T17" s="307"/>
      <c r="U17" s="307"/>
      <c r="V17" s="387"/>
      <c r="W17" s="388"/>
      <c r="X17" s="3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9"/>
      <c r="T18" s="307"/>
      <c r="U18" s="307"/>
      <c r="V18" s="387"/>
      <c r="W18" s="388"/>
      <c r="X18" s="3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9"/>
      <c r="T19" s="307"/>
      <c r="U19" s="307"/>
      <c r="V19" s="387"/>
      <c r="W19" s="388"/>
      <c r="X19" s="3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9"/>
      <c r="T20" s="307"/>
      <c r="U20" s="307"/>
      <c r="V20" s="387"/>
      <c r="W20" s="388"/>
      <c r="X20" s="3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9"/>
      <c r="T21" s="307"/>
      <c r="U21" s="307"/>
      <c r="V21" s="390"/>
      <c r="W21" s="391"/>
      <c r="X21" s="364"/>
    </row>
    <row r="22" spans="1:28" ht="12.75" customHeight="1">
      <c r="A22" s="343" t="s">
        <v>35</v>
      </c>
      <c r="B22" s="365"/>
      <c r="C22" s="366"/>
      <c r="D22" s="371" t="s">
        <v>40</v>
      </c>
      <c r="E22" s="372"/>
      <c r="F22" s="372"/>
      <c r="G22" s="37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3"/>
      <c r="W22" s="369" t="s">
        <v>37</v>
      </c>
      <c r="X22" s="370"/>
      <c r="Z22" s="52" t="s">
        <v>53</v>
      </c>
    </row>
    <row r="23" spans="1:28" ht="11.25" customHeight="1">
      <c r="A23" s="346" t="s">
        <v>14</v>
      </c>
      <c r="B23" s="367"/>
      <c r="C23" s="368"/>
      <c r="D23" s="373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5"/>
      <c r="W23" s="346" t="s">
        <v>50</v>
      </c>
      <c r="X23" s="368"/>
      <c r="Z23" s="51" t="s">
        <v>54</v>
      </c>
    </row>
    <row r="24" spans="1:28" ht="14.25" customHeight="1">
      <c r="A24" s="343" t="s">
        <v>29</v>
      </c>
      <c r="B24" s="376"/>
      <c r="C24" s="33" t="s">
        <v>16</v>
      </c>
      <c r="D24" s="379" t="s">
        <v>38</v>
      </c>
      <c r="E24" s="380"/>
      <c r="F24" s="380"/>
      <c r="G24" s="380"/>
      <c r="H24" s="381"/>
      <c r="I24" s="308">
        <v>9</v>
      </c>
      <c r="J24" s="308"/>
      <c r="K24" s="308">
        <v>10</v>
      </c>
      <c r="L24" s="308"/>
      <c r="M24" s="308">
        <v>11</v>
      </c>
      <c r="N24" s="308"/>
      <c r="O24" s="308">
        <v>12</v>
      </c>
      <c r="P24" s="308"/>
      <c r="Q24" s="308">
        <v>13</v>
      </c>
      <c r="R24" s="308"/>
      <c r="S24" s="308">
        <v>14</v>
      </c>
      <c r="T24" s="308"/>
      <c r="U24" s="308">
        <v>15</v>
      </c>
      <c r="V24" s="308"/>
      <c r="W24" s="308">
        <v>16</v>
      </c>
      <c r="X24" s="308"/>
      <c r="Z24" s="50"/>
    </row>
    <row r="25" spans="1:28">
      <c r="A25" s="377" t="s">
        <v>15</v>
      </c>
      <c r="B25" s="378"/>
      <c r="C25" s="261" t="s">
        <v>46</v>
      </c>
      <c r="D25" s="382" t="s">
        <v>41</v>
      </c>
      <c r="E25" s="383"/>
      <c r="F25" s="383"/>
      <c r="G25" s="383"/>
      <c r="H25" s="384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Z25" s="262" t="s">
        <v>51</v>
      </c>
    </row>
    <row r="26" spans="1:28" s="19" customFormat="1" ht="10" customHeight="1">
      <c r="A26" s="281" t="s">
        <v>55</v>
      </c>
      <c r="B26" s="281"/>
      <c r="C26" s="283" t="s">
        <v>84</v>
      </c>
      <c r="D26" s="262" t="s">
        <v>51</v>
      </c>
      <c r="E26" s="264">
        <v>2.08</v>
      </c>
      <c r="F26" s="265"/>
      <c r="G26" s="52" t="s">
        <v>53</v>
      </c>
      <c r="H26" s="44">
        <v>0.05</v>
      </c>
      <c r="I26" s="361">
        <v>2.1</v>
      </c>
      <c r="J26" s="361"/>
      <c r="K26" s="361">
        <v>2.105</v>
      </c>
      <c r="L26" s="361"/>
      <c r="M26" s="361">
        <v>2.101</v>
      </c>
      <c r="N26" s="361"/>
      <c r="O26" s="361">
        <v>2.1030000000000002</v>
      </c>
      <c r="P26" s="361"/>
      <c r="Q26" s="361">
        <v>2.101</v>
      </c>
      <c r="R26" s="361"/>
      <c r="S26" s="361">
        <v>2.0990000000000002</v>
      </c>
      <c r="T26" s="361"/>
      <c r="U26" s="361">
        <v>2.1019999999999999</v>
      </c>
      <c r="V26" s="361"/>
      <c r="W26" s="361">
        <v>2.1040000000000001</v>
      </c>
      <c r="X26" s="361"/>
      <c r="Z26" s="263"/>
      <c r="AA26" s="46">
        <f>E26+H26</f>
        <v>2.13</v>
      </c>
      <c r="AB26" s="56">
        <v>26</v>
      </c>
    </row>
    <row r="27" spans="1:28" s="19" customFormat="1" ht="10" customHeight="1">
      <c r="A27" s="282"/>
      <c r="B27" s="282"/>
      <c r="C27" s="301"/>
      <c r="D27" s="263"/>
      <c r="E27" s="266"/>
      <c r="F27" s="266"/>
      <c r="G27" s="51" t="s">
        <v>54</v>
      </c>
      <c r="H27" s="48">
        <v>0.05</v>
      </c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AA27" s="46">
        <f>E26-H27</f>
        <v>2.0300000000000002</v>
      </c>
      <c r="AB27" s="56">
        <v>27</v>
      </c>
    </row>
    <row r="28" spans="1:28" s="19" customFormat="1" ht="10" customHeight="1">
      <c r="A28" s="281" t="s">
        <v>56</v>
      </c>
      <c r="B28" s="281"/>
      <c r="C28" s="283" t="s">
        <v>85</v>
      </c>
      <c r="D28" s="262" t="s">
        <v>51</v>
      </c>
      <c r="E28" s="264">
        <v>1.97</v>
      </c>
      <c r="F28" s="265"/>
      <c r="G28" s="52" t="s">
        <v>53</v>
      </c>
      <c r="H28" s="44">
        <v>0.05</v>
      </c>
      <c r="I28" s="361">
        <v>1.99</v>
      </c>
      <c r="J28" s="361"/>
      <c r="K28" s="361">
        <v>1.99</v>
      </c>
      <c r="L28" s="361"/>
      <c r="M28" s="361">
        <v>1.99</v>
      </c>
      <c r="N28" s="361"/>
      <c r="O28" s="361">
        <v>1.99</v>
      </c>
      <c r="P28" s="361"/>
      <c r="Q28" s="361">
        <v>1.99</v>
      </c>
      <c r="R28" s="361"/>
      <c r="S28" s="361">
        <v>1.99</v>
      </c>
      <c r="T28" s="361"/>
      <c r="U28" s="361">
        <v>1.99</v>
      </c>
      <c r="V28" s="361"/>
      <c r="W28" s="361">
        <v>1.99</v>
      </c>
      <c r="X28" s="361"/>
      <c r="AA28" s="46">
        <f>E28+H28</f>
        <v>2.02</v>
      </c>
      <c r="AB28" s="56">
        <v>28</v>
      </c>
    </row>
    <row r="29" spans="1:28" s="19" customFormat="1" ht="10" customHeight="1">
      <c r="A29" s="282"/>
      <c r="B29" s="282"/>
      <c r="C29" s="301"/>
      <c r="D29" s="263"/>
      <c r="E29" s="266"/>
      <c r="F29" s="266"/>
      <c r="G29" s="51" t="s">
        <v>54</v>
      </c>
      <c r="H29" s="48">
        <v>0.05</v>
      </c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AA29" s="46">
        <f>E28-H29</f>
        <v>1.92</v>
      </c>
      <c r="AB29" s="56">
        <v>29</v>
      </c>
    </row>
    <row r="30" spans="1:28" s="19" customFormat="1" ht="10" customHeight="1">
      <c r="A30" s="281" t="s">
        <v>57</v>
      </c>
      <c r="B30" s="281"/>
      <c r="C30" s="283" t="s">
        <v>84</v>
      </c>
      <c r="D30" s="262" t="s">
        <v>51</v>
      </c>
      <c r="E30" s="264">
        <v>2.08</v>
      </c>
      <c r="F30" s="265"/>
      <c r="G30" s="52" t="s">
        <v>53</v>
      </c>
      <c r="H30" s="44">
        <v>0.05</v>
      </c>
      <c r="I30" s="361">
        <v>2.0880000000000001</v>
      </c>
      <c r="J30" s="361"/>
      <c r="K30" s="361">
        <v>2.0939999999999999</v>
      </c>
      <c r="L30" s="361"/>
      <c r="M30" s="361">
        <v>2.0990000000000002</v>
      </c>
      <c r="N30" s="361"/>
      <c r="O30" s="361">
        <v>2.101</v>
      </c>
      <c r="P30" s="361"/>
      <c r="Q30" s="361">
        <v>2.0990000000000002</v>
      </c>
      <c r="R30" s="361"/>
      <c r="S30" s="361">
        <v>2.0960000000000001</v>
      </c>
      <c r="T30" s="361"/>
      <c r="U30" s="361">
        <v>2.0960000000000001</v>
      </c>
      <c r="V30" s="361"/>
      <c r="W30" s="361">
        <v>2.0960000000000001</v>
      </c>
      <c r="X30" s="361"/>
      <c r="AA30" s="46">
        <f>E30+H30</f>
        <v>2.13</v>
      </c>
      <c r="AB30" s="56">
        <v>30</v>
      </c>
    </row>
    <row r="31" spans="1:28" s="19" customFormat="1" ht="10" customHeight="1">
      <c r="A31" s="282"/>
      <c r="B31" s="282"/>
      <c r="C31" s="301"/>
      <c r="D31" s="263"/>
      <c r="E31" s="266"/>
      <c r="F31" s="266"/>
      <c r="G31" s="51" t="s">
        <v>54</v>
      </c>
      <c r="H31" s="48">
        <v>0.05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AA31" s="46">
        <f>E30-H31</f>
        <v>2.0300000000000002</v>
      </c>
      <c r="AB31" s="56">
        <v>31</v>
      </c>
    </row>
    <row r="32" spans="1:28" s="19" customFormat="1" ht="10" customHeight="1">
      <c r="A32" s="281" t="s">
        <v>58</v>
      </c>
      <c r="B32" s="281"/>
      <c r="C32" s="283" t="s">
        <v>86</v>
      </c>
      <c r="D32" s="262" t="s">
        <v>51</v>
      </c>
      <c r="E32" s="264">
        <v>10.92</v>
      </c>
      <c r="F32" s="265"/>
      <c r="G32" s="52" t="s">
        <v>53</v>
      </c>
      <c r="H32" s="44">
        <v>0.13</v>
      </c>
      <c r="I32" s="314">
        <v>11</v>
      </c>
      <c r="J32" s="314"/>
      <c r="K32" s="314">
        <v>11.01</v>
      </c>
      <c r="L32" s="314"/>
      <c r="M32" s="314">
        <v>11.02</v>
      </c>
      <c r="N32" s="314"/>
      <c r="O32" s="314">
        <v>11.04</v>
      </c>
      <c r="P32" s="314"/>
      <c r="Q32" s="314">
        <v>11.04</v>
      </c>
      <c r="R32" s="314"/>
      <c r="S32" s="314">
        <v>11.04</v>
      </c>
      <c r="T32" s="314"/>
      <c r="U32" s="314">
        <v>11.01</v>
      </c>
      <c r="V32" s="314"/>
      <c r="W32" s="314">
        <v>11.02</v>
      </c>
      <c r="X32" s="314"/>
      <c r="AA32" s="46">
        <f>E32+H32</f>
        <v>11.05</v>
      </c>
      <c r="AB32" s="56">
        <v>32</v>
      </c>
    </row>
    <row r="33" spans="1:28" s="19" customFormat="1" ht="10" customHeight="1">
      <c r="A33" s="282"/>
      <c r="B33" s="282"/>
      <c r="C33" s="301"/>
      <c r="D33" s="263"/>
      <c r="E33" s="266"/>
      <c r="F33" s="266"/>
      <c r="G33" s="51" t="s">
        <v>54</v>
      </c>
      <c r="H33" s="48">
        <v>0.13</v>
      </c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AA33" s="46">
        <f>E32-H33</f>
        <v>10.79</v>
      </c>
      <c r="AB33" s="56">
        <v>33</v>
      </c>
    </row>
    <row r="34" spans="1:28" s="19" customFormat="1" ht="10" customHeight="1">
      <c r="A34" s="281" t="s">
        <v>59</v>
      </c>
      <c r="B34" s="281"/>
      <c r="C34" s="267" t="s">
        <v>88</v>
      </c>
      <c r="D34" s="253" t="s">
        <v>89</v>
      </c>
      <c r="E34" s="254"/>
      <c r="F34" s="254"/>
      <c r="G34" s="254"/>
      <c r="H34" s="255"/>
      <c r="I34" s="280" t="s">
        <v>97</v>
      </c>
      <c r="J34" s="280"/>
      <c r="K34" s="280" t="s">
        <v>97</v>
      </c>
      <c r="L34" s="280"/>
      <c r="M34" s="280" t="s">
        <v>97</v>
      </c>
      <c r="N34" s="280"/>
      <c r="O34" s="280" t="s">
        <v>97</v>
      </c>
      <c r="P34" s="280"/>
      <c r="Q34" s="280" t="s">
        <v>97</v>
      </c>
      <c r="R34" s="280"/>
      <c r="S34" s="280" t="s">
        <v>97</v>
      </c>
      <c r="T34" s="280"/>
      <c r="U34" s="280" t="s">
        <v>97</v>
      </c>
      <c r="V34" s="280"/>
      <c r="W34" s="280" t="s">
        <v>97</v>
      </c>
      <c r="X34" s="280"/>
      <c r="AA34" s="47"/>
      <c r="AB34" s="56">
        <v>34</v>
      </c>
    </row>
    <row r="35" spans="1:28" s="19" customFormat="1" ht="10" customHeight="1">
      <c r="A35" s="282"/>
      <c r="B35" s="282"/>
      <c r="C35" s="268"/>
      <c r="D35" s="256" t="s">
        <v>90</v>
      </c>
      <c r="E35" s="257"/>
      <c r="F35" s="257"/>
      <c r="G35" s="257"/>
      <c r="H35" s="258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AA35" s="47"/>
      <c r="AB35" s="56">
        <v>35</v>
      </c>
    </row>
    <row r="36" spans="1:28" s="20" customFormat="1" ht="10" customHeight="1">
      <c r="A36" s="281" t="s">
        <v>60</v>
      </c>
      <c r="B36" s="281"/>
      <c r="C36" s="31" t="s">
        <v>64</v>
      </c>
      <c r="D36" s="57" t="s">
        <v>70</v>
      </c>
      <c r="E36" s="53"/>
      <c r="F36" s="53"/>
      <c r="G36" s="53"/>
      <c r="H36" s="37"/>
      <c r="I36" s="280" t="s">
        <v>97</v>
      </c>
      <c r="J36" s="280"/>
      <c r="K36" s="280" t="s">
        <v>97</v>
      </c>
      <c r="L36" s="280"/>
      <c r="M36" s="280" t="s">
        <v>97</v>
      </c>
      <c r="N36" s="280"/>
      <c r="O36" s="280" t="s">
        <v>97</v>
      </c>
      <c r="P36" s="280"/>
      <c r="Q36" s="280" t="s">
        <v>97</v>
      </c>
      <c r="R36" s="280"/>
      <c r="S36" s="280" t="s">
        <v>97</v>
      </c>
      <c r="T36" s="280"/>
      <c r="U36" s="280" t="s">
        <v>97</v>
      </c>
      <c r="V36" s="280"/>
      <c r="W36" s="280" t="s">
        <v>97</v>
      </c>
      <c r="X36" s="280"/>
      <c r="AA36" s="45"/>
      <c r="AB36" s="56">
        <v>36</v>
      </c>
    </row>
    <row r="37" spans="1:28" s="20" customFormat="1" ht="10" customHeight="1">
      <c r="A37" s="282"/>
      <c r="B37" s="282"/>
      <c r="C37" s="30" t="s">
        <v>65</v>
      </c>
      <c r="D37" s="256" t="s">
        <v>69</v>
      </c>
      <c r="E37" s="257"/>
      <c r="F37" s="257"/>
      <c r="G37" s="257"/>
      <c r="H37" s="258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AA37" s="45"/>
      <c r="AB37" s="56">
        <v>37</v>
      </c>
    </row>
    <row r="38" spans="1:28" s="20" customFormat="1" ht="10" customHeight="1">
      <c r="A38" s="281" t="s">
        <v>87</v>
      </c>
      <c r="B38" s="281"/>
      <c r="C38" s="31" t="s">
        <v>66</v>
      </c>
      <c r="D38" s="253" t="s">
        <v>71</v>
      </c>
      <c r="E38" s="254"/>
      <c r="F38" s="254"/>
      <c r="G38" s="254"/>
      <c r="H38" s="255"/>
      <c r="I38" s="280" t="s">
        <v>99</v>
      </c>
      <c r="J38" s="280"/>
      <c r="K38" s="280" t="s">
        <v>99</v>
      </c>
      <c r="L38" s="280"/>
      <c r="M38" s="280" t="s">
        <v>99</v>
      </c>
      <c r="N38" s="280"/>
      <c r="O38" s="280" t="s">
        <v>99</v>
      </c>
      <c r="P38" s="280"/>
      <c r="Q38" s="280" t="s">
        <v>99</v>
      </c>
      <c r="R38" s="280"/>
      <c r="S38" s="280" t="s">
        <v>99</v>
      </c>
      <c r="T38" s="280"/>
      <c r="U38" s="280" t="s">
        <v>99</v>
      </c>
      <c r="V38" s="280"/>
      <c r="W38" s="280" t="s">
        <v>99</v>
      </c>
      <c r="X38" s="280"/>
      <c r="AA38" s="45"/>
      <c r="AB38" s="56">
        <v>38</v>
      </c>
    </row>
    <row r="39" spans="1:28" s="20" customFormat="1" ht="10" customHeight="1">
      <c r="A39" s="282"/>
      <c r="B39" s="282"/>
      <c r="C39" s="30" t="s">
        <v>65</v>
      </c>
      <c r="D39" s="256" t="s">
        <v>72</v>
      </c>
      <c r="E39" s="257"/>
      <c r="F39" s="257"/>
      <c r="G39" s="257"/>
      <c r="H39" s="258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AA39" s="45"/>
      <c r="AB39" s="56">
        <v>39</v>
      </c>
    </row>
    <row r="40" spans="1:28" s="20" customFormat="1" ht="10" customHeight="1">
      <c r="A40" s="281" t="s">
        <v>61</v>
      </c>
      <c r="B40" s="281"/>
      <c r="C40" s="31" t="s">
        <v>66</v>
      </c>
      <c r="D40" s="253" t="s">
        <v>73</v>
      </c>
      <c r="E40" s="54"/>
      <c r="F40" s="54"/>
      <c r="G40" s="54"/>
      <c r="H40" s="38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AA40" s="45"/>
      <c r="AB40" s="56">
        <v>40</v>
      </c>
    </row>
    <row r="41" spans="1:28" s="20" customFormat="1" ht="10" customHeight="1">
      <c r="A41" s="282"/>
      <c r="B41" s="282"/>
      <c r="C41" s="30" t="s">
        <v>65</v>
      </c>
      <c r="D41" s="256" t="s">
        <v>74</v>
      </c>
      <c r="E41" s="55"/>
      <c r="F41" s="55"/>
      <c r="G41" s="55"/>
      <c r="H41" s="3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AA41" s="45"/>
      <c r="AB41" s="56"/>
    </row>
    <row r="42" spans="1:28" s="20" customFormat="1" ht="10" customHeight="1">
      <c r="A42" s="281" t="s">
        <v>62</v>
      </c>
      <c r="B42" s="281"/>
      <c r="C42" s="267" t="s">
        <v>67</v>
      </c>
      <c r="D42" s="253" t="s">
        <v>75</v>
      </c>
      <c r="E42" s="250"/>
      <c r="F42" s="251"/>
      <c r="G42" s="52"/>
      <c r="H42" s="44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AA42" s="45"/>
      <c r="AB42" s="56"/>
    </row>
    <row r="43" spans="1:28" s="20" customFormat="1" ht="10" customHeight="1">
      <c r="A43" s="282"/>
      <c r="B43" s="282"/>
      <c r="C43" s="396"/>
      <c r="D43" s="256" t="s">
        <v>76</v>
      </c>
      <c r="E43" s="252"/>
      <c r="F43" s="252"/>
      <c r="G43" s="51"/>
      <c r="H43" s="48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AA43" s="45"/>
      <c r="AB43" s="56"/>
    </row>
    <row r="44" spans="1:28" s="20" customFormat="1" ht="10" customHeight="1">
      <c r="A44" s="281" t="s">
        <v>63</v>
      </c>
      <c r="B44" s="281"/>
      <c r="C44" s="267" t="s">
        <v>67</v>
      </c>
      <c r="D44" s="253" t="s">
        <v>77</v>
      </c>
      <c r="E44" s="250"/>
      <c r="F44" s="251"/>
      <c r="G44" s="52"/>
      <c r="H44" s="44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AA44" s="45"/>
      <c r="AB44" s="56"/>
    </row>
    <row r="45" spans="1:28" s="20" customFormat="1" ht="10" customHeight="1">
      <c r="A45" s="282"/>
      <c r="B45" s="282"/>
      <c r="C45" s="268"/>
      <c r="D45" s="256" t="s">
        <v>78</v>
      </c>
      <c r="E45" s="252"/>
      <c r="F45" s="252"/>
      <c r="G45" s="51"/>
      <c r="H45" s="48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AA45" s="45"/>
      <c r="AB45" s="56"/>
    </row>
    <row r="46" spans="1:28" s="20" customFormat="1" ht="10" customHeight="1">
      <c r="A46" s="281" t="s">
        <v>92</v>
      </c>
      <c r="B46" s="281"/>
      <c r="C46" s="267" t="s">
        <v>67</v>
      </c>
      <c r="D46" s="253" t="s">
        <v>79</v>
      </c>
      <c r="E46" s="254"/>
      <c r="F46" s="254"/>
      <c r="G46" s="254"/>
      <c r="H46" s="255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AA46" s="45"/>
      <c r="AB46" s="56"/>
    </row>
    <row r="47" spans="1:28" s="20" customFormat="1" ht="10" customHeight="1">
      <c r="A47" s="282"/>
      <c r="B47" s="282"/>
      <c r="C47" s="268"/>
      <c r="D47" s="256" t="s">
        <v>80</v>
      </c>
      <c r="E47" s="257"/>
      <c r="F47" s="257"/>
      <c r="G47" s="257"/>
      <c r="H47" s="258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AA47" s="45"/>
      <c r="AB47" s="56"/>
    </row>
    <row r="48" spans="1:28" s="20" customFormat="1" ht="10" customHeight="1">
      <c r="A48" s="281" t="s">
        <v>91</v>
      </c>
      <c r="B48" s="281"/>
      <c r="C48" s="283" t="s">
        <v>68</v>
      </c>
      <c r="D48" s="253" t="s">
        <v>81</v>
      </c>
      <c r="E48" s="254"/>
      <c r="F48" s="254"/>
      <c r="G48" s="254"/>
      <c r="H48" s="255"/>
      <c r="I48" s="280" t="s">
        <v>99</v>
      </c>
      <c r="J48" s="280"/>
      <c r="K48" s="280" t="s">
        <v>99</v>
      </c>
      <c r="L48" s="280"/>
      <c r="M48" s="280" t="s">
        <v>99</v>
      </c>
      <c r="N48" s="280"/>
      <c r="O48" s="280" t="s">
        <v>99</v>
      </c>
      <c r="P48" s="280"/>
      <c r="Q48" s="280" t="s">
        <v>99</v>
      </c>
      <c r="R48" s="280"/>
      <c r="S48" s="280" t="s">
        <v>99</v>
      </c>
      <c r="T48" s="280"/>
      <c r="U48" s="280" t="s">
        <v>99</v>
      </c>
      <c r="V48" s="280"/>
      <c r="W48" s="280" t="s">
        <v>99</v>
      </c>
      <c r="X48" s="280"/>
      <c r="AA48" s="45"/>
      <c r="AB48" s="56"/>
    </row>
    <row r="49" spans="1:28" s="20" customFormat="1" ht="10" customHeight="1">
      <c r="A49" s="282"/>
      <c r="B49" s="282"/>
      <c r="C49" s="284"/>
      <c r="D49" s="256" t="s">
        <v>82</v>
      </c>
      <c r="E49" s="257"/>
      <c r="F49" s="257"/>
      <c r="G49" s="257"/>
      <c r="H49" s="258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AA49" s="45"/>
      <c r="AB49" s="56"/>
    </row>
    <row r="50" spans="1:28" s="20" customFormat="1" ht="10" customHeight="1">
      <c r="A50" s="281"/>
      <c r="B50" s="281"/>
      <c r="C50" s="40"/>
      <c r="D50" s="291"/>
      <c r="E50" s="292"/>
      <c r="F50" s="292"/>
      <c r="G50" s="292"/>
      <c r="H50" s="293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AA50" s="45"/>
      <c r="AB50" s="56"/>
    </row>
    <row r="51" spans="1:28" s="20" customFormat="1" ht="10" customHeight="1">
      <c r="A51" s="282"/>
      <c r="B51" s="282"/>
      <c r="C51" s="41"/>
      <c r="D51" s="298"/>
      <c r="E51" s="299"/>
      <c r="F51" s="299"/>
      <c r="G51" s="299"/>
      <c r="H51" s="30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AA51" s="45"/>
      <c r="AB51" s="56"/>
    </row>
    <row r="52" spans="1:28" s="20" customFormat="1" ht="10" customHeight="1">
      <c r="A52" s="281"/>
      <c r="B52" s="281"/>
      <c r="C52" s="283"/>
      <c r="D52" s="291"/>
      <c r="E52" s="292"/>
      <c r="F52" s="292"/>
      <c r="G52" s="292"/>
      <c r="H52" s="293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AA52" s="45"/>
      <c r="AB52" s="56"/>
    </row>
    <row r="53" spans="1:28" s="20" customFormat="1" ht="10" customHeight="1">
      <c r="A53" s="282"/>
      <c r="B53" s="282"/>
      <c r="C53" s="301"/>
      <c r="D53" s="298"/>
      <c r="E53" s="299"/>
      <c r="F53" s="299"/>
      <c r="G53" s="299"/>
      <c r="H53" s="30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AA53" s="45"/>
      <c r="AB53" s="56"/>
    </row>
    <row r="54" spans="1:28" s="20" customFormat="1" ht="10" customHeight="1">
      <c r="A54" s="281"/>
      <c r="B54" s="281"/>
      <c r="C54" s="283"/>
      <c r="D54" s="262"/>
      <c r="E54" s="277"/>
      <c r="F54" s="278"/>
      <c r="G54" s="52"/>
      <c r="H54" s="44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AA54" s="45"/>
      <c r="AB54" s="56"/>
    </row>
    <row r="55" spans="1:28" s="20" customFormat="1" ht="10" customHeight="1">
      <c r="A55" s="282"/>
      <c r="B55" s="282"/>
      <c r="C55" s="301"/>
      <c r="D55" s="263"/>
      <c r="E55" s="279"/>
      <c r="F55" s="279"/>
      <c r="G55" s="51"/>
      <c r="H55" s="48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AA55" s="45"/>
      <c r="AB55" s="56"/>
    </row>
    <row r="56" spans="1:28" s="20" customFormat="1" ht="10" customHeight="1">
      <c r="A56" s="281"/>
      <c r="B56" s="281"/>
      <c r="C56" s="283"/>
      <c r="D56" s="262"/>
      <c r="E56" s="277"/>
      <c r="F56" s="278"/>
      <c r="G56" s="52"/>
      <c r="H56" s="44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AA56" s="45"/>
      <c r="AB56" s="56"/>
    </row>
    <row r="57" spans="1:28" s="20" customFormat="1" ht="10" customHeight="1">
      <c r="A57" s="282"/>
      <c r="B57" s="282"/>
      <c r="C57" s="301"/>
      <c r="D57" s="263"/>
      <c r="E57" s="279"/>
      <c r="F57" s="279"/>
      <c r="G57" s="51"/>
      <c r="H57" s="48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AA57" s="45"/>
      <c r="AB57" s="56"/>
    </row>
    <row r="58" spans="1:28" s="20" customFormat="1" ht="10" customHeight="1">
      <c r="A58" s="281"/>
      <c r="B58" s="281"/>
      <c r="C58" s="40"/>
      <c r="D58" s="291"/>
      <c r="E58" s="292"/>
      <c r="F58" s="292"/>
      <c r="G58" s="292"/>
      <c r="H58" s="293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AA58" s="45"/>
      <c r="AB58" s="56"/>
    </row>
    <row r="59" spans="1:28" s="20" customFormat="1" ht="10" customHeight="1">
      <c r="A59" s="282"/>
      <c r="B59" s="282"/>
      <c r="C59" s="41"/>
      <c r="D59" s="298"/>
      <c r="E59" s="299"/>
      <c r="F59" s="299"/>
      <c r="G59" s="299"/>
      <c r="H59" s="30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AA59" s="45"/>
      <c r="AB59" s="56"/>
    </row>
    <row r="60" spans="1:28" s="20" customFormat="1" ht="10" customHeight="1">
      <c r="A60" s="281"/>
      <c r="B60" s="281"/>
      <c r="C60" s="283"/>
      <c r="D60" s="291"/>
      <c r="E60" s="292"/>
      <c r="F60" s="292"/>
      <c r="G60" s="292"/>
      <c r="H60" s="293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AA60" s="45"/>
      <c r="AB60" s="56"/>
    </row>
    <row r="61" spans="1:28" s="20" customFormat="1" ht="10" customHeight="1">
      <c r="A61" s="282"/>
      <c r="B61" s="282"/>
      <c r="C61" s="301"/>
      <c r="D61" s="298"/>
      <c r="E61" s="299"/>
      <c r="F61" s="299"/>
      <c r="G61" s="299"/>
      <c r="H61" s="30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AA61" s="45"/>
      <c r="AB61" s="56"/>
    </row>
    <row r="62" spans="1:28" s="20" customFormat="1" ht="10" customHeight="1">
      <c r="A62" s="281"/>
      <c r="B62" s="281"/>
      <c r="C62" s="283"/>
      <c r="D62" s="291"/>
      <c r="E62" s="292"/>
      <c r="F62" s="292"/>
      <c r="G62" s="292"/>
      <c r="H62" s="293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AA62" s="45"/>
      <c r="AB62" s="56"/>
    </row>
    <row r="63" spans="1:28" s="20" customFormat="1" ht="10" customHeight="1">
      <c r="A63" s="282"/>
      <c r="B63" s="282"/>
      <c r="C63" s="301"/>
      <c r="D63" s="298"/>
      <c r="E63" s="299"/>
      <c r="F63" s="299"/>
      <c r="G63" s="299"/>
      <c r="H63" s="30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AA63" s="45"/>
      <c r="AB63" s="56"/>
    </row>
    <row r="64" spans="1:28" s="20" customFormat="1" ht="10" customHeight="1">
      <c r="A64" s="353"/>
      <c r="B64" s="354"/>
      <c r="C64" s="357"/>
      <c r="D64" s="359"/>
      <c r="E64" s="277"/>
      <c r="F64" s="277"/>
      <c r="G64" s="277"/>
      <c r="H64" s="36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AA64" s="45"/>
      <c r="AB64" s="56"/>
    </row>
    <row r="65" spans="1:28" s="20" customFormat="1" ht="10" customHeight="1" thickBot="1">
      <c r="A65" s="355"/>
      <c r="B65" s="356"/>
      <c r="C65" s="358"/>
      <c r="D65" s="349"/>
      <c r="E65" s="350"/>
      <c r="F65" s="350"/>
      <c r="G65" s="350"/>
      <c r="H65" s="351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AA65" s="45"/>
      <c r="AB65" s="56"/>
    </row>
    <row r="66" spans="1:28" ht="12.75" customHeight="1" thickTop="1">
      <c r="A66" s="333" t="s">
        <v>42</v>
      </c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5"/>
      <c r="Q66" s="303"/>
      <c r="R66" s="304"/>
      <c r="S66" s="303"/>
      <c r="T66" s="304"/>
      <c r="U66" s="303"/>
      <c r="V66" s="304"/>
      <c r="W66" s="303"/>
      <c r="X66" s="304"/>
    </row>
    <row r="67" spans="1:28" ht="9.75" customHeight="1">
      <c r="A67" s="336" t="s">
        <v>43</v>
      </c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8"/>
      <c r="Q67" s="305"/>
      <c r="R67" s="306"/>
      <c r="S67" s="305"/>
      <c r="T67" s="306"/>
      <c r="U67" s="305"/>
      <c r="V67" s="306"/>
      <c r="W67" s="305"/>
      <c r="X67" s="306"/>
    </row>
    <row r="68" spans="1:28" ht="12.75" customHeight="1">
      <c r="A68" s="288" t="s">
        <v>39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90"/>
      <c r="Q68" s="294"/>
      <c r="R68" s="295"/>
      <c r="S68" s="294"/>
      <c r="T68" s="295"/>
      <c r="U68" s="294"/>
      <c r="V68" s="295"/>
      <c r="W68" s="294"/>
      <c r="X68" s="295"/>
    </row>
    <row r="69" spans="1:28" ht="9.75" customHeight="1">
      <c r="A69" s="285" t="s">
        <v>44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7"/>
      <c r="Q69" s="296"/>
      <c r="R69" s="297"/>
      <c r="S69" s="296"/>
      <c r="T69" s="297"/>
      <c r="U69" s="296"/>
      <c r="V69" s="297"/>
      <c r="W69" s="296"/>
      <c r="X69" s="297"/>
    </row>
    <row r="70" spans="1:28" ht="12.75" customHeight="1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90"/>
      <c r="Q70" s="294"/>
      <c r="R70" s="295"/>
      <c r="S70" s="294"/>
      <c r="T70" s="295"/>
      <c r="U70" s="294"/>
      <c r="V70" s="295"/>
      <c r="W70" s="294"/>
      <c r="X70" s="295"/>
    </row>
    <row r="71" spans="1:28" ht="9.75" customHeight="1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7"/>
      <c r="Q71" s="296"/>
      <c r="R71" s="297"/>
      <c r="S71" s="296"/>
      <c r="T71" s="297"/>
      <c r="U71" s="296"/>
      <c r="V71" s="297"/>
      <c r="W71" s="296"/>
      <c r="X71" s="297"/>
    </row>
    <row r="72" spans="1:28" ht="12.75" customHeight="1">
      <c r="A72" s="288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90"/>
      <c r="Q72" s="294"/>
      <c r="R72" s="295"/>
      <c r="S72" s="294"/>
      <c r="T72" s="295"/>
      <c r="U72" s="294"/>
      <c r="V72" s="295"/>
      <c r="W72" s="294"/>
      <c r="X72" s="295"/>
    </row>
    <row r="73" spans="1:28" ht="9.75" customHeight="1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7"/>
      <c r="Q73" s="296"/>
      <c r="R73" s="297"/>
      <c r="S73" s="296"/>
      <c r="T73" s="297"/>
      <c r="U73" s="296"/>
      <c r="V73" s="297"/>
      <c r="W73" s="296"/>
      <c r="X73" s="297"/>
    </row>
    <row r="74" spans="1:28" ht="12.75" customHeight="1">
      <c r="A74" s="288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90"/>
      <c r="Q74" s="294"/>
      <c r="R74" s="295"/>
      <c r="S74" s="302"/>
      <c r="T74" s="295"/>
      <c r="U74" s="294"/>
      <c r="V74" s="295"/>
      <c r="W74" s="294"/>
      <c r="X74" s="295"/>
    </row>
    <row r="75" spans="1:28" ht="9.75" customHeight="1">
      <c r="A75" s="285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7"/>
      <c r="Q75" s="296"/>
      <c r="R75" s="297"/>
      <c r="S75" s="296"/>
      <c r="T75" s="297"/>
      <c r="U75" s="296"/>
      <c r="V75" s="297"/>
      <c r="W75" s="296"/>
      <c r="X75" s="297"/>
    </row>
    <row r="76" spans="1:28" ht="12.75" customHeight="1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90"/>
      <c r="Q76" s="294" t="s">
        <v>17</v>
      </c>
      <c r="R76" s="295"/>
      <c r="S76" s="302">
        <v>42285</v>
      </c>
      <c r="T76" s="295"/>
      <c r="U76" s="294"/>
      <c r="V76" s="295"/>
      <c r="W76" s="294"/>
      <c r="X76" s="295"/>
    </row>
    <row r="77" spans="1:28" ht="9.75" customHeight="1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7"/>
      <c r="Q77" s="296"/>
      <c r="R77" s="297"/>
      <c r="S77" s="296"/>
      <c r="T77" s="297"/>
      <c r="U77" s="296"/>
      <c r="V77" s="297"/>
      <c r="W77" s="296"/>
      <c r="X77" s="29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92" t="s">
        <v>47</v>
      </c>
      <c r="K78" s="393"/>
      <c r="L78" s="339"/>
      <c r="M78" s="339"/>
      <c r="N78" s="339"/>
      <c r="O78" s="339"/>
      <c r="P78" s="340"/>
      <c r="Q78" s="332" t="s">
        <v>18</v>
      </c>
      <c r="R78" s="332"/>
      <c r="S78" s="332" t="s">
        <v>19</v>
      </c>
      <c r="T78" s="332"/>
      <c r="U78" s="332" t="s">
        <v>20</v>
      </c>
      <c r="V78" s="332"/>
      <c r="W78" s="332" t="s">
        <v>22</v>
      </c>
      <c r="X78" s="3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94" t="s">
        <v>45</v>
      </c>
      <c r="K79" s="395"/>
      <c r="L79" s="341"/>
      <c r="M79" s="341"/>
      <c r="N79" s="341"/>
      <c r="O79" s="341"/>
      <c r="P79" s="342"/>
      <c r="Q79" s="345" t="s">
        <v>5</v>
      </c>
      <c r="R79" s="345"/>
      <c r="S79" s="345" t="s">
        <v>10</v>
      </c>
      <c r="T79" s="345"/>
      <c r="U79" s="345" t="s">
        <v>21</v>
      </c>
      <c r="V79" s="345"/>
      <c r="W79" s="345" t="s">
        <v>23</v>
      </c>
      <c r="X79" s="345"/>
    </row>
    <row r="80" spans="1:28" ht="13.5" customHeight="1">
      <c r="A80" s="385" t="s">
        <v>24</v>
      </c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" priority="9" operator="greaterThan">
      <formula>$AA$28</formula>
    </cfRule>
    <cfRule type="cellIs" dxfId="8" priority="10" operator="lessThan">
      <formula>$AA$29</formula>
    </cfRule>
  </conditionalFormatting>
  <conditionalFormatting sqref="I32:X33">
    <cfRule type="cellIs" dxfId="7" priority="7" operator="greaterThan">
      <formula>$AA$32</formula>
    </cfRule>
    <cfRule type="cellIs" dxfId="6" priority="8" operator="lessThan">
      <formula>$AA$33</formula>
    </cfRule>
  </conditionalFormatting>
  <conditionalFormatting sqref="I30:X31">
    <cfRule type="cellIs" dxfId="5" priority="5" operator="greaterThan">
      <formula>$AA$30</formula>
    </cfRule>
    <cfRule type="cellIs" dxfId="4" priority="6" operator="lessThan">
      <formula>$AA$31</formula>
    </cfRule>
  </conditionalFormatting>
  <conditionalFormatting sqref="I26:X27">
    <cfRule type="cellIs" dxfId="3" priority="3" operator="greaterThan">
      <formula>$AA$26</formula>
    </cfRule>
    <cfRule type="cellIs" dxfId="2" priority="4" operator="lessThan">
      <formula>$AA$27</formula>
    </cfRule>
  </conditionalFormatting>
  <conditionalFormatting sqref="I32:X33">
    <cfRule type="cellIs" dxfId="1" priority="1" operator="greaterThan">
      <formula>$AA$32</formula>
    </cfRule>
    <cfRule type="cellIs" dxfId="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58</vt:i4>
      </vt:variant>
      <vt:variant>
        <vt:lpstr>已命名的範圍</vt:lpstr>
      </vt:variant>
      <vt:variant>
        <vt:i4>58</vt:i4>
      </vt:variant>
    </vt:vector>
  </HeadingPairs>
  <TitlesOfParts>
    <vt:vector size="116" baseType="lpstr">
      <vt:lpstr>SETUP</vt:lpstr>
      <vt:lpstr>SETUP (2)</vt:lpstr>
      <vt:lpstr>160505D-1</vt:lpstr>
      <vt:lpstr>160505D-2</vt:lpstr>
      <vt:lpstr>160505E-1</vt:lpstr>
      <vt:lpstr>160505E-2</vt:lpstr>
      <vt:lpstr>160506D-1</vt:lpstr>
      <vt:lpstr>160506D-2</vt:lpstr>
      <vt:lpstr>160508E-1</vt:lpstr>
      <vt:lpstr>160508E-2</vt:lpstr>
      <vt:lpstr>160509D-1</vt:lpstr>
      <vt:lpstr>160509D-2</vt:lpstr>
      <vt:lpstr>160509E-1</vt:lpstr>
      <vt:lpstr>160509E-2</vt:lpstr>
      <vt:lpstr>160510D-1</vt:lpstr>
      <vt:lpstr>160510D-2</vt:lpstr>
      <vt:lpstr>160510E-1</vt:lpstr>
      <vt:lpstr>160510E-2</vt:lpstr>
      <vt:lpstr>160511D-1</vt:lpstr>
      <vt:lpstr>160511D-2</vt:lpstr>
      <vt:lpstr>160511E-1</vt:lpstr>
      <vt:lpstr>160511E-2</vt:lpstr>
      <vt:lpstr>160512D-1</vt:lpstr>
      <vt:lpstr>160512D-2</vt:lpstr>
      <vt:lpstr>160512E-1</vt:lpstr>
      <vt:lpstr>160512E-2</vt:lpstr>
      <vt:lpstr>160513D-1</vt:lpstr>
      <vt:lpstr>160513D-2</vt:lpstr>
      <vt:lpstr>160515E-1</vt:lpstr>
      <vt:lpstr>160515E-2</vt:lpstr>
      <vt:lpstr>160516D-1</vt:lpstr>
      <vt:lpstr>160516D-2</vt:lpstr>
      <vt:lpstr>160516E-1</vt:lpstr>
      <vt:lpstr>160516E-2</vt:lpstr>
      <vt:lpstr>160517D-1</vt:lpstr>
      <vt:lpstr>160517D-2</vt:lpstr>
      <vt:lpstr>160517E-1</vt:lpstr>
      <vt:lpstr>160517E-2</vt:lpstr>
      <vt:lpstr>160518D-1 </vt:lpstr>
      <vt:lpstr>160518D-2</vt:lpstr>
      <vt:lpstr>160518E-1</vt:lpstr>
      <vt:lpstr>160518E-2</vt:lpstr>
      <vt:lpstr>160519D-1</vt:lpstr>
      <vt:lpstr>160519D-2</vt:lpstr>
      <vt:lpstr>160519E-1</vt:lpstr>
      <vt:lpstr>160519E-2</vt:lpstr>
      <vt:lpstr>160520D-1</vt:lpstr>
      <vt:lpstr>160520D-2</vt:lpstr>
      <vt:lpstr>160522E-1</vt:lpstr>
      <vt:lpstr>160522E-2</vt:lpstr>
      <vt:lpstr>160523D-1</vt:lpstr>
      <vt:lpstr>160523D-2</vt:lpstr>
      <vt:lpstr>160523E-1</vt:lpstr>
      <vt:lpstr>160523E-2</vt:lpstr>
      <vt:lpstr>160524D-1</vt:lpstr>
      <vt:lpstr>160524D-2</vt:lpstr>
      <vt:lpstr>160524E-1</vt:lpstr>
      <vt:lpstr>160524E-2</vt:lpstr>
      <vt:lpstr>'160505D-1'!Print_Area</vt:lpstr>
      <vt:lpstr>'160505D-2'!Print_Area</vt:lpstr>
      <vt:lpstr>'160505E-1'!Print_Area</vt:lpstr>
      <vt:lpstr>'160505E-2'!Print_Area</vt:lpstr>
      <vt:lpstr>'160506D-1'!Print_Area</vt:lpstr>
      <vt:lpstr>'160506D-2'!Print_Area</vt:lpstr>
      <vt:lpstr>'160508E-1'!Print_Area</vt:lpstr>
      <vt:lpstr>'160508E-2'!Print_Area</vt:lpstr>
      <vt:lpstr>'160509D-1'!Print_Area</vt:lpstr>
      <vt:lpstr>'160509D-2'!Print_Area</vt:lpstr>
      <vt:lpstr>'160509E-1'!Print_Area</vt:lpstr>
      <vt:lpstr>'160509E-2'!Print_Area</vt:lpstr>
      <vt:lpstr>'160510D-1'!Print_Area</vt:lpstr>
      <vt:lpstr>'160510D-2'!Print_Area</vt:lpstr>
      <vt:lpstr>'160510E-1'!Print_Area</vt:lpstr>
      <vt:lpstr>'160510E-2'!Print_Area</vt:lpstr>
      <vt:lpstr>'160511D-1'!Print_Area</vt:lpstr>
      <vt:lpstr>'160511D-2'!Print_Area</vt:lpstr>
      <vt:lpstr>'160511E-1'!Print_Area</vt:lpstr>
      <vt:lpstr>'160511E-2'!Print_Area</vt:lpstr>
      <vt:lpstr>'160512D-1'!Print_Area</vt:lpstr>
      <vt:lpstr>'160512D-2'!Print_Area</vt:lpstr>
      <vt:lpstr>'160512E-1'!Print_Area</vt:lpstr>
      <vt:lpstr>'160512E-2'!Print_Area</vt:lpstr>
      <vt:lpstr>'160513D-1'!Print_Area</vt:lpstr>
      <vt:lpstr>'160513D-2'!Print_Area</vt:lpstr>
      <vt:lpstr>'160515E-1'!Print_Area</vt:lpstr>
      <vt:lpstr>'160515E-2'!Print_Area</vt:lpstr>
      <vt:lpstr>'160516D-1'!Print_Area</vt:lpstr>
      <vt:lpstr>'160516D-2'!Print_Area</vt:lpstr>
      <vt:lpstr>'160516E-1'!Print_Area</vt:lpstr>
      <vt:lpstr>'160516E-2'!Print_Area</vt:lpstr>
      <vt:lpstr>'160517D-1'!Print_Area</vt:lpstr>
      <vt:lpstr>'160517D-2'!Print_Area</vt:lpstr>
      <vt:lpstr>'160517E-1'!Print_Area</vt:lpstr>
      <vt:lpstr>'160517E-2'!Print_Area</vt:lpstr>
      <vt:lpstr>'160518D-1 '!Print_Area</vt:lpstr>
      <vt:lpstr>'160518D-2'!Print_Area</vt:lpstr>
      <vt:lpstr>'160518E-1'!Print_Area</vt:lpstr>
      <vt:lpstr>'160518E-2'!Print_Area</vt:lpstr>
      <vt:lpstr>'160519D-1'!Print_Area</vt:lpstr>
      <vt:lpstr>'160519D-2'!Print_Area</vt:lpstr>
      <vt:lpstr>'160519E-1'!Print_Area</vt:lpstr>
      <vt:lpstr>'160519E-2'!Print_Area</vt:lpstr>
      <vt:lpstr>'160520D-1'!Print_Area</vt:lpstr>
      <vt:lpstr>'160520D-2'!Print_Area</vt:lpstr>
      <vt:lpstr>'160522E-1'!Print_Area</vt:lpstr>
      <vt:lpstr>'160522E-2'!Print_Area</vt:lpstr>
      <vt:lpstr>'160523D-1'!Print_Area</vt:lpstr>
      <vt:lpstr>'160523D-2'!Print_Area</vt:lpstr>
      <vt:lpstr>'160523E-1'!Print_Area</vt:lpstr>
      <vt:lpstr>'160523E-2'!Print_Area</vt:lpstr>
      <vt:lpstr>'160524D-1'!Print_Area</vt:lpstr>
      <vt:lpstr>'160524D-2'!Print_Area</vt:lpstr>
      <vt:lpstr>'160524E-1'!Print_Area</vt:lpstr>
      <vt:lpstr>'160524E-2'!Print_Area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2015-10-21T03:01:42Z</cp:lastPrinted>
  <dcterms:created xsi:type="dcterms:W3CDTF">2014-12-29T06:32:15Z</dcterms:created>
  <dcterms:modified xsi:type="dcterms:W3CDTF">2016-05-25T05:38:47Z</dcterms:modified>
</cp:coreProperties>
</file>