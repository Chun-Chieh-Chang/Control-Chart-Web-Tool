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3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37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35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2.xml" ContentType="application/vnd.openxmlformats-officedocument.drawing+xml"/>
  <Override PartName="/xl/drawings/drawing24.xml" ContentType="application/vnd.openxmlformats-officedocument.drawing+xml"/>
  <Override PartName="/xl/drawings/drawing33.xml" ContentType="application/vnd.openxmlformats-officedocument.drawing+xml"/>
  <Override PartName="/xl/drawings/drawing42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40.xml" ContentType="application/vnd.openxmlformats-officedocument.drawing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38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jpeg" ContentType="image/jpeg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drawings/drawing36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41.xml" ContentType="application/vnd.openxmlformats-officedocument.drawing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9420" windowHeight="7940" firstSheet="34" activeTab="41"/>
  </bookViews>
  <sheets>
    <sheet name="SETUP" sheetId="2" r:id="rId1"/>
    <sheet name="SETUP (2)" sheetId="3" r:id="rId2"/>
    <sheet name="180425D-1" sheetId="4" r:id="rId3"/>
    <sheet name="180425D-2" sheetId="5" r:id="rId4"/>
    <sheet name="180425E-1" sheetId="6" r:id="rId5"/>
    <sheet name="180425E-2" sheetId="7" r:id="rId6"/>
    <sheet name="180426D-1" sheetId="8" r:id="rId7"/>
    <sheet name="180426D-2" sheetId="9" r:id="rId8"/>
    <sheet name="180426E-1" sheetId="10" r:id="rId9"/>
    <sheet name="180426E-2" sheetId="11" r:id="rId10"/>
    <sheet name="180427D-1" sheetId="12" r:id="rId11"/>
    <sheet name="180427D-2" sheetId="13" r:id="rId12"/>
    <sheet name="180429E-1" sheetId="14" r:id="rId13"/>
    <sheet name="180429E-2" sheetId="15" r:id="rId14"/>
    <sheet name="180430D-1" sheetId="16" r:id="rId15"/>
    <sheet name="180430D-2" sheetId="17" r:id="rId16"/>
    <sheet name="180501E-1" sheetId="18" r:id="rId17"/>
    <sheet name="180501E-2" sheetId="19" r:id="rId18"/>
    <sheet name="180502D-1" sheetId="20" r:id="rId19"/>
    <sheet name="180502D-2" sheetId="21" r:id="rId20"/>
    <sheet name="180502E-1" sheetId="22" r:id="rId21"/>
    <sheet name="180502E-2" sheetId="23" r:id="rId22"/>
    <sheet name="180503D-1" sheetId="24" r:id="rId23"/>
    <sheet name="180503D-2" sheetId="25" r:id="rId24"/>
    <sheet name="180503E-1" sheetId="26" r:id="rId25"/>
    <sheet name="180503E-2" sheetId="27" r:id="rId26"/>
    <sheet name="180504D-1" sheetId="28" r:id="rId27"/>
    <sheet name="180504D-2" sheetId="29" r:id="rId28"/>
    <sheet name="180506E-1" sheetId="30" r:id="rId29"/>
    <sheet name="180506E-2" sheetId="31" r:id="rId30"/>
    <sheet name="180507D-1" sheetId="32" r:id="rId31"/>
    <sheet name="180507D-2" sheetId="33" r:id="rId32"/>
    <sheet name="180507E-1" sheetId="34" r:id="rId33"/>
    <sheet name="180507E-2" sheetId="35" r:id="rId34"/>
    <sheet name="180508D-1" sheetId="39" r:id="rId35"/>
    <sheet name="180508D-2" sheetId="40" r:id="rId36"/>
    <sheet name="180508E-1" sheetId="41" r:id="rId37"/>
    <sheet name="180508E-2" sheetId="42" r:id="rId38"/>
    <sheet name="180509D-1" sheetId="43" r:id="rId39"/>
    <sheet name="180509D-2" sheetId="44" r:id="rId40"/>
    <sheet name="180509E-1" sheetId="45" r:id="rId41"/>
    <sheet name="180509E-2" sheetId="46" r:id="rId42"/>
  </sheets>
  <definedNames>
    <definedName name="_xlnm.Print_Area" localSheetId="2">'180425D-1'!$A$1:$X$80</definedName>
    <definedName name="_xlnm.Print_Area" localSheetId="3">'180425D-2'!$A$1:$X$80</definedName>
    <definedName name="_xlnm.Print_Area" localSheetId="4">'180425E-1'!$A$1:$X$80</definedName>
    <definedName name="_xlnm.Print_Area" localSheetId="5">'180425E-2'!$A$1:$X$80</definedName>
    <definedName name="_xlnm.Print_Area" localSheetId="6">'180426D-1'!$A$1:$X$80</definedName>
    <definedName name="_xlnm.Print_Area" localSheetId="7">'180426D-2'!$A$1:$X$80</definedName>
    <definedName name="_xlnm.Print_Area" localSheetId="8">'180426E-1'!$A$1:$X$80</definedName>
    <definedName name="_xlnm.Print_Area" localSheetId="9">'180426E-2'!$A$1:$X$80</definedName>
    <definedName name="_xlnm.Print_Area" localSheetId="10">'180427D-1'!$A$1:$X$80</definedName>
    <definedName name="_xlnm.Print_Area" localSheetId="11">'180427D-2'!$A$1:$X$80</definedName>
    <definedName name="_xlnm.Print_Area" localSheetId="12">'180429E-1'!$A$1:$X$80</definedName>
    <definedName name="_xlnm.Print_Area" localSheetId="13">'180429E-2'!$A$1:$X$80</definedName>
    <definedName name="_xlnm.Print_Area" localSheetId="14">'180430D-1'!$A$1:$X$80</definedName>
    <definedName name="_xlnm.Print_Area" localSheetId="15">'180430D-2'!$A$1:$X$80</definedName>
    <definedName name="_xlnm.Print_Area" localSheetId="16">'180501E-1'!$A$1:$X$80</definedName>
    <definedName name="_xlnm.Print_Area" localSheetId="17">'180501E-2'!$A$1:$X$80</definedName>
    <definedName name="_xlnm.Print_Area" localSheetId="18">'180502D-1'!$A$1:$X$80</definedName>
    <definedName name="_xlnm.Print_Area" localSheetId="19">'180502D-2'!$A$1:$X$80</definedName>
    <definedName name="_xlnm.Print_Area" localSheetId="20">'180502E-1'!$A$1:$X$80</definedName>
    <definedName name="_xlnm.Print_Area" localSheetId="21">'180502E-2'!$A$1:$X$80</definedName>
    <definedName name="_xlnm.Print_Area" localSheetId="22">'180503D-1'!$A$1:$X$80</definedName>
    <definedName name="_xlnm.Print_Area" localSheetId="23">'180503D-2'!$A$1:$X$80</definedName>
    <definedName name="_xlnm.Print_Area" localSheetId="24">'180503E-1'!$A$1:$X$80</definedName>
    <definedName name="_xlnm.Print_Area" localSheetId="25">'180503E-2'!$A$1:$X$80</definedName>
    <definedName name="_xlnm.Print_Area" localSheetId="26">'180504D-1'!$A$1:$X$80</definedName>
    <definedName name="_xlnm.Print_Area" localSheetId="27">'180504D-2'!$A$1:$X$80</definedName>
    <definedName name="_xlnm.Print_Area" localSheetId="28">'180506E-1'!$A$1:$X$80</definedName>
    <definedName name="_xlnm.Print_Area" localSheetId="29">'180506E-2'!$A$1:$X$80</definedName>
    <definedName name="_xlnm.Print_Area" localSheetId="30">'180507D-1'!$A$1:$X$80</definedName>
    <definedName name="_xlnm.Print_Area" localSheetId="31">'180507D-2'!$A$1:$X$80</definedName>
    <definedName name="_xlnm.Print_Area" localSheetId="32">'180507E-1'!$A$1:$X$80</definedName>
    <definedName name="_xlnm.Print_Area" localSheetId="33">'180507E-2'!$A$1:$X$80</definedName>
    <definedName name="_xlnm.Print_Area" localSheetId="34">'180508D-1'!$A$1:$X$80</definedName>
    <definedName name="_xlnm.Print_Area" localSheetId="35">'180508D-2'!$A$1:$X$80</definedName>
    <definedName name="_xlnm.Print_Area" localSheetId="36">'180508E-1'!$A$1:$X$80</definedName>
    <definedName name="_xlnm.Print_Area" localSheetId="37">'180508E-2'!$A$1:$X$80</definedName>
    <definedName name="_xlnm.Print_Area" localSheetId="38">'180509D-1'!$A$1:$X$80</definedName>
    <definedName name="_xlnm.Print_Area" localSheetId="39">'180509D-2'!$A$1:$X$80</definedName>
    <definedName name="_xlnm.Print_Area" localSheetId="40">'180509E-1'!$A$1:$X$80</definedName>
    <definedName name="_xlnm.Print_Area" localSheetId="41">'180509E-2'!$A$1:$X$80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46"/>
  <c r="AA32"/>
  <c r="AA31"/>
  <c r="AA30"/>
  <c r="AA29"/>
  <c r="AA28"/>
  <c r="AA27"/>
  <c r="AA26"/>
  <c r="AA33" i="45"/>
  <c r="AA32"/>
  <c r="AA31"/>
  <c r="AA30"/>
  <c r="AA29"/>
  <c r="AA28"/>
  <c r="AA27"/>
  <c r="AA26"/>
  <c r="AA33" i="44" l="1"/>
  <c r="AA32"/>
  <c r="AA31"/>
  <c r="AA30"/>
  <c r="AA29"/>
  <c r="AA28"/>
  <c r="AA27"/>
  <c r="AA26"/>
  <c r="AA33" i="43"/>
  <c r="AA32"/>
  <c r="AA31"/>
  <c r="AA30"/>
  <c r="AA29"/>
  <c r="AA28"/>
  <c r="AA27"/>
  <c r="AA26"/>
  <c r="AA33" i="42"/>
  <c r="AA32"/>
  <c r="AA31"/>
  <c r="AA30"/>
  <c r="AA29"/>
  <c r="AA28"/>
  <c r="AA27"/>
  <c r="AA26"/>
  <c r="AA33" i="41"/>
  <c r="AA32"/>
  <c r="AA31"/>
  <c r="AA30"/>
  <c r="AA29"/>
  <c r="AA28"/>
  <c r="AA27"/>
  <c r="AA26"/>
  <c r="AA33" i="40"/>
  <c r="AA32"/>
  <c r="AA31"/>
  <c r="AA30"/>
  <c r="AA29"/>
  <c r="AA28"/>
  <c r="AA27"/>
  <c r="AA26"/>
  <c r="AA33" i="39"/>
  <c r="AA32"/>
  <c r="AA31"/>
  <c r="AA30"/>
  <c r="AA29"/>
  <c r="AA28"/>
  <c r="AA27"/>
  <c r="AA26"/>
  <c r="AA33" i="35" l="1"/>
  <c r="AA32"/>
  <c r="AA31"/>
  <c r="AA30"/>
  <c r="AA29"/>
  <c r="AA28"/>
  <c r="AA27"/>
  <c r="AA26"/>
  <c r="AA33" i="34"/>
  <c r="AA32"/>
  <c r="AA31"/>
  <c r="AA30"/>
  <c r="AA29"/>
  <c r="AA28"/>
  <c r="AA27"/>
  <c r="AA26"/>
  <c r="AA33" i="33" l="1"/>
  <c r="AA32"/>
  <c r="AA31"/>
  <c r="AA30"/>
  <c r="AA29"/>
  <c r="AA28"/>
  <c r="AA27"/>
  <c r="AA26"/>
  <c r="AA33" i="32"/>
  <c r="AA32"/>
  <c r="AA31"/>
  <c r="AA30"/>
  <c r="AA29"/>
  <c r="AA28"/>
  <c r="AA27"/>
  <c r="AA26"/>
  <c r="AA33" i="31" l="1"/>
  <c r="AA32"/>
  <c r="AA31"/>
  <c r="AA30"/>
  <c r="AA29"/>
  <c r="AA28"/>
  <c r="AA27"/>
  <c r="AA26"/>
  <c r="AA33" i="30"/>
  <c r="AA32"/>
  <c r="AA31"/>
  <c r="AA30"/>
  <c r="AA29"/>
  <c r="AA28"/>
  <c r="AA27"/>
  <c r="AA26"/>
  <c r="AA33" i="29" l="1"/>
  <c r="AA32"/>
  <c r="AA31"/>
  <c r="AA30"/>
  <c r="AA29"/>
  <c r="AA28"/>
  <c r="AA27"/>
  <c r="AA26"/>
  <c r="AA33" i="28"/>
  <c r="AA32"/>
  <c r="AA31"/>
  <c r="AA30"/>
  <c r="AA29"/>
  <c r="AA28"/>
  <c r="AA27"/>
  <c r="AA26"/>
  <c r="AA33" i="27"/>
  <c r="AA32"/>
  <c r="AA31"/>
  <c r="AA30"/>
  <c r="AA29"/>
  <c r="AA28"/>
  <c r="AA27"/>
  <c r="AA26"/>
  <c r="AA33" i="26"/>
  <c r="AA32"/>
  <c r="AA31"/>
  <c r="AA30"/>
  <c r="AA29"/>
  <c r="AA28"/>
  <c r="AA27"/>
  <c r="AA26"/>
  <c r="AA33" i="25" l="1"/>
  <c r="AA32"/>
  <c r="AA31"/>
  <c r="AA30"/>
  <c r="AA29"/>
  <c r="AA28"/>
  <c r="AA27"/>
  <c r="AA26"/>
  <c r="AA33" i="24"/>
  <c r="AA32"/>
  <c r="AA31"/>
  <c r="AA30"/>
  <c r="AA29"/>
  <c r="AA28"/>
  <c r="AA27"/>
  <c r="AA26"/>
  <c r="AA33" i="23" l="1"/>
  <c r="AA32"/>
  <c r="AA31"/>
  <c r="AA30"/>
  <c r="AA29"/>
  <c r="AA28"/>
  <c r="AA27"/>
  <c r="AA26"/>
  <c r="AA33" i="22"/>
  <c r="AA32"/>
  <c r="AA31"/>
  <c r="AA30"/>
  <c r="AA29"/>
  <c r="AA28"/>
  <c r="AA27"/>
  <c r="AA26"/>
  <c r="AA33" i="21" l="1"/>
  <c r="AA32"/>
  <c r="AA31"/>
  <c r="AA30"/>
  <c r="AA29"/>
  <c r="AA28"/>
  <c r="AA27"/>
  <c r="AA26"/>
  <c r="AA33" i="20"/>
  <c r="AA32"/>
  <c r="AA31"/>
  <c r="AA30"/>
  <c r="AA29"/>
  <c r="AA28"/>
  <c r="AA27"/>
  <c r="AA26"/>
  <c r="AA33" i="19" l="1"/>
  <c r="AA32"/>
  <c r="AA31"/>
  <c r="AA30"/>
  <c r="AA29"/>
  <c r="AA28"/>
  <c r="AA27"/>
  <c r="AA26"/>
  <c r="AA33" i="18"/>
  <c r="AA32"/>
  <c r="AA31"/>
  <c r="AA30"/>
  <c r="AA29"/>
  <c r="AA28"/>
  <c r="AA27"/>
  <c r="AA26"/>
  <c r="AA33" i="17" l="1"/>
  <c r="AA32"/>
  <c r="AA31"/>
  <c r="AA30"/>
  <c r="AA29"/>
  <c r="AA28"/>
  <c r="AA27"/>
  <c r="AA26"/>
  <c r="AA33" i="16"/>
  <c r="AA32"/>
  <c r="AA31"/>
  <c r="AA30"/>
  <c r="AA29"/>
  <c r="AA28"/>
  <c r="AA27"/>
  <c r="AA26"/>
  <c r="AA33" i="15" l="1"/>
  <c r="AA32"/>
  <c r="AA31"/>
  <c r="AA30"/>
  <c r="AA29"/>
  <c r="AA28"/>
  <c r="AA27"/>
  <c r="AA26"/>
  <c r="AA33" i="14"/>
  <c r="AA32"/>
  <c r="AA31"/>
  <c r="AA30"/>
  <c r="AA29"/>
  <c r="AA28"/>
  <c r="AA27"/>
  <c r="AA26"/>
  <c r="AA33" i="13" l="1"/>
  <c r="AA32"/>
  <c r="AA31"/>
  <c r="AA30"/>
  <c r="AA29"/>
  <c r="AA28"/>
  <c r="AA27"/>
  <c r="AA26"/>
  <c r="AA33" i="12"/>
  <c r="AA32"/>
  <c r="AA31"/>
  <c r="AA30"/>
  <c r="AA29"/>
  <c r="AA28"/>
  <c r="AA27"/>
  <c r="AA26"/>
  <c r="AA33" i="11" l="1"/>
  <c r="AA32"/>
  <c r="AA31"/>
  <c r="AA30"/>
  <c r="AA29"/>
  <c r="AA28"/>
  <c r="AA27"/>
  <c r="AA26"/>
  <c r="AA33" i="10"/>
  <c r="AA32"/>
  <c r="AA31"/>
  <c r="AA30"/>
  <c r="AA29"/>
  <c r="AA28"/>
  <c r="AA27"/>
  <c r="AA26"/>
  <c r="AA33" i="9"/>
  <c r="AA32"/>
  <c r="AA31"/>
  <c r="AA30"/>
  <c r="AA29"/>
  <c r="AA28"/>
  <c r="AA27"/>
  <c r="AA26"/>
  <c r="AA33" i="8"/>
  <c r="AA32"/>
  <c r="AA31"/>
  <c r="AA30"/>
  <c r="AA29"/>
  <c r="AA28"/>
  <c r="AA27"/>
  <c r="AA26"/>
  <c r="AA33" i="7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 l="1"/>
  <c r="AA32"/>
  <c r="AA31"/>
  <c r="AA30"/>
  <c r="AA29"/>
  <c r="AA28"/>
  <c r="AA27"/>
  <c r="AA26"/>
  <c r="AA33" i="2" l="1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<sst xmlns="http://schemas.openxmlformats.org/spreadsheetml/2006/main" count="6342" uniqueCount="129">
  <si>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</si>
  <si>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</si>
  <si>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</si>
  <si>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</si>
  <si>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</si>
  <si>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</si>
  <si>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</si>
  <si>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</si>
  <si>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</si>
  <si>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</si>
  <si>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</si>
  <si>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</si>
  <si>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</si>
  <si>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</si>
  <si>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</si>
  <si>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</si>
  <si>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</si>
  <si>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</si>
  <si>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</si>
  <si>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</si>
  <si>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</si>
  <si>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</si>
  <si>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</si>
  <si>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</si>
  <si>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</si>
  <si>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</si>
  <si>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</si>
  <si>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</si>
  <si>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</si>
  <si>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</si>
  <si>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</si>
  <si>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</si>
  <si>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</si>
  <si>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</si>
  <si>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</si>
  <si>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</si>
  <si>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</si>
  <si>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</si>
  <si>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</si>
  <si>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</si>
  <si>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</si>
  <si>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</si>
  <si>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</si>
  <si>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</si>
  <si>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</si>
  <si>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</si>
  <si>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</si>
  <si>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</si>
  <si>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</si>
  <si>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</si>
  <si>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</si>
  <si>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</si>
  <si>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</si>
  <si>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</si>
  <si>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</si>
  <si>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</si>
  <si>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</si>
  <si>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</si>
  <si>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</si>
  <si>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</si>
  <si>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</si>
  <si>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</si>
  <si>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</si>
  <si>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</si>
  <si>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</si>
  <si>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</si>
  <si>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</si>
  <si>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</si>
  <si>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</si>
  <si>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</si>
  <si>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</si>
  <si>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</si>
  <si>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</si>
  <si>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</si>
  <si>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</si>
  <si>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</si>
  <si>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</si>
  <si>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</si>
  <si>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</si>
  <si>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</si>
  <si>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</si>
  <si>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</si>
  <si>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</si>
  <si>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</si>
  <si>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</si>
  <si>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</si>
  <si>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</si>
  <si>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</si>
  <si>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</si>
  <si>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</si>
  <si>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</si>
  <si>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</si>
  <si>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</si>
  <si>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</si>
  <si>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</si>
  <si>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</si>
  <si>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</si>
  <si>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</si>
  <si>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GO</t>
    <phoneticPr fontId="10" type="noConversion"/>
  </si>
  <si>
    <t>GO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</si>
  <si>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</si>
  <si>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</si>
  <si>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</si>
  <si>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</si>
  <si>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OK</t>
    <phoneticPr fontId="10" type="noConversion"/>
  </si>
  <si>
    <t>(A): M12002， (B):M08006， (C): M12002， (D): M15012</t>
    <phoneticPr fontId="10" type="noConversion"/>
  </si>
  <si>
    <t>180425D</t>
    <phoneticPr fontId="10" type="noConversion"/>
  </si>
  <si>
    <t>(A): M12002， (B):M08006， (C): M12002， (D): M15005</t>
    <phoneticPr fontId="10" type="noConversion"/>
  </si>
  <si>
    <t>180425E</t>
    <phoneticPr fontId="10" type="noConversion"/>
  </si>
  <si>
    <t>180426D</t>
    <phoneticPr fontId="10" type="noConversion"/>
  </si>
  <si>
    <t>180426E</t>
    <phoneticPr fontId="10" type="noConversion"/>
  </si>
  <si>
    <t>180427D</t>
    <phoneticPr fontId="10" type="noConversion"/>
  </si>
  <si>
    <t>180429E</t>
    <phoneticPr fontId="10" type="noConversion"/>
  </si>
  <si>
    <t>180430D</t>
    <phoneticPr fontId="10" type="noConversion"/>
  </si>
  <si>
    <t>180501E</t>
    <phoneticPr fontId="10" type="noConversion"/>
  </si>
  <si>
    <t>180502D</t>
    <phoneticPr fontId="10" type="noConversion"/>
  </si>
  <si>
    <t>180502E</t>
    <phoneticPr fontId="10" type="noConversion"/>
  </si>
  <si>
    <t>180503D</t>
    <phoneticPr fontId="10" type="noConversion"/>
  </si>
  <si>
    <t>180503E</t>
    <phoneticPr fontId="10" type="noConversion"/>
  </si>
  <si>
    <t>180504D</t>
    <phoneticPr fontId="10" type="noConversion"/>
  </si>
  <si>
    <t>180506E</t>
    <phoneticPr fontId="10" type="noConversion"/>
  </si>
  <si>
    <t>180507D</t>
    <phoneticPr fontId="10" type="noConversion"/>
  </si>
  <si>
    <t>180507E</t>
    <phoneticPr fontId="10" type="noConversion"/>
  </si>
  <si>
    <t>180508D</t>
    <phoneticPr fontId="10" type="noConversion"/>
  </si>
  <si>
    <t>180508E</t>
    <phoneticPr fontId="10" type="noConversion"/>
  </si>
  <si>
    <t>180509D</t>
    <phoneticPr fontId="10" type="noConversion"/>
  </si>
  <si>
    <t>180509D</t>
    <phoneticPr fontId="10" type="noConversion"/>
  </si>
  <si>
    <t>180509E</t>
    <phoneticPr fontId="10" type="noConversion"/>
  </si>
  <si>
    <t>180509E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</si>
</sst>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40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336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7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91053" y="10359258"/>
          <a:ext cx="509857" cy="262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88097" y="10280102"/>
          <a:ext cx="512813" cy="2594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6278</xdr:colOff>
      <xdr:row>78</xdr:row>
      <xdr:rowOff>8759</xdr:rowOff>
    </xdr:to>
    <xdr:pic>
      <xdr:nvPicPr>
        <xdr:cNvPr id="11" name="圖片 10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1656" y="10466553"/>
          <a:ext cx="361001" cy="17517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6277</xdr:colOff>
      <xdr:row>78</xdr:row>
      <xdr:rowOff>8758</xdr:rowOff>
    </xdr:to>
    <xdr:pic>
      <xdr:nvPicPr>
        <xdr:cNvPr id="11" name="圖片 10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1655" y="10466552"/>
          <a:ext cx="361001" cy="1751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6278</xdr:colOff>
      <xdr:row>78</xdr:row>
      <xdr:rowOff>8759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1" y="10458451"/>
          <a:ext cx="361877" cy="17385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6277</xdr:colOff>
      <xdr:row>78</xdr:row>
      <xdr:rowOff>8758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61877" cy="17385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6278</xdr:colOff>
      <xdr:row>78</xdr:row>
      <xdr:rowOff>8759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1" y="10458451"/>
          <a:ext cx="361877" cy="17385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6277</xdr:colOff>
      <xdr:row>78</xdr:row>
      <xdr:rowOff>8758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61877" cy="17385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6278</xdr:colOff>
      <xdr:row>78</xdr:row>
      <xdr:rowOff>8759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1" y="10458451"/>
          <a:ext cx="361877" cy="17385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6277</xdr:colOff>
      <xdr:row>78</xdr:row>
      <xdr:rowOff>8758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61877" cy="17385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6278</xdr:colOff>
      <xdr:row>78</xdr:row>
      <xdr:rowOff>8759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1" y="10458451"/>
          <a:ext cx="361877" cy="17385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6277</xdr:colOff>
      <xdr:row>78</xdr:row>
      <xdr:rowOff>8758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61877" cy="17385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6278</xdr:colOff>
      <xdr:row>78</xdr:row>
      <xdr:rowOff>8759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1" y="10458451"/>
          <a:ext cx="361877" cy="17385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6277</xdr:colOff>
      <xdr:row>78</xdr:row>
      <xdr:rowOff>8758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61877" cy="17385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6278</xdr:colOff>
      <xdr:row>78</xdr:row>
      <xdr:rowOff>8759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1" y="10458451"/>
          <a:ext cx="361877" cy="17385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6277</xdr:colOff>
      <xdr:row>78</xdr:row>
      <xdr:rowOff>8758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61877" cy="173858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6278</xdr:colOff>
      <xdr:row>78</xdr:row>
      <xdr:rowOff>8759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1" y="10458451"/>
          <a:ext cx="361877" cy="173858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6277</xdr:colOff>
      <xdr:row>78</xdr:row>
      <xdr:rowOff>8758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61877" cy="173858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6278</xdr:colOff>
      <xdr:row>78</xdr:row>
      <xdr:rowOff>8759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1" y="10458451"/>
          <a:ext cx="361877" cy="173858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6277</xdr:colOff>
      <xdr:row>78</xdr:row>
      <xdr:rowOff>8758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61877" cy="17385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6278</xdr:colOff>
      <xdr:row>78</xdr:row>
      <xdr:rowOff>8759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1" y="10458451"/>
          <a:ext cx="361877" cy="173858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6277</xdr:colOff>
      <xdr:row>78</xdr:row>
      <xdr:rowOff>8758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61877" cy="17385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6278</xdr:colOff>
      <xdr:row>78</xdr:row>
      <xdr:rowOff>8759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1" y="10458451"/>
          <a:ext cx="361877" cy="17385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6277</xdr:colOff>
      <xdr:row>78</xdr:row>
      <xdr:rowOff>8758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61877" cy="173858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6278</xdr:colOff>
      <xdr:row>78</xdr:row>
      <xdr:rowOff>8759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1" y="10458451"/>
          <a:ext cx="361877" cy="173858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6277</xdr:colOff>
      <xdr:row>78</xdr:row>
      <xdr:rowOff>8758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61877" cy="173858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6278</xdr:colOff>
      <xdr:row>78</xdr:row>
      <xdr:rowOff>8759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1" y="10458451"/>
          <a:ext cx="361877" cy="173858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6277</xdr:colOff>
      <xdr:row>78</xdr:row>
      <xdr:rowOff>8758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61877" cy="173858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6278</xdr:colOff>
      <xdr:row>78</xdr:row>
      <xdr:rowOff>8759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1" y="10458451"/>
          <a:ext cx="361877" cy="173858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6277</xdr:colOff>
      <xdr:row>78</xdr:row>
      <xdr:rowOff>8758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61877" cy="173858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6278</xdr:colOff>
      <xdr:row>78</xdr:row>
      <xdr:rowOff>8759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1" y="10458451"/>
          <a:ext cx="361877" cy="173858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6277</xdr:colOff>
      <xdr:row>78</xdr:row>
      <xdr:rowOff>8758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61877" cy="173858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6278</xdr:colOff>
      <xdr:row>78</xdr:row>
      <xdr:rowOff>8759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1" y="10458451"/>
          <a:ext cx="361877" cy="173858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6277</xdr:colOff>
      <xdr:row>78</xdr:row>
      <xdr:rowOff>8758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61877" cy="173858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10</xdr:col>
      <xdr:colOff>275896</xdr:colOff>
      <xdr:row>77</xdr:row>
      <xdr:rowOff>43793</xdr:rowOff>
    </xdr:from>
    <xdr:to>
      <xdr:col>12</xdr:col>
      <xdr:colOff>35033</xdr:colOff>
      <xdr:row>78</xdr:row>
      <xdr:rowOff>23401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42896" y="10510345"/>
          <a:ext cx="398516" cy="14602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56931</xdr:rowOff>
    </xdr:from>
    <xdr:to>
      <xdr:col>12</xdr:col>
      <xdr:colOff>43792</xdr:colOff>
      <xdr:row>78</xdr:row>
      <xdr:rowOff>36539</xdr:rowOff>
    </xdr:to>
    <xdr:pic>
      <xdr:nvPicPr>
        <xdr:cNvPr id="11" name="圖片 10" descr="呂彥琪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1655" y="10523483"/>
          <a:ext cx="398516" cy="14602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6278</xdr:colOff>
      <xdr:row>78</xdr:row>
      <xdr:rowOff>8759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1" y="10458451"/>
          <a:ext cx="361877" cy="173858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6277</xdr:colOff>
      <xdr:row>78</xdr:row>
      <xdr:rowOff>8758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61877" cy="173858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6278</xdr:colOff>
      <xdr:row>78</xdr:row>
      <xdr:rowOff>8759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1" y="10458451"/>
          <a:ext cx="361877" cy="173858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6277</xdr:colOff>
      <xdr:row>78</xdr:row>
      <xdr:rowOff>8758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61877" cy="173858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77</xdr:row>
      <xdr:rowOff>1</xdr:rowOff>
    </xdr:from>
    <xdr:to>
      <xdr:col>12</xdr:col>
      <xdr:colOff>6278</xdr:colOff>
      <xdr:row>78</xdr:row>
      <xdr:rowOff>8759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1" y="10458451"/>
          <a:ext cx="361877" cy="173858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12</xdr:col>
      <xdr:colOff>6277</xdr:colOff>
      <xdr:row>78</xdr:row>
      <xdr:rowOff>8758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61877" cy="1738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8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" t="s">
        <v>2</v>
      </c>
      <c r="E2" s="42"/>
      <c r="F2" s="377" t="s">
        <v>97</v>
      </c>
      <c r="G2" s="377"/>
      <c r="H2" s="377"/>
      <c r="I2" s="377"/>
      <c r="J2" s="377"/>
      <c r="K2" s="435"/>
      <c r="L2" s="2" t="s">
        <v>4</v>
      </c>
      <c r="M2" s="377">
        <v>9</v>
      </c>
      <c r="N2" s="378"/>
      <c r="O2" s="2" t="s">
        <v>6</v>
      </c>
      <c r="P2" s="381" t="s">
        <v>81</v>
      </c>
      <c r="Q2" s="382"/>
      <c r="R2" s="382"/>
      <c r="S2" s="382"/>
      <c r="T2" s="382"/>
      <c r="U2" s="382"/>
      <c r="V2" s="383"/>
      <c r="W2" s="2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25" t="s">
        <v>3</v>
      </c>
      <c r="E3" s="43"/>
      <c r="F3" s="436"/>
      <c r="G3" s="436"/>
      <c r="H3" s="436"/>
      <c r="I3" s="436"/>
      <c r="J3" s="436"/>
      <c r="K3" s="437"/>
      <c r="L3" s="25" t="s">
        <v>5</v>
      </c>
      <c r="M3" s="379"/>
      <c r="N3" s="380"/>
      <c r="O3" s="25" t="s">
        <v>7</v>
      </c>
      <c r="P3" s="384"/>
      <c r="Q3" s="384"/>
      <c r="R3" s="384"/>
      <c r="S3" s="384"/>
      <c r="T3" s="384"/>
      <c r="U3" s="384"/>
      <c r="V3" s="385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386" t="s">
        <v>106</v>
      </c>
      <c r="R4" s="387"/>
      <c r="S4" s="387"/>
      <c r="T4" s="388"/>
      <c r="U4" s="2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5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29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51</v>
      </c>
      <c r="E26" s="432">
        <v>2.08</v>
      </c>
      <c r="F26" s="433"/>
      <c r="G26" s="52" t="s">
        <v>52</v>
      </c>
      <c r="H26" s="44">
        <v>0.05</v>
      </c>
      <c r="I26" s="320">
        <v>2.1030000000000002</v>
      </c>
      <c r="J26" s="320"/>
      <c r="K26" s="320">
        <v>2.1019999999999999</v>
      </c>
      <c r="L26" s="320"/>
      <c r="M26" s="320">
        <v>2.11</v>
      </c>
      <c r="N26" s="320"/>
      <c r="O26" s="320">
        <v>2.0990000000000002</v>
      </c>
      <c r="P26" s="320"/>
      <c r="Q26" s="320">
        <v>2.1120000000000001</v>
      </c>
      <c r="R26" s="320"/>
      <c r="S26" s="320">
        <v>2.0979999999999999</v>
      </c>
      <c r="T26" s="320"/>
      <c r="U26" s="320">
        <v>2.1080000000000001</v>
      </c>
      <c r="V26" s="320"/>
      <c r="W26" s="320">
        <v>2.089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51</v>
      </c>
      <c r="E28" s="432">
        <v>1.97</v>
      </c>
      <c r="F28" s="433"/>
      <c r="G28" s="52" t="s">
        <v>52</v>
      </c>
      <c r="H28" s="44">
        <v>0.05</v>
      </c>
      <c r="I28" s="320">
        <v>2</v>
      </c>
      <c r="J28" s="320"/>
      <c r="K28" s="320">
        <v>2</v>
      </c>
      <c r="L28" s="320"/>
      <c r="M28" s="320">
        <v>1.98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1.98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51</v>
      </c>
      <c r="E30" s="432">
        <v>2.08</v>
      </c>
      <c r="F30" s="433"/>
      <c r="G30" s="52" t="s">
        <v>52</v>
      </c>
      <c r="H30" s="44">
        <v>0.05</v>
      </c>
      <c r="I30" s="320">
        <v>2.1</v>
      </c>
      <c r="J30" s="320"/>
      <c r="K30" s="320">
        <v>2.1019999999999999</v>
      </c>
      <c r="L30" s="320"/>
      <c r="M30" s="320">
        <v>2.105</v>
      </c>
      <c r="N30" s="320"/>
      <c r="O30" s="320">
        <v>2.1040000000000001</v>
      </c>
      <c r="P30" s="320"/>
      <c r="Q30" s="320">
        <v>2.1070000000000002</v>
      </c>
      <c r="R30" s="320"/>
      <c r="S30" s="320">
        <v>2.1019999999999999</v>
      </c>
      <c r="T30" s="320"/>
      <c r="U30" s="320">
        <v>2.1019999999999999</v>
      </c>
      <c r="V30" s="320"/>
      <c r="W30" s="320">
        <v>2.1040000000000001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51</v>
      </c>
      <c r="E32" s="432">
        <v>10.92</v>
      </c>
      <c r="F32" s="433"/>
      <c r="G32" s="52" t="s">
        <v>52</v>
      </c>
      <c r="H32" s="44">
        <v>0.13</v>
      </c>
      <c r="I32" s="360">
        <v>11.02</v>
      </c>
      <c r="J32" s="360"/>
      <c r="K32" s="360">
        <v>11.02</v>
      </c>
      <c r="L32" s="360"/>
      <c r="M32" s="360">
        <v>11.03</v>
      </c>
      <c r="N32" s="360"/>
      <c r="O32" s="360">
        <v>11.04</v>
      </c>
      <c r="P32" s="360"/>
      <c r="Q32" s="360">
        <v>11.04</v>
      </c>
      <c r="R32" s="360"/>
      <c r="S32" s="360">
        <v>11.03</v>
      </c>
      <c r="T32" s="360"/>
      <c r="U32" s="360">
        <v>11.02</v>
      </c>
      <c r="V32" s="360"/>
      <c r="W32" s="360">
        <v>11.01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62" t="s">
        <v>87</v>
      </c>
      <c r="E34" s="63"/>
      <c r="F34" s="63"/>
      <c r="G34" s="63"/>
      <c r="H34" s="64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58" t="s">
        <v>88</v>
      </c>
      <c r="E35" s="65"/>
      <c r="F35" s="65"/>
      <c r="G35" s="65"/>
      <c r="H35" s="66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99</v>
      </c>
      <c r="J36" s="315"/>
      <c r="K36" s="315" t="s">
        <v>99</v>
      </c>
      <c r="L36" s="315"/>
      <c r="M36" s="315" t="s">
        <v>99</v>
      </c>
      <c r="N36" s="315"/>
      <c r="O36" s="315" t="s">
        <v>99</v>
      </c>
      <c r="P36" s="315"/>
      <c r="Q36" s="315" t="s">
        <v>99</v>
      </c>
      <c r="R36" s="315"/>
      <c r="S36" s="315" t="s">
        <v>99</v>
      </c>
      <c r="T36" s="315"/>
      <c r="U36" s="315" t="s">
        <v>99</v>
      </c>
      <c r="V36" s="315"/>
      <c r="W36" s="315" t="s">
        <v>99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95</v>
      </c>
      <c r="D37" s="58" t="s">
        <v>67</v>
      </c>
      <c r="E37" s="65"/>
      <c r="F37" s="65"/>
      <c r="G37" s="65"/>
      <c r="H37" s="66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62" t="s">
        <v>69</v>
      </c>
      <c r="E38" s="63"/>
      <c r="F38" s="63"/>
      <c r="G38" s="63"/>
      <c r="H38" s="64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58" t="s">
        <v>70</v>
      </c>
      <c r="E39" s="65"/>
      <c r="F39" s="65"/>
      <c r="G39" s="65"/>
      <c r="H39" s="66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62" t="s">
        <v>71</v>
      </c>
      <c r="E40" s="54"/>
      <c r="F40" s="54"/>
      <c r="G40" s="54"/>
      <c r="H40" s="38"/>
      <c r="I40" s="315" t="s">
        <v>101</v>
      </c>
      <c r="J40" s="315"/>
      <c r="K40" s="315" t="s">
        <v>101</v>
      </c>
      <c r="L40" s="315"/>
      <c r="M40" s="315" t="s">
        <v>101</v>
      </c>
      <c r="N40" s="315"/>
      <c r="O40" s="315" t="s">
        <v>101</v>
      </c>
      <c r="P40" s="315"/>
      <c r="Q40" s="315" t="s">
        <v>101</v>
      </c>
      <c r="R40" s="315"/>
      <c r="S40" s="315" t="s">
        <v>101</v>
      </c>
      <c r="T40" s="315"/>
      <c r="U40" s="315" t="s">
        <v>101</v>
      </c>
      <c r="V40" s="315"/>
      <c r="W40" s="315" t="s">
        <v>101</v>
      </c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58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62" t="s">
        <v>73</v>
      </c>
      <c r="E42" s="59"/>
      <c r="F42" s="60"/>
      <c r="G42" s="52"/>
      <c r="H42" s="44"/>
      <c r="I42" s="315" t="s">
        <v>101</v>
      </c>
      <c r="J42" s="315"/>
      <c r="K42" s="315" t="s">
        <v>101</v>
      </c>
      <c r="L42" s="315"/>
      <c r="M42" s="315" t="s">
        <v>101</v>
      </c>
      <c r="N42" s="315"/>
      <c r="O42" s="315" t="s">
        <v>101</v>
      </c>
      <c r="P42" s="315"/>
      <c r="Q42" s="315" t="s">
        <v>101</v>
      </c>
      <c r="R42" s="315"/>
      <c r="S42" s="315" t="s">
        <v>101</v>
      </c>
      <c r="T42" s="315"/>
      <c r="U42" s="315" t="s">
        <v>101</v>
      </c>
      <c r="V42" s="315"/>
      <c r="W42" s="315" t="s">
        <v>101</v>
      </c>
      <c r="X42" s="315"/>
      <c r="AA42" s="45"/>
      <c r="AB42" s="56"/>
    </row>
    <row r="43" spans="1:28" s="20" customFormat="1" ht="10" customHeight="1">
      <c r="A43" s="353"/>
      <c r="B43" s="353"/>
      <c r="C43" s="318"/>
      <c r="D43" s="58" t="s">
        <v>74</v>
      </c>
      <c r="E43" s="61"/>
      <c r="F43" s="61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62" t="s">
        <v>75</v>
      </c>
      <c r="E44" s="59"/>
      <c r="F44" s="60"/>
      <c r="G44" s="52"/>
      <c r="H44" s="44"/>
      <c r="I44" s="315" t="s">
        <v>101</v>
      </c>
      <c r="J44" s="315"/>
      <c r="K44" s="315" t="s">
        <v>101</v>
      </c>
      <c r="L44" s="315"/>
      <c r="M44" s="315" t="s">
        <v>101</v>
      </c>
      <c r="N44" s="315"/>
      <c r="O44" s="315" t="s">
        <v>101</v>
      </c>
      <c r="P44" s="315"/>
      <c r="Q44" s="315" t="s">
        <v>101</v>
      </c>
      <c r="R44" s="315"/>
      <c r="S44" s="315" t="s">
        <v>101</v>
      </c>
      <c r="T44" s="315"/>
      <c r="U44" s="315" t="s">
        <v>101</v>
      </c>
      <c r="V44" s="315"/>
      <c r="W44" s="315" t="s">
        <v>101</v>
      </c>
      <c r="X44" s="315"/>
      <c r="AA44" s="45"/>
      <c r="AB44" s="56"/>
    </row>
    <row r="45" spans="1:28" s="20" customFormat="1" ht="10" customHeight="1">
      <c r="A45" s="353"/>
      <c r="B45" s="353"/>
      <c r="C45" s="319"/>
      <c r="D45" s="58" t="s">
        <v>76</v>
      </c>
      <c r="E45" s="61"/>
      <c r="F45" s="61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62" t="s">
        <v>77</v>
      </c>
      <c r="E46" s="63"/>
      <c r="F46" s="63"/>
      <c r="G46" s="63"/>
      <c r="H46" s="64"/>
      <c r="I46" s="315" t="s">
        <v>101</v>
      </c>
      <c r="J46" s="315"/>
      <c r="K46" s="315" t="s">
        <v>101</v>
      </c>
      <c r="L46" s="315"/>
      <c r="M46" s="315" t="s">
        <v>101</v>
      </c>
      <c r="N46" s="315"/>
      <c r="O46" s="315" t="s">
        <v>101</v>
      </c>
      <c r="P46" s="315"/>
      <c r="Q46" s="315" t="s">
        <v>101</v>
      </c>
      <c r="R46" s="315"/>
      <c r="S46" s="315" t="s">
        <v>101</v>
      </c>
      <c r="T46" s="315"/>
      <c r="U46" s="315" t="s">
        <v>101</v>
      </c>
      <c r="V46" s="315"/>
      <c r="W46" s="315" t="s">
        <v>101</v>
      </c>
      <c r="X46" s="315"/>
      <c r="AA46" s="45"/>
      <c r="AB46" s="56"/>
    </row>
    <row r="47" spans="1:28" s="20" customFormat="1" ht="10" customHeight="1">
      <c r="A47" s="353"/>
      <c r="B47" s="353"/>
      <c r="C47" s="319"/>
      <c r="D47" s="58" t="s">
        <v>78</v>
      </c>
      <c r="E47" s="65"/>
      <c r="F47" s="65"/>
      <c r="G47" s="65"/>
      <c r="H47" s="66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62" t="s">
        <v>79</v>
      </c>
      <c r="E48" s="63"/>
      <c r="F48" s="63"/>
      <c r="G48" s="63"/>
      <c r="H48" s="64"/>
      <c r="I48" s="315" t="s">
        <v>104</v>
      </c>
      <c r="J48" s="315"/>
      <c r="K48" s="315" t="s">
        <v>104</v>
      </c>
      <c r="L48" s="315"/>
      <c r="M48" s="315" t="s">
        <v>104</v>
      </c>
      <c r="N48" s="315"/>
      <c r="O48" s="315" t="s">
        <v>104</v>
      </c>
      <c r="P48" s="315"/>
      <c r="Q48" s="315" t="s">
        <v>104</v>
      </c>
      <c r="R48" s="315"/>
      <c r="S48" s="315" t="s">
        <v>104</v>
      </c>
      <c r="T48" s="315"/>
      <c r="U48" s="315" t="s">
        <v>104</v>
      </c>
      <c r="V48" s="315"/>
      <c r="W48" s="315" t="s">
        <v>104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58" t="s">
        <v>80</v>
      </c>
      <c r="E49" s="65"/>
      <c r="F49" s="65"/>
      <c r="G49" s="65"/>
      <c r="H49" s="66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105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sortState ref="S8:X28">
    <sortCondition ref="S8"/>
  </sortState>
  <mergeCells count="318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</mergeCells>
  <phoneticPr fontId="10" type="noConversion"/>
  <conditionalFormatting sqref="I28:X29">
    <cfRule type="cellIs" dxfId="335" priority="29" operator="greaterThan">
      <formula>$AA$28</formula>
    </cfRule>
    <cfRule type="cellIs" dxfId="334" priority="30" operator="lessThan">
      <formula>$AA$29</formula>
    </cfRule>
  </conditionalFormatting>
  <conditionalFormatting sqref="I32:X33">
    <cfRule type="cellIs" dxfId="333" priority="7" operator="greaterThan">
      <formula>$AA$32</formula>
    </cfRule>
    <cfRule type="cellIs" dxfId="332" priority="8" operator="lessThan">
      <formula>$AA$33</formula>
    </cfRule>
  </conditionalFormatting>
  <conditionalFormatting sqref="I30:X31">
    <cfRule type="cellIs" dxfId="331" priority="5" operator="greaterThan">
      <formula>$AA$30</formula>
    </cfRule>
    <cfRule type="cellIs" dxfId="330" priority="6" operator="lessThan">
      <formula>$AA$31</formula>
    </cfRule>
  </conditionalFormatting>
  <conditionalFormatting sqref="I26:X27">
    <cfRule type="cellIs" dxfId="329" priority="3" operator="greaterThan">
      <formula>$AA$26</formula>
    </cfRule>
    <cfRule type="cellIs" dxfId="328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8" zoomScale="145" zoomScaleNormal="145" workbookViewId="0">
      <selection activeCell="W32" sqref="W32:X33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75" t="s">
        <v>2</v>
      </c>
      <c r="E2" s="42"/>
      <c r="F2" s="377" t="s">
        <v>97</v>
      </c>
      <c r="G2" s="377"/>
      <c r="H2" s="377"/>
      <c r="I2" s="377"/>
      <c r="J2" s="377"/>
      <c r="K2" s="435"/>
      <c r="L2" s="75" t="s">
        <v>4</v>
      </c>
      <c r="M2" s="377">
        <v>9</v>
      </c>
      <c r="N2" s="378"/>
      <c r="O2" s="75" t="s">
        <v>6</v>
      </c>
      <c r="P2" s="381" t="s">
        <v>81</v>
      </c>
      <c r="Q2" s="382"/>
      <c r="R2" s="382"/>
      <c r="S2" s="382"/>
      <c r="T2" s="382"/>
      <c r="U2" s="382"/>
      <c r="V2" s="383"/>
      <c r="W2" s="75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76" t="s">
        <v>3</v>
      </c>
      <c r="E3" s="43"/>
      <c r="F3" s="436"/>
      <c r="G3" s="436"/>
      <c r="H3" s="436"/>
      <c r="I3" s="436"/>
      <c r="J3" s="436"/>
      <c r="K3" s="437"/>
      <c r="L3" s="76" t="s">
        <v>5</v>
      </c>
      <c r="M3" s="379"/>
      <c r="N3" s="380"/>
      <c r="O3" s="76" t="s">
        <v>7</v>
      </c>
      <c r="P3" s="384"/>
      <c r="Q3" s="384"/>
      <c r="R3" s="384"/>
      <c r="S3" s="384"/>
      <c r="T3" s="384"/>
      <c r="U3" s="384"/>
      <c r="V3" s="385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386" t="s">
        <v>106</v>
      </c>
      <c r="R4" s="387"/>
      <c r="S4" s="387"/>
      <c r="T4" s="388"/>
      <c r="U4" s="75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76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73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2.1019999999999999</v>
      </c>
      <c r="J26" s="320"/>
      <c r="K26" s="320">
        <v>2.1059999999999999</v>
      </c>
      <c r="L26" s="320"/>
      <c r="M26" s="320">
        <v>2.0950000000000002</v>
      </c>
      <c r="N26" s="320"/>
      <c r="O26" s="320">
        <v>2.093</v>
      </c>
      <c r="P26" s="320"/>
      <c r="Q26" s="320">
        <v>2.1080000000000001</v>
      </c>
      <c r="R26" s="320"/>
      <c r="S26" s="320">
        <v>2.1070000000000002</v>
      </c>
      <c r="T26" s="320"/>
      <c r="U26" s="320">
        <v>2.0979999999999999</v>
      </c>
      <c r="V26" s="320"/>
      <c r="W26" s="320">
        <v>2.1059999999999999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2.1040000000000001</v>
      </c>
      <c r="J30" s="320"/>
      <c r="K30" s="320">
        <v>2.105</v>
      </c>
      <c r="L30" s="320"/>
      <c r="M30" s="320">
        <v>2.1019999999999999</v>
      </c>
      <c r="N30" s="320"/>
      <c r="O30" s="320">
        <v>2.1059999999999999</v>
      </c>
      <c r="P30" s="320"/>
      <c r="Q30" s="320">
        <v>2.1059999999999999</v>
      </c>
      <c r="R30" s="320"/>
      <c r="S30" s="320">
        <v>2.105</v>
      </c>
      <c r="T30" s="320"/>
      <c r="U30" s="320">
        <v>2.1019999999999999</v>
      </c>
      <c r="V30" s="320"/>
      <c r="W30" s="320">
        <v>2.1019999999999999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11.01</v>
      </c>
      <c r="J32" s="360"/>
      <c r="K32" s="360">
        <v>11.04</v>
      </c>
      <c r="L32" s="360"/>
      <c r="M32" s="360">
        <v>11.02</v>
      </c>
      <c r="N32" s="360"/>
      <c r="O32" s="360">
        <v>11.04</v>
      </c>
      <c r="P32" s="360"/>
      <c r="Q32" s="360">
        <v>11.04</v>
      </c>
      <c r="R32" s="360"/>
      <c r="S32" s="360">
        <v>11.04</v>
      </c>
      <c r="T32" s="360"/>
      <c r="U32" s="360">
        <v>11.01</v>
      </c>
      <c r="V32" s="360"/>
      <c r="W32" s="360">
        <v>11.02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67" t="s">
        <v>87</v>
      </c>
      <c r="E34" s="68"/>
      <c r="F34" s="68"/>
      <c r="G34" s="68"/>
      <c r="H34" s="69"/>
      <c r="I34" s="315" t="s">
        <v>100</v>
      </c>
      <c r="J34" s="315"/>
      <c r="K34" s="315" t="s">
        <v>100</v>
      </c>
      <c r="L34" s="315"/>
      <c r="M34" s="315" t="s">
        <v>100</v>
      </c>
      <c r="N34" s="315"/>
      <c r="O34" s="315" t="s">
        <v>100</v>
      </c>
      <c r="P34" s="315"/>
      <c r="Q34" s="315" t="s">
        <v>100</v>
      </c>
      <c r="R34" s="315"/>
      <c r="S34" s="315" t="s">
        <v>100</v>
      </c>
      <c r="T34" s="315"/>
      <c r="U34" s="315" t="s">
        <v>100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70" t="s">
        <v>88</v>
      </c>
      <c r="E35" s="71"/>
      <c r="F35" s="71"/>
      <c r="G35" s="71"/>
      <c r="H35" s="72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100</v>
      </c>
      <c r="J36" s="315"/>
      <c r="K36" s="315" t="s">
        <v>100</v>
      </c>
      <c r="L36" s="315"/>
      <c r="M36" s="315" t="s">
        <v>100</v>
      </c>
      <c r="N36" s="315"/>
      <c r="O36" s="315" t="s">
        <v>100</v>
      </c>
      <c r="P36" s="315"/>
      <c r="Q36" s="315" t="s">
        <v>100</v>
      </c>
      <c r="R36" s="315"/>
      <c r="S36" s="315" t="s">
        <v>100</v>
      </c>
      <c r="T36" s="315"/>
      <c r="U36" s="315" t="s">
        <v>100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70" t="s">
        <v>67</v>
      </c>
      <c r="E37" s="71"/>
      <c r="F37" s="71"/>
      <c r="G37" s="71"/>
      <c r="H37" s="72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67" t="s">
        <v>69</v>
      </c>
      <c r="E38" s="68"/>
      <c r="F38" s="68"/>
      <c r="G38" s="68"/>
      <c r="H38" s="69"/>
      <c r="I38" s="315" t="s">
        <v>102</v>
      </c>
      <c r="J38" s="315"/>
      <c r="K38" s="315" t="s">
        <v>102</v>
      </c>
      <c r="L38" s="315"/>
      <c r="M38" s="315" t="s">
        <v>102</v>
      </c>
      <c r="N38" s="315"/>
      <c r="O38" s="315" t="s">
        <v>102</v>
      </c>
      <c r="P38" s="315"/>
      <c r="Q38" s="315" t="s">
        <v>102</v>
      </c>
      <c r="R38" s="315"/>
      <c r="S38" s="315" t="s">
        <v>102</v>
      </c>
      <c r="T38" s="315"/>
      <c r="U38" s="315" t="s">
        <v>102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70" t="s">
        <v>70</v>
      </c>
      <c r="E39" s="71"/>
      <c r="F39" s="71"/>
      <c r="G39" s="71"/>
      <c r="H39" s="72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67" t="s">
        <v>71</v>
      </c>
      <c r="E40" s="54"/>
      <c r="F40" s="54"/>
      <c r="G40" s="54"/>
      <c r="H40" s="38"/>
      <c r="I40" s="315" t="s">
        <v>102</v>
      </c>
      <c r="J40" s="315"/>
      <c r="K40" s="315" t="s">
        <v>102</v>
      </c>
      <c r="L40" s="315"/>
      <c r="M40" s="315" t="s">
        <v>102</v>
      </c>
      <c r="N40" s="315"/>
      <c r="O40" s="315" t="s">
        <v>102</v>
      </c>
      <c r="P40" s="315"/>
      <c r="Q40" s="315" t="s">
        <v>102</v>
      </c>
      <c r="R40" s="315"/>
      <c r="S40" s="315" t="s">
        <v>102</v>
      </c>
      <c r="T40" s="315"/>
      <c r="U40" s="315" t="s">
        <v>102</v>
      </c>
      <c r="V40" s="315"/>
      <c r="W40" s="315" t="s">
        <v>101</v>
      </c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70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67" t="s">
        <v>73</v>
      </c>
      <c r="E42" s="74"/>
      <c r="F42" s="78"/>
      <c r="G42" s="52"/>
      <c r="H42" s="44"/>
      <c r="I42" s="315" t="s">
        <v>102</v>
      </c>
      <c r="J42" s="315"/>
      <c r="K42" s="315" t="s">
        <v>102</v>
      </c>
      <c r="L42" s="315"/>
      <c r="M42" s="315" t="s">
        <v>102</v>
      </c>
      <c r="N42" s="315"/>
      <c r="O42" s="315" t="s">
        <v>102</v>
      </c>
      <c r="P42" s="315"/>
      <c r="Q42" s="315" t="s">
        <v>102</v>
      </c>
      <c r="R42" s="315"/>
      <c r="S42" s="315" t="s">
        <v>102</v>
      </c>
      <c r="T42" s="315"/>
      <c r="U42" s="315" t="s">
        <v>102</v>
      </c>
      <c r="V42" s="315"/>
      <c r="W42" s="315" t="s">
        <v>101</v>
      </c>
      <c r="X42" s="315"/>
      <c r="AA42" s="45"/>
      <c r="AB42" s="56"/>
    </row>
    <row r="43" spans="1:28" s="20" customFormat="1" ht="10" customHeight="1">
      <c r="A43" s="353"/>
      <c r="B43" s="353"/>
      <c r="C43" s="318"/>
      <c r="D43" s="70" t="s">
        <v>74</v>
      </c>
      <c r="E43" s="79"/>
      <c r="F43" s="79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67" t="s">
        <v>75</v>
      </c>
      <c r="E44" s="74"/>
      <c r="F44" s="78"/>
      <c r="G44" s="52"/>
      <c r="H44" s="44"/>
      <c r="I44" s="315" t="s">
        <v>102</v>
      </c>
      <c r="J44" s="315"/>
      <c r="K44" s="315" t="s">
        <v>102</v>
      </c>
      <c r="L44" s="315"/>
      <c r="M44" s="315" t="s">
        <v>102</v>
      </c>
      <c r="N44" s="315"/>
      <c r="O44" s="315" t="s">
        <v>102</v>
      </c>
      <c r="P44" s="315"/>
      <c r="Q44" s="315" t="s">
        <v>102</v>
      </c>
      <c r="R44" s="315"/>
      <c r="S44" s="315" t="s">
        <v>102</v>
      </c>
      <c r="T44" s="315"/>
      <c r="U44" s="315" t="s">
        <v>102</v>
      </c>
      <c r="V44" s="315"/>
      <c r="W44" s="315" t="s">
        <v>101</v>
      </c>
      <c r="X44" s="315"/>
      <c r="AA44" s="45"/>
      <c r="AB44" s="56"/>
    </row>
    <row r="45" spans="1:28" s="20" customFormat="1" ht="10" customHeight="1">
      <c r="A45" s="353"/>
      <c r="B45" s="353"/>
      <c r="C45" s="319"/>
      <c r="D45" s="70" t="s">
        <v>76</v>
      </c>
      <c r="E45" s="79"/>
      <c r="F45" s="79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67" t="s">
        <v>77</v>
      </c>
      <c r="E46" s="68"/>
      <c r="F46" s="68"/>
      <c r="G46" s="68"/>
      <c r="H46" s="69"/>
      <c r="I46" s="315" t="s">
        <v>102</v>
      </c>
      <c r="J46" s="315"/>
      <c r="K46" s="315" t="s">
        <v>102</v>
      </c>
      <c r="L46" s="315"/>
      <c r="M46" s="315" t="s">
        <v>102</v>
      </c>
      <c r="N46" s="315"/>
      <c r="O46" s="315" t="s">
        <v>102</v>
      </c>
      <c r="P46" s="315"/>
      <c r="Q46" s="315" t="s">
        <v>102</v>
      </c>
      <c r="R46" s="315"/>
      <c r="S46" s="315" t="s">
        <v>102</v>
      </c>
      <c r="T46" s="315"/>
      <c r="U46" s="315" t="s">
        <v>102</v>
      </c>
      <c r="V46" s="315"/>
      <c r="W46" s="315" t="s">
        <v>101</v>
      </c>
      <c r="X46" s="315"/>
      <c r="AA46" s="45"/>
      <c r="AB46" s="56"/>
    </row>
    <row r="47" spans="1:28" s="20" customFormat="1" ht="10" customHeight="1">
      <c r="A47" s="353"/>
      <c r="B47" s="353"/>
      <c r="C47" s="319"/>
      <c r="D47" s="70" t="s">
        <v>78</v>
      </c>
      <c r="E47" s="71"/>
      <c r="F47" s="71"/>
      <c r="G47" s="71"/>
      <c r="H47" s="72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67" t="s">
        <v>79</v>
      </c>
      <c r="E48" s="68"/>
      <c r="F48" s="68"/>
      <c r="G48" s="68"/>
      <c r="H48" s="69"/>
      <c r="I48" s="315" t="s">
        <v>103</v>
      </c>
      <c r="J48" s="315"/>
      <c r="K48" s="315" t="s">
        <v>103</v>
      </c>
      <c r="L48" s="315"/>
      <c r="M48" s="315" t="s">
        <v>103</v>
      </c>
      <c r="N48" s="315"/>
      <c r="O48" s="315" t="s">
        <v>103</v>
      </c>
      <c r="P48" s="315"/>
      <c r="Q48" s="315" t="s">
        <v>103</v>
      </c>
      <c r="R48" s="315"/>
      <c r="S48" s="315" t="s">
        <v>103</v>
      </c>
      <c r="T48" s="315"/>
      <c r="U48" s="315" t="s">
        <v>103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70" t="s">
        <v>80</v>
      </c>
      <c r="E49" s="71"/>
      <c r="F49" s="71"/>
      <c r="G49" s="71"/>
      <c r="H49" s="72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105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27" priority="7" operator="greaterThan">
      <formula>$AA$28</formula>
    </cfRule>
    <cfRule type="cellIs" dxfId="326" priority="8" operator="lessThan">
      <formula>$AA$29</formula>
    </cfRule>
  </conditionalFormatting>
  <conditionalFormatting sqref="I32:X33">
    <cfRule type="cellIs" dxfId="325" priority="5" operator="greaterThan">
      <formula>$AA$32</formula>
    </cfRule>
    <cfRule type="cellIs" dxfId="324" priority="6" operator="lessThan">
      <formula>$AA$33</formula>
    </cfRule>
  </conditionalFormatting>
  <conditionalFormatting sqref="I30:X31">
    <cfRule type="cellIs" dxfId="323" priority="3" operator="greaterThan">
      <formula>$AA$30</formula>
    </cfRule>
    <cfRule type="cellIs" dxfId="322" priority="4" operator="lessThan">
      <formula>$AA$31</formula>
    </cfRule>
  </conditionalFormatting>
  <conditionalFormatting sqref="I26:X27">
    <cfRule type="cellIs" dxfId="321" priority="1" operator="greaterThan">
      <formula>$AA$26</formula>
    </cfRule>
    <cfRule type="cellIs" dxfId="3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88" t="s">
        <v>2</v>
      </c>
      <c r="E2" s="42"/>
      <c r="F2" s="377" t="s">
        <v>91</v>
      </c>
      <c r="G2" s="377"/>
      <c r="H2" s="377"/>
      <c r="I2" s="377"/>
      <c r="J2" s="377"/>
      <c r="K2" s="435"/>
      <c r="L2" s="88" t="s">
        <v>4</v>
      </c>
      <c r="M2" s="377">
        <v>9</v>
      </c>
      <c r="N2" s="378"/>
      <c r="O2" s="88" t="s">
        <v>6</v>
      </c>
      <c r="P2" s="381" t="s">
        <v>81</v>
      </c>
      <c r="Q2" s="382"/>
      <c r="R2" s="382"/>
      <c r="S2" s="382"/>
      <c r="T2" s="382"/>
      <c r="U2" s="382"/>
      <c r="V2" s="383"/>
      <c r="W2" s="88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89" t="s">
        <v>3</v>
      </c>
      <c r="E3" s="43"/>
      <c r="F3" s="436"/>
      <c r="G3" s="436"/>
      <c r="H3" s="436"/>
      <c r="I3" s="436"/>
      <c r="J3" s="436"/>
      <c r="K3" s="437"/>
      <c r="L3" s="89" t="s">
        <v>5</v>
      </c>
      <c r="M3" s="379"/>
      <c r="N3" s="380"/>
      <c r="O3" s="89" t="s">
        <v>7</v>
      </c>
      <c r="P3" s="384"/>
      <c r="Q3" s="384"/>
      <c r="R3" s="384"/>
      <c r="S3" s="384"/>
      <c r="T3" s="384"/>
      <c r="U3" s="384"/>
      <c r="V3" s="385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386" t="s">
        <v>106</v>
      </c>
      <c r="R4" s="387"/>
      <c r="S4" s="387"/>
      <c r="T4" s="388"/>
      <c r="U4" s="88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89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86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2.1160000000000001</v>
      </c>
      <c r="J26" s="320"/>
      <c r="K26" s="320">
        <v>2.117</v>
      </c>
      <c r="L26" s="320"/>
      <c r="M26" s="320">
        <v>2.1190000000000002</v>
      </c>
      <c r="N26" s="320"/>
      <c r="O26" s="320">
        <v>2.1120000000000001</v>
      </c>
      <c r="P26" s="320"/>
      <c r="Q26" s="320">
        <v>2.117</v>
      </c>
      <c r="R26" s="320"/>
      <c r="S26" s="320">
        <v>2.1139999999999999</v>
      </c>
      <c r="T26" s="320"/>
      <c r="U26" s="320">
        <v>2.117</v>
      </c>
      <c r="V26" s="320"/>
      <c r="W26" s="320">
        <v>2.1219999999999999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1.98</v>
      </c>
      <c r="V28" s="320"/>
      <c r="W28" s="320">
        <v>2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2.1070000000000002</v>
      </c>
      <c r="J30" s="320"/>
      <c r="K30" s="320">
        <v>2.1110000000000002</v>
      </c>
      <c r="L30" s="320"/>
      <c r="M30" s="320">
        <v>2.1219999999999999</v>
      </c>
      <c r="N30" s="320"/>
      <c r="O30" s="320">
        <v>2.1059999999999999</v>
      </c>
      <c r="P30" s="320"/>
      <c r="Q30" s="320">
        <v>2.1230000000000002</v>
      </c>
      <c r="R30" s="320"/>
      <c r="S30" s="320">
        <v>2.1030000000000002</v>
      </c>
      <c r="T30" s="320"/>
      <c r="U30" s="320">
        <v>2.1139999999999999</v>
      </c>
      <c r="V30" s="320"/>
      <c r="W30" s="320">
        <v>2.09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</v>
      </c>
      <c r="J32" s="360"/>
      <c r="K32" s="360">
        <v>11.01</v>
      </c>
      <c r="L32" s="360"/>
      <c r="M32" s="360">
        <v>11.03</v>
      </c>
      <c r="N32" s="360"/>
      <c r="O32" s="360">
        <v>11.03</v>
      </c>
      <c r="P32" s="360"/>
      <c r="Q32" s="360">
        <v>11.03</v>
      </c>
      <c r="R32" s="360"/>
      <c r="S32" s="360">
        <v>11</v>
      </c>
      <c r="T32" s="360"/>
      <c r="U32" s="360">
        <v>11.03</v>
      </c>
      <c r="V32" s="360"/>
      <c r="W32" s="360">
        <v>11.02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80" t="s">
        <v>87</v>
      </c>
      <c r="E34" s="81"/>
      <c r="F34" s="81"/>
      <c r="G34" s="81"/>
      <c r="H34" s="82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83" t="s">
        <v>88</v>
      </c>
      <c r="E35" s="84"/>
      <c r="F35" s="84"/>
      <c r="G35" s="84"/>
      <c r="H35" s="8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83" t="s">
        <v>67</v>
      </c>
      <c r="E37" s="84"/>
      <c r="F37" s="84"/>
      <c r="G37" s="84"/>
      <c r="H37" s="8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80" t="s">
        <v>69</v>
      </c>
      <c r="E38" s="81"/>
      <c r="F38" s="81"/>
      <c r="G38" s="81"/>
      <c r="H38" s="82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83" t="s">
        <v>70</v>
      </c>
      <c r="E39" s="84"/>
      <c r="F39" s="84"/>
      <c r="G39" s="84"/>
      <c r="H39" s="8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80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83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80" t="s">
        <v>73</v>
      </c>
      <c r="E42" s="87"/>
      <c r="F42" s="91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83" t="s">
        <v>74</v>
      </c>
      <c r="E43" s="92"/>
      <c r="F43" s="92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80" t="s">
        <v>75</v>
      </c>
      <c r="E44" s="87"/>
      <c r="F44" s="91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83" t="s">
        <v>76</v>
      </c>
      <c r="E45" s="92"/>
      <c r="F45" s="92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80" t="s">
        <v>77</v>
      </c>
      <c r="E46" s="81"/>
      <c r="F46" s="81"/>
      <c r="G46" s="81"/>
      <c r="H46" s="82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83" t="s">
        <v>78</v>
      </c>
      <c r="E47" s="84"/>
      <c r="F47" s="84"/>
      <c r="G47" s="84"/>
      <c r="H47" s="8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80" t="s">
        <v>79</v>
      </c>
      <c r="E48" s="81"/>
      <c r="F48" s="81"/>
      <c r="G48" s="81"/>
      <c r="H48" s="82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83" t="s">
        <v>80</v>
      </c>
      <c r="E49" s="84"/>
      <c r="F49" s="84"/>
      <c r="G49" s="84"/>
      <c r="H49" s="8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9" priority="7" operator="greaterThan">
      <formula>$AA$28</formula>
    </cfRule>
    <cfRule type="cellIs" dxfId="318" priority="8" operator="lessThan">
      <formula>$AA$29</formula>
    </cfRule>
  </conditionalFormatting>
  <conditionalFormatting sqref="I32:X33">
    <cfRule type="cellIs" dxfId="317" priority="5" operator="greaterThan">
      <formula>$AA$32</formula>
    </cfRule>
    <cfRule type="cellIs" dxfId="316" priority="6" operator="lessThan">
      <formula>$AA$33</formula>
    </cfRule>
  </conditionalFormatting>
  <conditionalFormatting sqref="I30:X31">
    <cfRule type="cellIs" dxfId="315" priority="3" operator="greaterThan">
      <formula>$AA$30</formula>
    </cfRule>
    <cfRule type="cellIs" dxfId="314" priority="4" operator="lessThan">
      <formula>$AA$31</formula>
    </cfRule>
  </conditionalFormatting>
  <conditionalFormatting sqref="I26:X27">
    <cfRule type="cellIs" dxfId="313" priority="1" operator="greaterThan">
      <formula>$AA$26</formula>
    </cfRule>
    <cfRule type="cellIs" dxfId="3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88" t="s">
        <v>2</v>
      </c>
      <c r="E2" s="42"/>
      <c r="F2" s="377" t="s">
        <v>91</v>
      </c>
      <c r="G2" s="377"/>
      <c r="H2" s="377"/>
      <c r="I2" s="377"/>
      <c r="J2" s="377"/>
      <c r="K2" s="435"/>
      <c r="L2" s="88" t="s">
        <v>4</v>
      </c>
      <c r="M2" s="377">
        <v>9</v>
      </c>
      <c r="N2" s="378"/>
      <c r="O2" s="88" t="s">
        <v>6</v>
      </c>
      <c r="P2" s="381" t="s">
        <v>81</v>
      </c>
      <c r="Q2" s="382"/>
      <c r="R2" s="382"/>
      <c r="S2" s="382"/>
      <c r="T2" s="382"/>
      <c r="U2" s="382"/>
      <c r="V2" s="383"/>
      <c r="W2" s="88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89" t="s">
        <v>3</v>
      </c>
      <c r="E3" s="43"/>
      <c r="F3" s="436"/>
      <c r="G3" s="436"/>
      <c r="H3" s="436"/>
      <c r="I3" s="436"/>
      <c r="J3" s="436"/>
      <c r="K3" s="437"/>
      <c r="L3" s="89" t="s">
        <v>5</v>
      </c>
      <c r="M3" s="379"/>
      <c r="N3" s="380"/>
      <c r="O3" s="89" t="s">
        <v>7</v>
      </c>
      <c r="P3" s="384"/>
      <c r="Q3" s="384"/>
      <c r="R3" s="384"/>
      <c r="S3" s="384"/>
      <c r="T3" s="384"/>
      <c r="U3" s="384"/>
      <c r="V3" s="385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386" t="s">
        <v>106</v>
      </c>
      <c r="R4" s="387"/>
      <c r="S4" s="387"/>
      <c r="T4" s="388"/>
      <c r="U4" s="88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89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86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2.1190000000000002</v>
      </c>
      <c r="J26" s="320"/>
      <c r="K26" s="320">
        <v>2.1219999999999999</v>
      </c>
      <c r="L26" s="320"/>
      <c r="M26" s="320">
        <v>2.1120000000000001</v>
      </c>
      <c r="N26" s="320"/>
      <c r="O26" s="320">
        <v>2.117</v>
      </c>
      <c r="P26" s="320"/>
      <c r="Q26" s="320">
        <v>2.1179999999999999</v>
      </c>
      <c r="R26" s="320"/>
      <c r="S26" s="320">
        <v>2.117</v>
      </c>
      <c r="T26" s="320"/>
      <c r="U26" s="320">
        <v>2.1150000000000002</v>
      </c>
      <c r="V26" s="320"/>
      <c r="W26" s="320">
        <v>2.117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2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2.1080000000000001</v>
      </c>
      <c r="J30" s="320"/>
      <c r="K30" s="320">
        <v>2.1110000000000002</v>
      </c>
      <c r="L30" s="320"/>
      <c r="M30" s="320">
        <v>2.1120000000000001</v>
      </c>
      <c r="N30" s="320"/>
      <c r="O30" s="320">
        <v>2.1070000000000002</v>
      </c>
      <c r="P30" s="320"/>
      <c r="Q30" s="320">
        <v>2.1160000000000001</v>
      </c>
      <c r="R30" s="320"/>
      <c r="S30" s="320">
        <v>2.113</v>
      </c>
      <c r="T30" s="320"/>
      <c r="U30" s="320">
        <v>2.1040000000000001</v>
      </c>
      <c r="V30" s="320"/>
      <c r="W30" s="320">
        <v>2.1070000000000002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11.03</v>
      </c>
      <c r="J32" s="360"/>
      <c r="K32" s="360">
        <v>11</v>
      </c>
      <c r="L32" s="360"/>
      <c r="M32" s="360">
        <v>11.03</v>
      </c>
      <c r="N32" s="360"/>
      <c r="O32" s="360">
        <v>11.04</v>
      </c>
      <c r="P32" s="360"/>
      <c r="Q32" s="360">
        <v>11.03</v>
      </c>
      <c r="R32" s="360"/>
      <c r="S32" s="360">
        <v>11.02</v>
      </c>
      <c r="T32" s="360"/>
      <c r="U32" s="360">
        <v>11</v>
      </c>
      <c r="V32" s="360"/>
      <c r="W32" s="360">
        <v>11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80" t="s">
        <v>87</v>
      </c>
      <c r="E34" s="81"/>
      <c r="F34" s="81"/>
      <c r="G34" s="81"/>
      <c r="H34" s="82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83" t="s">
        <v>88</v>
      </c>
      <c r="E35" s="84"/>
      <c r="F35" s="84"/>
      <c r="G35" s="84"/>
      <c r="H35" s="8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83" t="s">
        <v>67</v>
      </c>
      <c r="E37" s="84"/>
      <c r="F37" s="84"/>
      <c r="G37" s="84"/>
      <c r="H37" s="8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80" t="s">
        <v>69</v>
      </c>
      <c r="E38" s="81"/>
      <c r="F38" s="81"/>
      <c r="G38" s="81"/>
      <c r="H38" s="82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83" t="s">
        <v>70</v>
      </c>
      <c r="E39" s="84"/>
      <c r="F39" s="84"/>
      <c r="G39" s="84"/>
      <c r="H39" s="8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80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83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80" t="s">
        <v>73</v>
      </c>
      <c r="E42" s="87"/>
      <c r="F42" s="91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83" t="s">
        <v>74</v>
      </c>
      <c r="E43" s="92"/>
      <c r="F43" s="92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80" t="s">
        <v>75</v>
      </c>
      <c r="E44" s="87"/>
      <c r="F44" s="91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83" t="s">
        <v>76</v>
      </c>
      <c r="E45" s="92"/>
      <c r="F45" s="92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80" t="s">
        <v>77</v>
      </c>
      <c r="E46" s="81"/>
      <c r="F46" s="81"/>
      <c r="G46" s="81"/>
      <c r="H46" s="82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83" t="s">
        <v>78</v>
      </c>
      <c r="E47" s="84"/>
      <c r="F47" s="84"/>
      <c r="G47" s="84"/>
      <c r="H47" s="8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80" t="s">
        <v>79</v>
      </c>
      <c r="E48" s="81"/>
      <c r="F48" s="81"/>
      <c r="G48" s="81"/>
      <c r="H48" s="82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83" t="s">
        <v>80</v>
      </c>
      <c r="E49" s="84"/>
      <c r="F49" s="84"/>
      <c r="G49" s="84"/>
      <c r="H49" s="8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11" priority="7" operator="greaterThan">
      <formula>$AA$28</formula>
    </cfRule>
    <cfRule type="cellIs" dxfId="310" priority="8" operator="lessThan">
      <formula>$AA$29</formula>
    </cfRule>
  </conditionalFormatting>
  <conditionalFormatting sqref="I32:X33">
    <cfRule type="cellIs" dxfId="309" priority="5" operator="greaterThan">
      <formula>$AA$32</formula>
    </cfRule>
    <cfRule type="cellIs" dxfId="308" priority="6" operator="lessThan">
      <formula>$AA$33</formula>
    </cfRule>
  </conditionalFormatting>
  <conditionalFormatting sqref="I30:X31">
    <cfRule type="cellIs" dxfId="307" priority="3" operator="greaterThan">
      <formula>$AA$30</formula>
    </cfRule>
    <cfRule type="cellIs" dxfId="306" priority="4" operator="lessThan">
      <formula>$AA$31</formula>
    </cfRule>
  </conditionalFormatting>
  <conditionalFormatting sqref="I26:X27">
    <cfRule type="cellIs" dxfId="305" priority="1" operator="greaterThan">
      <formula>$AA$26</formula>
    </cfRule>
    <cfRule type="cellIs" dxfId="3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88" t="s">
        <v>2</v>
      </c>
      <c r="E2" s="42"/>
      <c r="F2" s="377" t="s">
        <v>91</v>
      </c>
      <c r="G2" s="377"/>
      <c r="H2" s="377"/>
      <c r="I2" s="377"/>
      <c r="J2" s="377"/>
      <c r="K2" s="435"/>
      <c r="L2" s="88" t="s">
        <v>4</v>
      </c>
      <c r="M2" s="377">
        <v>9</v>
      </c>
      <c r="N2" s="378"/>
      <c r="O2" s="88" t="s">
        <v>6</v>
      </c>
      <c r="P2" s="381" t="s">
        <v>81</v>
      </c>
      <c r="Q2" s="382"/>
      <c r="R2" s="382"/>
      <c r="S2" s="382"/>
      <c r="T2" s="382"/>
      <c r="U2" s="382"/>
      <c r="V2" s="383"/>
      <c r="W2" s="88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89" t="s">
        <v>3</v>
      </c>
      <c r="E3" s="43"/>
      <c r="F3" s="436"/>
      <c r="G3" s="436"/>
      <c r="H3" s="436"/>
      <c r="I3" s="436"/>
      <c r="J3" s="436"/>
      <c r="K3" s="437"/>
      <c r="L3" s="89" t="s">
        <v>5</v>
      </c>
      <c r="M3" s="379"/>
      <c r="N3" s="380"/>
      <c r="O3" s="89" t="s">
        <v>7</v>
      </c>
      <c r="P3" s="384"/>
      <c r="Q3" s="384"/>
      <c r="R3" s="384"/>
      <c r="S3" s="384"/>
      <c r="T3" s="384"/>
      <c r="U3" s="384"/>
      <c r="V3" s="385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386" t="s">
        <v>108</v>
      </c>
      <c r="R4" s="387"/>
      <c r="S4" s="387"/>
      <c r="T4" s="388"/>
      <c r="U4" s="88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89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86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2.1019999999999999</v>
      </c>
      <c r="J26" s="320"/>
      <c r="K26" s="320">
        <v>2.1030000000000002</v>
      </c>
      <c r="L26" s="320"/>
      <c r="M26" s="320">
        <v>2.1059999999999999</v>
      </c>
      <c r="N26" s="320"/>
      <c r="O26" s="320">
        <v>2.1030000000000002</v>
      </c>
      <c r="P26" s="320"/>
      <c r="Q26" s="320">
        <v>2.1059999999999999</v>
      </c>
      <c r="R26" s="320"/>
      <c r="S26" s="320">
        <v>2.1</v>
      </c>
      <c r="T26" s="320"/>
      <c r="U26" s="320">
        <v>2.1019999999999999</v>
      </c>
      <c r="V26" s="320"/>
      <c r="W26" s="320">
        <v>2.1070000000000002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2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2.1059999999999999</v>
      </c>
      <c r="J30" s="320"/>
      <c r="K30" s="320">
        <v>2.1030000000000002</v>
      </c>
      <c r="L30" s="320"/>
      <c r="M30" s="320">
        <v>2.0990000000000002</v>
      </c>
      <c r="N30" s="320"/>
      <c r="O30" s="320">
        <v>2.1080000000000001</v>
      </c>
      <c r="P30" s="320"/>
      <c r="Q30" s="320">
        <v>2.113</v>
      </c>
      <c r="R30" s="320"/>
      <c r="S30" s="320">
        <v>2.1</v>
      </c>
      <c r="T30" s="320"/>
      <c r="U30" s="320">
        <v>2.1059999999999999</v>
      </c>
      <c r="V30" s="320"/>
      <c r="W30" s="320">
        <v>2.0870000000000002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</v>
      </c>
      <c r="J32" s="360"/>
      <c r="K32" s="360">
        <v>11.02</v>
      </c>
      <c r="L32" s="360"/>
      <c r="M32" s="360">
        <v>11.01</v>
      </c>
      <c r="N32" s="360"/>
      <c r="O32" s="360">
        <v>11.03</v>
      </c>
      <c r="P32" s="360"/>
      <c r="Q32" s="360">
        <v>11.03</v>
      </c>
      <c r="R32" s="360"/>
      <c r="S32" s="360">
        <v>11.01</v>
      </c>
      <c r="T32" s="360"/>
      <c r="U32" s="360">
        <v>11</v>
      </c>
      <c r="V32" s="360"/>
      <c r="W32" s="360">
        <v>11.02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80" t="s">
        <v>87</v>
      </c>
      <c r="E34" s="81"/>
      <c r="F34" s="81"/>
      <c r="G34" s="81"/>
      <c r="H34" s="82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83" t="s">
        <v>88</v>
      </c>
      <c r="E35" s="84"/>
      <c r="F35" s="84"/>
      <c r="G35" s="84"/>
      <c r="H35" s="8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83" t="s">
        <v>67</v>
      </c>
      <c r="E37" s="84"/>
      <c r="F37" s="84"/>
      <c r="G37" s="84"/>
      <c r="H37" s="8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80" t="s">
        <v>69</v>
      </c>
      <c r="E38" s="81"/>
      <c r="F38" s="81"/>
      <c r="G38" s="81"/>
      <c r="H38" s="82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83" t="s">
        <v>70</v>
      </c>
      <c r="E39" s="84"/>
      <c r="F39" s="84"/>
      <c r="G39" s="84"/>
      <c r="H39" s="8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80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83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80" t="s">
        <v>73</v>
      </c>
      <c r="E42" s="87"/>
      <c r="F42" s="91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83" t="s">
        <v>74</v>
      </c>
      <c r="E43" s="92"/>
      <c r="F43" s="92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80" t="s">
        <v>75</v>
      </c>
      <c r="E44" s="87"/>
      <c r="F44" s="91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83" t="s">
        <v>76</v>
      </c>
      <c r="E45" s="92"/>
      <c r="F45" s="92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80" t="s">
        <v>77</v>
      </c>
      <c r="E46" s="81"/>
      <c r="F46" s="81"/>
      <c r="G46" s="81"/>
      <c r="H46" s="82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83" t="s">
        <v>78</v>
      </c>
      <c r="E47" s="84"/>
      <c r="F47" s="84"/>
      <c r="G47" s="84"/>
      <c r="H47" s="8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80" t="s">
        <v>79</v>
      </c>
      <c r="E48" s="81"/>
      <c r="F48" s="81"/>
      <c r="G48" s="81"/>
      <c r="H48" s="82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83" t="s">
        <v>80</v>
      </c>
      <c r="E49" s="84"/>
      <c r="F49" s="84"/>
      <c r="G49" s="84"/>
      <c r="H49" s="8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03" priority="7" operator="greaterThan">
      <formula>$AA$28</formula>
    </cfRule>
    <cfRule type="cellIs" dxfId="302" priority="8" operator="lessThan">
      <formula>$AA$29</formula>
    </cfRule>
  </conditionalFormatting>
  <conditionalFormatting sqref="I32:X33">
    <cfRule type="cellIs" dxfId="301" priority="5" operator="greaterThan">
      <formula>$AA$32</formula>
    </cfRule>
    <cfRule type="cellIs" dxfId="300" priority="6" operator="lessThan">
      <formula>$AA$33</formula>
    </cfRule>
  </conditionalFormatting>
  <conditionalFormatting sqref="I30:X31">
    <cfRule type="cellIs" dxfId="299" priority="3" operator="greaterThan">
      <formula>$AA$30</formula>
    </cfRule>
    <cfRule type="cellIs" dxfId="298" priority="4" operator="lessThan">
      <formula>$AA$31</formula>
    </cfRule>
  </conditionalFormatting>
  <conditionalFormatting sqref="I26:X27">
    <cfRule type="cellIs" dxfId="297" priority="1" operator="greaterThan">
      <formula>$AA$26</formula>
    </cfRule>
    <cfRule type="cellIs" dxfId="2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88" t="s">
        <v>2</v>
      </c>
      <c r="E2" s="42"/>
      <c r="F2" s="377" t="s">
        <v>91</v>
      </c>
      <c r="G2" s="377"/>
      <c r="H2" s="377"/>
      <c r="I2" s="377"/>
      <c r="J2" s="377"/>
      <c r="K2" s="435"/>
      <c r="L2" s="88" t="s">
        <v>4</v>
      </c>
      <c r="M2" s="377">
        <v>9</v>
      </c>
      <c r="N2" s="378"/>
      <c r="O2" s="88" t="s">
        <v>6</v>
      </c>
      <c r="P2" s="381" t="s">
        <v>81</v>
      </c>
      <c r="Q2" s="382"/>
      <c r="R2" s="382"/>
      <c r="S2" s="382"/>
      <c r="T2" s="382"/>
      <c r="U2" s="382"/>
      <c r="V2" s="383"/>
      <c r="W2" s="88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89" t="s">
        <v>3</v>
      </c>
      <c r="E3" s="43"/>
      <c r="F3" s="436"/>
      <c r="G3" s="436"/>
      <c r="H3" s="436"/>
      <c r="I3" s="436"/>
      <c r="J3" s="436"/>
      <c r="K3" s="437"/>
      <c r="L3" s="89" t="s">
        <v>5</v>
      </c>
      <c r="M3" s="379"/>
      <c r="N3" s="380"/>
      <c r="O3" s="89" t="s">
        <v>7</v>
      </c>
      <c r="P3" s="384"/>
      <c r="Q3" s="384"/>
      <c r="R3" s="384"/>
      <c r="S3" s="384"/>
      <c r="T3" s="384"/>
      <c r="U3" s="384"/>
      <c r="V3" s="385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386" t="s">
        <v>108</v>
      </c>
      <c r="R4" s="387"/>
      <c r="S4" s="387"/>
      <c r="T4" s="388"/>
      <c r="U4" s="88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89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86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2.1040000000000001</v>
      </c>
      <c r="J26" s="320"/>
      <c r="K26" s="320">
        <v>2.1080000000000001</v>
      </c>
      <c r="L26" s="320"/>
      <c r="M26" s="320">
        <v>2.0990000000000002</v>
      </c>
      <c r="N26" s="320"/>
      <c r="O26" s="320">
        <v>2.105</v>
      </c>
      <c r="P26" s="320"/>
      <c r="Q26" s="320">
        <v>2.1070000000000002</v>
      </c>
      <c r="R26" s="320"/>
      <c r="S26" s="320">
        <v>2.1059999999999999</v>
      </c>
      <c r="T26" s="320"/>
      <c r="U26" s="320">
        <v>2.1040000000000001</v>
      </c>
      <c r="V26" s="320"/>
      <c r="W26" s="320">
        <v>2.1040000000000001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2.105</v>
      </c>
      <c r="J30" s="320"/>
      <c r="K30" s="320">
        <v>2.109</v>
      </c>
      <c r="L30" s="320"/>
      <c r="M30" s="320">
        <v>2.097</v>
      </c>
      <c r="N30" s="320"/>
      <c r="O30" s="320">
        <v>2.1019999999999999</v>
      </c>
      <c r="P30" s="320"/>
      <c r="Q30" s="320">
        <v>2.11</v>
      </c>
      <c r="R30" s="320"/>
      <c r="S30" s="320">
        <v>2.105</v>
      </c>
      <c r="T30" s="320"/>
      <c r="U30" s="320">
        <v>2.0960000000000001</v>
      </c>
      <c r="V30" s="320"/>
      <c r="W30" s="320">
        <v>2.105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11.02</v>
      </c>
      <c r="J32" s="360"/>
      <c r="K32" s="360">
        <v>11.01</v>
      </c>
      <c r="L32" s="360"/>
      <c r="M32" s="360">
        <v>11.02</v>
      </c>
      <c r="N32" s="360"/>
      <c r="O32" s="360">
        <v>11.04</v>
      </c>
      <c r="P32" s="360"/>
      <c r="Q32" s="360">
        <v>11.03</v>
      </c>
      <c r="R32" s="360"/>
      <c r="S32" s="360">
        <v>11.01</v>
      </c>
      <c r="T32" s="360"/>
      <c r="U32" s="360">
        <v>11.02</v>
      </c>
      <c r="V32" s="360"/>
      <c r="W32" s="360">
        <v>11.01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80" t="s">
        <v>87</v>
      </c>
      <c r="E34" s="81"/>
      <c r="F34" s="81"/>
      <c r="G34" s="81"/>
      <c r="H34" s="82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83" t="s">
        <v>88</v>
      </c>
      <c r="E35" s="84"/>
      <c r="F35" s="84"/>
      <c r="G35" s="84"/>
      <c r="H35" s="8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83" t="s">
        <v>67</v>
      </c>
      <c r="E37" s="84"/>
      <c r="F37" s="84"/>
      <c r="G37" s="84"/>
      <c r="H37" s="8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80" t="s">
        <v>69</v>
      </c>
      <c r="E38" s="81"/>
      <c r="F38" s="81"/>
      <c r="G38" s="81"/>
      <c r="H38" s="82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83" t="s">
        <v>70</v>
      </c>
      <c r="E39" s="84"/>
      <c r="F39" s="84"/>
      <c r="G39" s="84"/>
      <c r="H39" s="8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80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83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80" t="s">
        <v>73</v>
      </c>
      <c r="E42" s="87"/>
      <c r="F42" s="91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83" t="s">
        <v>74</v>
      </c>
      <c r="E43" s="92"/>
      <c r="F43" s="92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80" t="s">
        <v>75</v>
      </c>
      <c r="E44" s="87"/>
      <c r="F44" s="91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83" t="s">
        <v>76</v>
      </c>
      <c r="E45" s="92"/>
      <c r="F45" s="92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80" t="s">
        <v>77</v>
      </c>
      <c r="E46" s="81"/>
      <c r="F46" s="81"/>
      <c r="G46" s="81"/>
      <c r="H46" s="82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83" t="s">
        <v>78</v>
      </c>
      <c r="E47" s="84"/>
      <c r="F47" s="84"/>
      <c r="G47" s="84"/>
      <c r="H47" s="8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80" t="s">
        <v>79</v>
      </c>
      <c r="E48" s="81"/>
      <c r="F48" s="81"/>
      <c r="G48" s="81"/>
      <c r="H48" s="82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83" t="s">
        <v>80</v>
      </c>
      <c r="E49" s="84"/>
      <c r="F49" s="84"/>
      <c r="G49" s="84"/>
      <c r="H49" s="8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95" priority="7" operator="greaterThan">
      <formula>$AA$28</formula>
    </cfRule>
    <cfRule type="cellIs" dxfId="294" priority="8" operator="lessThan">
      <formula>$AA$29</formula>
    </cfRule>
  </conditionalFormatting>
  <conditionalFormatting sqref="I32:X33">
    <cfRule type="cellIs" dxfId="293" priority="5" operator="greaterThan">
      <formula>$AA$32</formula>
    </cfRule>
    <cfRule type="cellIs" dxfId="292" priority="6" operator="lessThan">
      <formula>$AA$33</formula>
    </cfRule>
  </conditionalFormatting>
  <conditionalFormatting sqref="I30:X31">
    <cfRule type="cellIs" dxfId="291" priority="3" operator="greaterThan">
      <formula>$AA$30</formula>
    </cfRule>
    <cfRule type="cellIs" dxfId="290" priority="4" operator="lessThan">
      <formula>$AA$31</formula>
    </cfRule>
  </conditionalFormatting>
  <conditionalFormatting sqref="I26:X27">
    <cfRule type="cellIs" dxfId="289" priority="1" operator="greaterThan">
      <formula>$AA$26</formula>
    </cfRule>
    <cfRule type="cellIs" dxfId="2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88" t="s">
        <v>2</v>
      </c>
      <c r="E2" s="42"/>
      <c r="F2" s="377" t="s">
        <v>91</v>
      </c>
      <c r="G2" s="377"/>
      <c r="H2" s="377"/>
      <c r="I2" s="377"/>
      <c r="J2" s="377"/>
      <c r="K2" s="435"/>
      <c r="L2" s="88" t="s">
        <v>4</v>
      </c>
      <c r="M2" s="377">
        <v>9</v>
      </c>
      <c r="N2" s="378"/>
      <c r="O2" s="88" t="s">
        <v>6</v>
      </c>
      <c r="P2" s="381" t="s">
        <v>81</v>
      </c>
      <c r="Q2" s="382"/>
      <c r="R2" s="382"/>
      <c r="S2" s="382"/>
      <c r="T2" s="382"/>
      <c r="U2" s="382"/>
      <c r="V2" s="383"/>
      <c r="W2" s="88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89" t="s">
        <v>3</v>
      </c>
      <c r="E3" s="43"/>
      <c r="F3" s="436"/>
      <c r="G3" s="436"/>
      <c r="H3" s="436"/>
      <c r="I3" s="436"/>
      <c r="J3" s="436"/>
      <c r="K3" s="437"/>
      <c r="L3" s="89" t="s">
        <v>5</v>
      </c>
      <c r="M3" s="379"/>
      <c r="N3" s="380"/>
      <c r="O3" s="89" t="s">
        <v>7</v>
      </c>
      <c r="P3" s="384"/>
      <c r="Q3" s="384"/>
      <c r="R3" s="384"/>
      <c r="S3" s="384"/>
      <c r="T3" s="384"/>
      <c r="U3" s="384"/>
      <c r="V3" s="385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386" t="s">
        <v>109</v>
      </c>
      <c r="R4" s="387"/>
      <c r="S4" s="387"/>
      <c r="T4" s="388"/>
      <c r="U4" s="88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89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86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2.097</v>
      </c>
      <c r="J26" s="320"/>
      <c r="K26" s="320">
        <v>2.1</v>
      </c>
      <c r="L26" s="320"/>
      <c r="M26" s="320">
        <v>2.105</v>
      </c>
      <c r="N26" s="320"/>
      <c r="O26" s="320">
        <v>2.105</v>
      </c>
      <c r="P26" s="320"/>
      <c r="Q26" s="320">
        <v>2.1059999999999999</v>
      </c>
      <c r="R26" s="320"/>
      <c r="S26" s="320">
        <v>2.101</v>
      </c>
      <c r="T26" s="320"/>
      <c r="U26" s="320">
        <v>2.101</v>
      </c>
      <c r="V26" s="320"/>
      <c r="W26" s="320">
        <v>2.101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2.1019999999999999</v>
      </c>
      <c r="J30" s="320"/>
      <c r="K30" s="320">
        <v>2.1040000000000001</v>
      </c>
      <c r="L30" s="320"/>
      <c r="M30" s="320">
        <v>2.1120000000000001</v>
      </c>
      <c r="N30" s="320"/>
      <c r="O30" s="320">
        <v>2.0990000000000002</v>
      </c>
      <c r="P30" s="320"/>
      <c r="Q30" s="320">
        <v>2.113</v>
      </c>
      <c r="R30" s="320"/>
      <c r="S30" s="320">
        <v>2.0950000000000002</v>
      </c>
      <c r="T30" s="320"/>
      <c r="U30" s="320">
        <v>2.1059999999999999</v>
      </c>
      <c r="V30" s="320"/>
      <c r="W30" s="320">
        <v>2.09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</v>
      </c>
      <c r="J32" s="360"/>
      <c r="K32" s="360">
        <v>11</v>
      </c>
      <c r="L32" s="360"/>
      <c r="M32" s="360">
        <v>11.03</v>
      </c>
      <c r="N32" s="360"/>
      <c r="O32" s="360">
        <v>11.04</v>
      </c>
      <c r="P32" s="360"/>
      <c r="Q32" s="360">
        <v>11.03</v>
      </c>
      <c r="R32" s="360"/>
      <c r="S32" s="360">
        <v>11.01</v>
      </c>
      <c r="T32" s="360"/>
      <c r="U32" s="360">
        <v>11.02</v>
      </c>
      <c r="V32" s="360"/>
      <c r="W32" s="360">
        <v>11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80" t="s">
        <v>87</v>
      </c>
      <c r="E34" s="81"/>
      <c r="F34" s="81"/>
      <c r="G34" s="81"/>
      <c r="H34" s="82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83" t="s">
        <v>88</v>
      </c>
      <c r="E35" s="84"/>
      <c r="F35" s="84"/>
      <c r="G35" s="84"/>
      <c r="H35" s="8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83" t="s">
        <v>67</v>
      </c>
      <c r="E37" s="84"/>
      <c r="F37" s="84"/>
      <c r="G37" s="84"/>
      <c r="H37" s="8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80" t="s">
        <v>69</v>
      </c>
      <c r="E38" s="81"/>
      <c r="F38" s="81"/>
      <c r="G38" s="81"/>
      <c r="H38" s="82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83" t="s">
        <v>70</v>
      </c>
      <c r="E39" s="84"/>
      <c r="F39" s="84"/>
      <c r="G39" s="84"/>
      <c r="H39" s="8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80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83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80" t="s">
        <v>73</v>
      </c>
      <c r="E42" s="87"/>
      <c r="F42" s="91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83" t="s">
        <v>74</v>
      </c>
      <c r="E43" s="92"/>
      <c r="F43" s="92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80" t="s">
        <v>75</v>
      </c>
      <c r="E44" s="87"/>
      <c r="F44" s="91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83" t="s">
        <v>76</v>
      </c>
      <c r="E45" s="92"/>
      <c r="F45" s="92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80" t="s">
        <v>77</v>
      </c>
      <c r="E46" s="81"/>
      <c r="F46" s="81"/>
      <c r="G46" s="81"/>
      <c r="H46" s="82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83" t="s">
        <v>78</v>
      </c>
      <c r="E47" s="84"/>
      <c r="F47" s="84"/>
      <c r="G47" s="84"/>
      <c r="H47" s="8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80" t="s">
        <v>79</v>
      </c>
      <c r="E48" s="81"/>
      <c r="F48" s="81"/>
      <c r="G48" s="81"/>
      <c r="H48" s="82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83" t="s">
        <v>80</v>
      </c>
      <c r="E49" s="84"/>
      <c r="F49" s="84"/>
      <c r="G49" s="84"/>
      <c r="H49" s="8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87" priority="7" operator="greaterThan">
      <formula>$AA$28</formula>
    </cfRule>
    <cfRule type="cellIs" dxfId="286" priority="8" operator="lessThan">
      <formula>$AA$29</formula>
    </cfRule>
  </conditionalFormatting>
  <conditionalFormatting sqref="I32:X33">
    <cfRule type="cellIs" dxfId="285" priority="5" operator="greaterThan">
      <formula>$AA$32</formula>
    </cfRule>
    <cfRule type="cellIs" dxfId="284" priority="6" operator="lessThan">
      <formula>$AA$33</formula>
    </cfRule>
  </conditionalFormatting>
  <conditionalFormatting sqref="I30:X31">
    <cfRule type="cellIs" dxfId="283" priority="3" operator="greaterThan">
      <formula>$AA$30</formula>
    </cfRule>
    <cfRule type="cellIs" dxfId="282" priority="4" operator="lessThan">
      <formula>$AA$31</formula>
    </cfRule>
  </conditionalFormatting>
  <conditionalFormatting sqref="I26:X27">
    <cfRule type="cellIs" dxfId="281" priority="1" operator="greaterThan">
      <formula>$AA$26</formula>
    </cfRule>
    <cfRule type="cellIs" dxfId="2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88" t="s">
        <v>2</v>
      </c>
      <c r="E2" s="42"/>
      <c r="F2" s="377" t="s">
        <v>91</v>
      </c>
      <c r="G2" s="377"/>
      <c r="H2" s="377"/>
      <c r="I2" s="377"/>
      <c r="J2" s="377"/>
      <c r="K2" s="435"/>
      <c r="L2" s="88" t="s">
        <v>4</v>
      </c>
      <c r="M2" s="377">
        <v>9</v>
      </c>
      <c r="N2" s="378"/>
      <c r="O2" s="88" t="s">
        <v>6</v>
      </c>
      <c r="P2" s="381" t="s">
        <v>81</v>
      </c>
      <c r="Q2" s="382"/>
      <c r="R2" s="382"/>
      <c r="S2" s="382"/>
      <c r="T2" s="382"/>
      <c r="U2" s="382"/>
      <c r="V2" s="383"/>
      <c r="W2" s="88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89" t="s">
        <v>3</v>
      </c>
      <c r="E3" s="43"/>
      <c r="F3" s="436"/>
      <c r="G3" s="436"/>
      <c r="H3" s="436"/>
      <c r="I3" s="436"/>
      <c r="J3" s="436"/>
      <c r="K3" s="437"/>
      <c r="L3" s="89" t="s">
        <v>5</v>
      </c>
      <c r="M3" s="379"/>
      <c r="N3" s="380"/>
      <c r="O3" s="89" t="s">
        <v>7</v>
      </c>
      <c r="P3" s="384"/>
      <c r="Q3" s="384"/>
      <c r="R3" s="384"/>
      <c r="S3" s="384"/>
      <c r="T3" s="384"/>
      <c r="U3" s="384"/>
      <c r="V3" s="385"/>
      <c r="W3" s="89" t="s">
        <v>8</v>
      </c>
      <c r="X3" s="9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88" t="s">
        <v>9</v>
      </c>
      <c r="P4" s="6"/>
      <c r="Q4" s="386" t="s">
        <v>109</v>
      </c>
      <c r="R4" s="387"/>
      <c r="S4" s="387"/>
      <c r="T4" s="388"/>
      <c r="U4" s="88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89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86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</v>
      </c>
      <c r="J26" s="320"/>
      <c r="K26" s="320">
        <v>2.1030000000000002</v>
      </c>
      <c r="L26" s="320"/>
      <c r="M26" s="320">
        <v>2.1</v>
      </c>
      <c r="N26" s="320"/>
      <c r="O26" s="320">
        <v>2.105</v>
      </c>
      <c r="P26" s="320"/>
      <c r="Q26" s="320">
        <v>2.1070000000000002</v>
      </c>
      <c r="R26" s="320"/>
      <c r="S26" s="320">
        <v>2.1030000000000002</v>
      </c>
      <c r="T26" s="320"/>
      <c r="U26" s="320">
        <v>2.101</v>
      </c>
      <c r="V26" s="320"/>
      <c r="W26" s="320">
        <v>2.097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2.0960000000000001</v>
      </c>
      <c r="J30" s="320"/>
      <c r="K30" s="320">
        <v>2.105</v>
      </c>
      <c r="L30" s="320"/>
      <c r="M30" s="320">
        <v>2.085</v>
      </c>
      <c r="N30" s="320"/>
      <c r="O30" s="320">
        <v>2.0960000000000001</v>
      </c>
      <c r="P30" s="320"/>
      <c r="Q30" s="320">
        <v>2.105</v>
      </c>
      <c r="R30" s="320"/>
      <c r="S30" s="320">
        <v>2.1080000000000001</v>
      </c>
      <c r="T30" s="320"/>
      <c r="U30" s="320">
        <v>2.0880000000000001</v>
      </c>
      <c r="V30" s="320"/>
      <c r="W30" s="320">
        <v>2.1040000000000001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11.02</v>
      </c>
      <c r="J32" s="360"/>
      <c r="K32" s="360">
        <v>11.03</v>
      </c>
      <c r="L32" s="360"/>
      <c r="M32" s="360">
        <v>11.02</v>
      </c>
      <c r="N32" s="360"/>
      <c r="O32" s="360">
        <v>11.02</v>
      </c>
      <c r="P32" s="360"/>
      <c r="Q32" s="360">
        <v>11.03</v>
      </c>
      <c r="R32" s="360"/>
      <c r="S32" s="360">
        <v>11.03</v>
      </c>
      <c r="T32" s="360"/>
      <c r="U32" s="360">
        <v>11</v>
      </c>
      <c r="V32" s="360"/>
      <c r="W32" s="360">
        <v>11.01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80" t="s">
        <v>87</v>
      </c>
      <c r="E34" s="81"/>
      <c r="F34" s="81"/>
      <c r="G34" s="81"/>
      <c r="H34" s="82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83" t="s">
        <v>88</v>
      </c>
      <c r="E35" s="84"/>
      <c r="F35" s="84"/>
      <c r="G35" s="84"/>
      <c r="H35" s="8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83" t="s">
        <v>67</v>
      </c>
      <c r="E37" s="84"/>
      <c r="F37" s="84"/>
      <c r="G37" s="84"/>
      <c r="H37" s="8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80" t="s">
        <v>69</v>
      </c>
      <c r="E38" s="81"/>
      <c r="F38" s="81"/>
      <c r="G38" s="81"/>
      <c r="H38" s="82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83" t="s">
        <v>70</v>
      </c>
      <c r="E39" s="84"/>
      <c r="F39" s="84"/>
      <c r="G39" s="84"/>
      <c r="H39" s="8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80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83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80" t="s">
        <v>73</v>
      </c>
      <c r="E42" s="87"/>
      <c r="F42" s="91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83" t="s">
        <v>74</v>
      </c>
      <c r="E43" s="92"/>
      <c r="F43" s="92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80" t="s">
        <v>75</v>
      </c>
      <c r="E44" s="87"/>
      <c r="F44" s="91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83" t="s">
        <v>76</v>
      </c>
      <c r="E45" s="92"/>
      <c r="F45" s="92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80" t="s">
        <v>77</v>
      </c>
      <c r="E46" s="81"/>
      <c r="F46" s="81"/>
      <c r="G46" s="81"/>
      <c r="H46" s="82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83" t="s">
        <v>78</v>
      </c>
      <c r="E47" s="84"/>
      <c r="F47" s="84"/>
      <c r="G47" s="84"/>
      <c r="H47" s="8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80" t="s">
        <v>79</v>
      </c>
      <c r="E48" s="81"/>
      <c r="F48" s="81"/>
      <c r="G48" s="81"/>
      <c r="H48" s="82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83" t="s">
        <v>80</v>
      </c>
      <c r="E49" s="84"/>
      <c r="F49" s="84"/>
      <c r="G49" s="84"/>
      <c r="H49" s="8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79" priority="7" operator="greaterThan">
      <formula>$AA$28</formula>
    </cfRule>
    <cfRule type="cellIs" dxfId="278" priority="8" operator="lessThan">
      <formula>$AA$29</formula>
    </cfRule>
  </conditionalFormatting>
  <conditionalFormatting sqref="I32:X33">
    <cfRule type="cellIs" dxfId="277" priority="5" operator="greaterThan">
      <formula>$AA$32</formula>
    </cfRule>
    <cfRule type="cellIs" dxfId="276" priority="6" operator="lessThan">
      <formula>$AA$33</formula>
    </cfRule>
  </conditionalFormatting>
  <conditionalFormatting sqref="I30:X31">
    <cfRule type="cellIs" dxfId="275" priority="3" operator="greaterThan">
      <formula>$AA$30</formula>
    </cfRule>
    <cfRule type="cellIs" dxfId="274" priority="4" operator="lessThan">
      <formula>$AA$31</formula>
    </cfRule>
  </conditionalFormatting>
  <conditionalFormatting sqref="I26:X27">
    <cfRule type="cellIs" dxfId="273" priority="1" operator="greaterThan">
      <formula>$AA$26</formula>
    </cfRule>
    <cfRule type="cellIs" dxfId="2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03" t="s">
        <v>2</v>
      </c>
      <c r="E2" s="42"/>
      <c r="F2" s="377" t="s">
        <v>91</v>
      </c>
      <c r="G2" s="377"/>
      <c r="H2" s="377"/>
      <c r="I2" s="377"/>
      <c r="J2" s="377"/>
      <c r="K2" s="435"/>
      <c r="L2" s="103" t="s">
        <v>4</v>
      </c>
      <c r="M2" s="377">
        <v>9</v>
      </c>
      <c r="N2" s="378"/>
      <c r="O2" s="103" t="s">
        <v>6</v>
      </c>
      <c r="P2" s="381" t="s">
        <v>81</v>
      </c>
      <c r="Q2" s="382"/>
      <c r="R2" s="382"/>
      <c r="S2" s="382"/>
      <c r="T2" s="382"/>
      <c r="U2" s="382"/>
      <c r="V2" s="383"/>
      <c r="W2" s="103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104" t="s">
        <v>3</v>
      </c>
      <c r="E3" s="43"/>
      <c r="F3" s="436"/>
      <c r="G3" s="436"/>
      <c r="H3" s="436"/>
      <c r="I3" s="436"/>
      <c r="J3" s="436"/>
      <c r="K3" s="437"/>
      <c r="L3" s="104" t="s">
        <v>5</v>
      </c>
      <c r="M3" s="379"/>
      <c r="N3" s="380"/>
      <c r="O3" s="104" t="s">
        <v>7</v>
      </c>
      <c r="P3" s="384"/>
      <c r="Q3" s="384"/>
      <c r="R3" s="384"/>
      <c r="S3" s="384"/>
      <c r="T3" s="384"/>
      <c r="U3" s="384"/>
      <c r="V3" s="385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386" t="s">
        <v>110</v>
      </c>
      <c r="R4" s="387"/>
      <c r="S4" s="387"/>
      <c r="T4" s="388"/>
      <c r="U4" s="103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04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105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2.0990000000000002</v>
      </c>
      <c r="J26" s="320"/>
      <c r="K26" s="320">
        <v>2.1</v>
      </c>
      <c r="L26" s="320"/>
      <c r="M26" s="320">
        <v>2.105</v>
      </c>
      <c r="N26" s="320"/>
      <c r="O26" s="320">
        <v>2.1059999999999999</v>
      </c>
      <c r="P26" s="320"/>
      <c r="Q26" s="320">
        <v>2.1080000000000001</v>
      </c>
      <c r="R26" s="320"/>
      <c r="S26" s="320">
        <v>2.1</v>
      </c>
      <c r="T26" s="320"/>
      <c r="U26" s="320">
        <v>2.0990000000000002</v>
      </c>
      <c r="V26" s="320"/>
      <c r="W26" s="320">
        <v>2.1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2.0979999999999999</v>
      </c>
      <c r="J30" s="320"/>
      <c r="K30" s="320">
        <v>2.0950000000000002</v>
      </c>
      <c r="L30" s="320"/>
      <c r="M30" s="320">
        <v>2.1080000000000001</v>
      </c>
      <c r="N30" s="320"/>
      <c r="O30" s="320">
        <v>2.0979999999999999</v>
      </c>
      <c r="P30" s="320"/>
      <c r="Q30" s="320">
        <v>2.109</v>
      </c>
      <c r="R30" s="320"/>
      <c r="S30" s="320">
        <v>2.0939999999999999</v>
      </c>
      <c r="T30" s="320"/>
      <c r="U30" s="320">
        <v>2.0960000000000001</v>
      </c>
      <c r="V30" s="320"/>
      <c r="W30" s="320">
        <v>2.0870000000000002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</v>
      </c>
      <c r="J32" s="360"/>
      <c r="K32" s="360">
        <v>11.01</v>
      </c>
      <c r="L32" s="360"/>
      <c r="M32" s="360">
        <v>11.02</v>
      </c>
      <c r="N32" s="360"/>
      <c r="O32" s="360">
        <v>11.04</v>
      </c>
      <c r="P32" s="360"/>
      <c r="Q32" s="360">
        <v>11.03</v>
      </c>
      <c r="R32" s="360"/>
      <c r="S32" s="360">
        <v>11.01</v>
      </c>
      <c r="T32" s="360"/>
      <c r="U32" s="360">
        <v>11.02</v>
      </c>
      <c r="V32" s="360"/>
      <c r="W32" s="360">
        <v>11.02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97" t="s">
        <v>87</v>
      </c>
      <c r="E34" s="98"/>
      <c r="F34" s="98"/>
      <c r="G34" s="98"/>
      <c r="H34" s="99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100" t="s">
        <v>88</v>
      </c>
      <c r="E35" s="101"/>
      <c r="F35" s="101"/>
      <c r="G35" s="101"/>
      <c r="H35" s="102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100" t="s">
        <v>67</v>
      </c>
      <c r="E37" s="101"/>
      <c r="F37" s="101"/>
      <c r="G37" s="101"/>
      <c r="H37" s="102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97" t="s">
        <v>69</v>
      </c>
      <c r="E38" s="98"/>
      <c r="F38" s="98"/>
      <c r="G38" s="98"/>
      <c r="H38" s="99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100" t="s">
        <v>70</v>
      </c>
      <c r="E39" s="101"/>
      <c r="F39" s="101"/>
      <c r="G39" s="101"/>
      <c r="H39" s="102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97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100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97" t="s">
        <v>73</v>
      </c>
      <c r="E42" s="94"/>
      <c r="F42" s="95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100" t="s">
        <v>74</v>
      </c>
      <c r="E43" s="96"/>
      <c r="F43" s="96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97" t="s">
        <v>75</v>
      </c>
      <c r="E44" s="94"/>
      <c r="F44" s="95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100" t="s">
        <v>76</v>
      </c>
      <c r="E45" s="96"/>
      <c r="F45" s="96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97" t="s">
        <v>77</v>
      </c>
      <c r="E46" s="98"/>
      <c r="F46" s="98"/>
      <c r="G46" s="98"/>
      <c r="H46" s="99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100" t="s">
        <v>78</v>
      </c>
      <c r="E47" s="101"/>
      <c r="F47" s="101"/>
      <c r="G47" s="101"/>
      <c r="H47" s="102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97" t="s">
        <v>79</v>
      </c>
      <c r="E48" s="98"/>
      <c r="F48" s="98"/>
      <c r="G48" s="98"/>
      <c r="H48" s="99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100" t="s">
        <v>80</v>
      </c>
      <c r="E49" s="101"/>
      <c r="F49" s="101"/>
      <c r="G49" s="101"/>
      <c r="H49" s="102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71" priority="7" operator="greaterThan">
      <formula>$AA$28</formula>
    </cfRule>
    <cfRule type="cellIs" dxfId="270" priority="8" operator="lessThan">
      <formula>$AA$29</formula>
    </cfRule>
  </conditionalFormatting>
  <conditionalFormatting sqref="I32:X33">
    <cfRule type="cellIs" dxfId="269" priority="5" operator="greaterThan">
      <formula>$AA$32</formula>
    </cfRule>
    <cfRule type="cellIs" dxfId="268" priority="6" operator="lessThan">
      <formula>$AA$33</formula>
    </cfRule>
  </conditionalFormatting>
  <conditionalFormatting sqref="I30:X31">
    <cfRule type="cellIs" dxfId="267" priority="3" operator="greaterThan">
      <formula>$AA$30</formula>
    </cfRule>
    <cfRule type="cellIs" dxfId="266" priority="4" operator="lessThan">
      <formula>$AA$31</formula>
    </cfRule>
  </conditionalFormatting>
  <conditionalFormatting sqref="I26:X27">
    <cfRule type="cellIs" dxfId="265" priority="1" operator="greaterThan">
      <formula>$AA$26</formula>
    </cfRule>
    <cfRule type="cellIs" dxfId="2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03" t="s">
        <v>2</v>
      </c>
      <c r="E2" s="42"/>
      <c r="F2" s="377" t="s">
        <v>91</v>
      </c>
      <c r="G2" s="377"/>
      <c r="H2" s="377"/>
      <c r="I2" s="377"/>
      <c r="J2" s="377"/>
      <c r="K2" s="435"/>
      <c r="L2" s="103" t="s">
        <v>4</v>
      </c>
      <c r="M2" s="377">
        <v>9</v>
      </c>
      <c r="N2" s="378"/>
      <c r="O2" s="103" t="s">
        <v>6</v>
      </c>
      <c r="P2" s="381" t="s">
        <v>81</v>
      </c>
      <c r="Q2" s="382"/>
      <c r="R2" s="382"/>
      <c r="S2" s="382"/>
      <c r="T2" s="382"/>
      <c r="U2" s="382"/>
      <c r="V2" s="383"/>
      <c r="W2" s="103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104" t="s">
        <v>3</v>
      </c>
      <c r="E3" s="43"/>
      <c r="F3" s="436"/>
      <c r="G3" s="436"/>
      <c r="H3" s="436"/>
      <c r="I3" s="436"/>
      <c r="J3" s="436"/>
      <c r="K3" s="437"/>
      <c r="L3" s="104" t="s">
        <v>5</v>
      </c>
      <c r="M3" s="379"/>
      <c r="N3" s="380"/>
      <c r="O3" s="104" t="s">
        <v>7</v>
      </c>
      <c r="P3" s="384"/>
      <c r="Q3" s="384"/>
      <c r="R3" s="384"/>
      <c r="S3" s="384"/>
      <c r="T3" s="384"/>
      <c r="U3" s="384"/>
      <c r="V3" s="385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386" t="s">
        <v>110</v>
      </c>
      <c r="R4" s="387"/>
      <c r="S4" s="387"/>
      <c r="T4" s="388"/>
      <c r="U4" s="103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04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105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2.0990000000000002</v>
      </c>
      <c r="J26" s="320"/>
      <c r="K26" s="320">
        <v>2.101</v>
      </c>
      <c r="L26" s="320"/>
      <c r="M26" s="320">
        <v>2.0990000000000002</v>
      </c>
      <c r="N26" s="320"/>
      <c r="O26" s="320">
        <v>2.105</v>
      </c>
      <c r="P26" s="320"/>
      <c r="Q26" s="320">
        <v>2.1059999999999999</v>
      </c>
      <c r="R26" s="320"/>
      <c r="S26" s="320">
        <v>2.1019999999999999</v>
      </c>
      <c r="T26" s="320"/>
      <c r="U26" s="320">
        <v>2.0979999999999999</v>
      </c>
      <c r="V26" s="320"/>
      <c r="W26" s="320">
        <v>2.097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2.0939999999999999</v>
      </c>
      <c r="J30" s="320"/>
      <c r="K30" s="320">
        <v>2.101</v>
      </c>
      <c r="L30" s="320"/>
      <c r="M30" s="320">
        <v>2.0960000000000001</v>
      </c>
      <c r="N30" s="320"/>
      <c r="O30" s="320">
        <v>2.093</v>
      </c>
      <c r="P30" s="320"/>
      <c r="Q30" s="320">
        <v>2.1040000000000001</v>
      </c>
      <c r="R30" s="320"/>
      <c r="S30" s="320">
        <v>2.1040000000000001</v>
      </c>
      <c r="T30" s="320"/>
      <c r="U30" s="320">
        <v>2.0870000000000002</v>
      </c>
      <c r="V30" s="320"/>
      <c r="W30" s="320">
        <v>2.1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11.01</v>
      </c>
      <c r="J32" s="360"/>
      <c r="K32" s="360">
        <v>11.02</v>
      </c>
      <c r="L32" s="360"/>
      <c r="M32" s="360">
        <v>11.01</v>
      </c>
      <c r="N32" s="360"/>
      <c r="O32" s="360">
        <v>11.02</v>
      </c>
      <c r="P32" s="360"/>
      <c r="Q32" s="360">
        <v>11.03</v>
      </c>
      <c r="R32" s="360"/>
      <c r="S32" s="360">
        <v>11.03</v>
      </c>
      <c r="T32" s="360"/>
      <c r="U32" s="360">
        <v>11.01</v>
      </c>
      <c r="V32" s="360"/>
      <c r="W32" s="360">
        <v>11.02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97" t="s">
        <v>87</v>
      </c>
      <c r="E34" s="98"/>
      <c r="F34" s="98"/>
      <c r="G34" s="98"/>
      <c r="H34" s="99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100" t="s">
        <v>88</v>
      </c>
      <c r="E35" s="101"/>
      <c r="F35" s="101"/>
      <c r="G35" s="101"/>
      <c r="H35" s="102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100" t="s">
        <v>67</v>
      </c>
      <c r="E37" s="101"/>
      <c r="F37" s="101"/>
      <c r="G37" s="101"/>
      <c r="H37" s="102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97" t="s">
        <v>69</v>
      </c>
      <c r="E38" s="98"/>
      <c r="F38" s="98"/>
      <c r="G38" s="98"/>
      <c r="H38" s="99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100" t="s">
        <v>70</v>
      </c>
      <c r="E39" s="101"/>
      <c r="F39" s="101"/>
      <c r="G39" s="101"/>
      <c r="H39" s="102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97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100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97" t="s">
        <v>73</v>
      </c>
      <c r="E42" s="94"/>
      <c r="F42" s="95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100" t="s">
        <v>74</v>
      </c>
      <c r="E43" s="96"/>
      <c r="F43" s="96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97" t="s">
        <v>75</v>
      </c>
      <c r="E44" s="94"/>
      <c r="F44" s="95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100" t="s">
        <v>76</v>
      </c>
      <c r="E45" s="96"/>
      <c r="F45" s="96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97" t="s">
        <v>77</v>
      </c>
      <c r="E46" s="98"/>
      <c r="F46" s="98"/>
      <c r="G46" s="98"/>
      <c r="H46" s="99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100" t="s">
        <v>78</v>
      </c>
      <c r="E47" s="101"/>
      <c r="F47" s="101"/>
      <c r="G47" s="101"/>
      <c r="H47" s="102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97" t="s">
        <v>79</v>
      </c>
      <c r="E48" s="98"/>
      <c r="F48" s="98"/>
      <c r="G48" s="98"/>
      <c r="H48" s="99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100" t="s">
        <v>80</v>
      </c>
      <c r="E49" s="101"/>
      <c r="F49" s="101"/>
      <c r="G49" s="101"/>
      <c r="H49" s="102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63" priority="7" operator="greaterThan">
      <formula>$AA$28</formula>
    </cfRule>
    <cfRule type="cellIs" dxfId="262" priority="8" operator="lessThan">
      <formula>$AA$29</formula>
    </cfRule>
  </conditionalFormatting>
  <conditionalFormatting sqref="I32:X33">
    <cfRule type="cellIs" dxfId="261" priority="5" operator="greaterThan">
      <formula>$AA$32</formula>
    </cfRule>
    <cfRule type="cellIs" dxfId="260" priority="6" operator="lessThan">
      <formula>$AA$33</formula>
    </cfRule>
  </conditionalFormatting>
  <conditionalFormatting sqref="I30:X31">
    <cfRule type="cellIs" dxfId="259" priority="3" operator="greaterThan">
      <formula>$AA$30</formula>
    </cfRule>
    <cfRule type="cellIs" dxfId="258" priority="4" operator="lessThan">
      <formula>$AA$31</formula>
    </cfRule>
  </conditionalFormatting>
  <conditionalFormatting sqref="I26:X27">
    <cfRule type="cellIs" dxfId="257" priority="1" operator="greaterThan">
      <formula>$AA$26</formula>
    </cfRule>
    <cfRule type="cellIs" dxfId="2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14" t="s">
        <v>2</v>
      </c>
      <c r="E2" s="42"/>
      <c r="F2" s="377" t="s">
        <v>91</v>
      </c>
      <c r="G2" s="377"/>
      <c r="H2" s="377"/>
      <c r="I2" s="377"/>
      <c r="J2" s="377"/>
      <c r="K2" s="435"/>
      <c r="L2" s="114" t="s">
        <v>4</v>
      </c>
      <c r="M2" s="377">
        <v>9</v>
      </c>
      <c r="N2" s="378"/>
      <c r="O2" s="114" t="s">
        <v>6</v>
      </c>
      <c r="P2" s="381" t="s">
        <v>81</v>
      </c>
      <c r="Q2" s="382"/>
      <c r="R2" s="382"/>
      <c r="S2" s="382"/>
      <c r="T2" s="382"/>
      <c r="U2" s="382"/>
      <c r="V2" s="383"/>
      <c r="W2" s="114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115" t="s">
        <v>3</v>
      </c>
      <c r="E3" s="43"/>
      <c r="F3" s="436"/>
      <c r="G3" s="436"/>
      <c r="H3" s="436"/>
      <c r="I3" s="436"/>
      <c r="J3" s="436"/>
      <c r="K3" s="437"/>
      <c r="L3" s="115" t="s">
        <v>5</v>
      </c>
      <c r="M3" s="379"/>
      <c r="N3" s="380"/>
      <c r="O3" s="115" t="s">
        <v>7</v>
      </c>
      <c r="P3" s="384"/>
      <c r="Q3" s="384"/>
      <c r="R3" s="384"/>
      <c r="S3" s="384"/>
      <c r="T3" s="384"/>
      <c r="U3" s="384"/>
      <c r="V3" s="385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4" t="s">
        <v>9</v>
      </c>
      <c r="P4" s="6"/>
      <c r="Q4" s="386" t="s">
        <v>111</v>
      </c>
      <c r="R4" s="387"/>
      <c r="S4" s="387"/>
      <c r="T4" s="388"/>
      <c r="U4" s="114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15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112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2.101</v>
      </c>
      <c r="J26" s="320"/>
      <c r="K26" s="320">
        <v>2.1040000000000001</v>
      </c>
      <c r="L26" s="320"/>
      <c r="M26" s="320">
        <v>2.1059999999999999</v>
      </c>
      <c r="N26" s="320"/>
      <c r="O26" s="320">
        <v>2.1059999999999999</v>
      </c>
      <c r="P26" s="320"/>
      <c r="Q26" s="320">
        <v>2.1070000000000002</v>
      </c>
      <c r="R26" s="320"/>
      <c r="S26" s="320">
        <v>2.1030000000000002</v>
      </c>
      <c r="T26" s="320"/>
      <c r="U26" s="320">
        <v>2.1019999999999999</v>
      </c>
      <c r="V26" s="320"/>
      <c r="W26" s="320">
        <v>2.1059999999999999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2.105</v>
      </c>
      <c r="J30" s="320"/>
      <c r="K30" s="320">
        <v>2.097</v>
      </c>
      <c r="L30" s="320"/>
      <c r="M30" s="320">
        <v>2.1150000000000002</v>
      </c>
      <c r="N30" s="320"/>
      <c r="O30" s="320">
        <v>2.105</v>
      </c>
      <c r="P30" s="320"/>
      <c r="Q30" s="320">
        <v>2.1080000000000001</v>
      </c>
      <c r="R30" s="320"/>
      <c r="S30" s="320">
        <v>2.0979999999999999</v>
      </c>
      <c r="T30" s="320"/>
      <c r="U30" s="320">
        <v>2.1070000000000002</v>
      </c>
      <c r="V30" s="320"/>
      <c r="W30" s="320">
        <v>2.0979999999999999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</v>
      </c>
      <c r="J32" s="360"/>
      <c r="K32" s="360">
        <v>11</v>
      </c>
      <c r="L32" s="360"/>
      <c r="M32" s="360">
        <v>11.03</v>
      </c>
      <c r="N32" s="360"/>
      <c r="O32" s="360">
        <v>11.03</v>
      </c>
      <c r="P32" s="360"/>
      <c r="Q32" s="360">
        <v>11.04</v>
      </c>
      <c r="R32" s="360"/>
      <c r="S32" s="360">
        <v>11.01</v>
      </c>
      <c r="T32" s="360"/>
      <c r="U32" s="360">
        <v>11.01</v>
      </c>
      <c r="V32" s="360"/>
      <c r="W32" s="360">
        <v>11.02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106" t="s">
        <v>87</v>
      </c>
      <c r="E34" s="107"/>
      <c r="F34" s="107"/>
      <c r="G34" s="107"/>
      <c r="H34" s="108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109" t="s">
        <v>88</v>
      </c>
      <c r="E35" s="110"/>
      <c r="F35" s="110"/>
      <c r="G35" s="110"/>
      <c r="H35" s="111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109" t="s">
        <v>67</v>
      </c>
      <c r="E37" s="110"/>
      <c r="F37" s="110"/>
      <c r="G37" s="110"/>
      <c r="H37" s="111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106" t="s">
        <v>69</v>
      </c>
      <c r="E38" s="107"/>
      <c r="F38" s="107"/>
      <c r="G38" s="107"/>
      <c r="H38" s="108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109" t="s">
        <v>70</v>
      </c>
      <c r="E39" s="110"/>
      <c r="F39" s="110"/>
      <c r="G39" s="110"/>
      <c r="H39" s="111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106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109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106" t="s">
        <v>73</v>
      </c>
      <c r="E42" s="113"/>
      <c r="F42" s="117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109" t="s">
        <v>74</v>
      </c>
      <c r="E43" s="118"/>
      <c r="F43" s="118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106" t="s">
        <v>75</v>
      </c>
      <c r="E44" s="113"/>
      <c r="F44" s="117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109" t="s">
        <v>76</v>
      </c>
      <c r="E45" s="118"/>
      <c r="F45" s="118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106" t="s">
        <v>77</v>
      </c>
      <c r="E46" s="107"/>
      <c r="F46" s="107"/>
      <c r="G46" s="107"/>
      <c r="H46" s="108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109" t="s">
        <v>78</v>
      </c>
      <c r="E47" s="110"/>
      <c r="F47" s="110"/>
      <c r="G47" s="110"/>
      <c r="H47" s="111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106" t="s">
        <v>79</v>
      </c>
      <c r="E48" s="107"/>
      <c r="F48" s="107"/>
      <c r="G48" s="107"/>
      <c r="H48" s="108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109" t="s">
        <v>80</v>
      </c>
      <c r="E49" s="110"/>
      <c r="F49" s="110"/>
      <c r="G49" s="110"/>
      <c r="H49" s="111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55" priority="7" operator="greaterThan">
      <formula>$AA$28</formula>
    </cfRule>
    <cfRule type="cellIs" dxfId="254" priority="8" operator="lessThan">
      <formula>$AA$29</formula>
    </cfRule>
  </conditionalFormatting>
  <conditionalFormatting sqref="I32:X33">
    <cfRule type="cellIs" dxfId="253" priority="5" operator="greaterThan">
      <formula>$AA$32</formula>
    </cfRule>
    <cfRule type="cellIs" dxfId="252" priority="6" operator="lessThan">
      <formula>$AA$33</formula>
    </cfRule>
  </conditionalFormatting>
  <conditionalFormatting sqref="I30:X31">
    <cfRule type="cellIs" dxfId="251" priority="3" operator="greaterThan">
      <formula>$AA$30</formula>
    </cfRule>
    <cfRule type="cellIs" dxfId="250" priority="4" operator="lessThan">
      <formula>$AA$31</formula>
    </cfRule>
  </conditionalFormatting>
  <conditionalFormatting sqref="I26:X27">
    <cfRule type="cellIs" dxfId="249" priority="1" operator="greaterThan">
      <formula>$AA$26</formula>
    </cfRule>
    <cfRule type="cellIs" dxfId="2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14" t="s">
        <v>2</v>
      </c>
      <c r="E2" s="42"/>
      <c r="F2" s="377" t="s">
        <v>91</v>
      </c>
      <c r="G2" s="377"/>
      <c r="H2" s="377"/>
      <c r="I2" s="377"/>
      <c r="J2" s="377"/>
      <c r="K2" s="435"/>
      <c r="L2" s="114" t="s">
        <v>4</v>
      </c>
      <c r="M2" s="377">
        <v>9</v>
      </c>
      <c r="N2" s="378"/>
      <c r="O2" s="114" t="s">
        <v>6</v>
      </c>
      <c r="P2" s="381" t="s">
        <v>81</v>
      </c>
      <c r="Q2" s="382"/>
      <c r="R2" s="382"/>
      <c r="S2" s="382"/>
      <c r="T2" s="382"/>
      <c r="U2" s="382"/>
      <c r="V2" s="383"/>
      <c r="W2" s="114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115" t="s">
        <v>3</v>
      </c>
      <c r="E3" s="43"/>
      <c r="F3" s="436"/>
      <c r="G3" s="436"/>
      <c r="H3" s="436"/>
      <c r="I3" s="436"/>
      <c r="J3" s="436"/>
      <c r="K3" s="437"/>
      <c r="L3" s="115" t="s">
        <v>5</v>
      </c>
      <c r="M3" s="379"/>
      <c r="N3" s="380"/>
      <c r="O3" s="115" t="s">
        <v>7</v>
      </c>
      <c r="P3" s="384"/>
      <c r="Q3" s="384"/>
      <c r="R3" s="384"/>
      <c r="S3" s="384"/>
      <c r="T3" s="384"/>
      <c r="U3" s="384"/>
      <c r="V3" s="385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4" t="s">
        <v>9</v>
      </c>
      <c r="P4" s="6"/>
      <c r="Q4" s="386" t="s">
        <v>111</v>
      </c>
      <c r="R4" s="387"/>
      <c r="S4" s="387"/>
      <c r="T4" s="388"/>
      <c r="U4" s="114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15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112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2.1030000000000002</v>
      </c>
      <c r="J26" s="320"/>
      <c r="K26" s="320">
        <v>2.1070000000000002</v>
      </c>
      <c r="L26" s="320"/>
      <c r="M26" s="320">
        <v>2.1030000000000002</v>
      </c>
      <c r="N26" s="320"/>
      <c r="O26" s="320">
        <v>2.105</v>
      </c>
      <c r="P26" s="320"/>
      <c r="Q26" s="320">
        <v>2.1080000000000001</v>
      </c>
      <c r="R26" s="320"/>
      <c r="S26" s="320">
        <v>2.105</v>
      </c>
      <c r="T26" s="320"/>
      <c r="U26" s="320">
        <v>2.1030000000000002</v>
      </c>
      <c r="V26" s="320"/>
      <c r="W26" s="320">
        <v>2.1019999999999999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</v>
      </c>
      <c r="J30" s="320"/>
      <c r="K30" s="320">
        <v>2.1110000000000002</v>
      </c>
      <c r="L30" s="320"/>
      <c r="M30" s="320">
        <v>2.0939999999999999</v>
      </c>
      <c r="N30" s="320"/>
      <c r="O30" s="320">
        <v>2.11</v>
      </c>
      <c r="P30" s="320"/>
      <c r="Q30" s="320">
        <v>2.0910000000000002</v>
      </c>
      <c r="R30" s="320"/>
      <c r="S30" s="320">
        <v>2.11</v>
      </c>
      <c r="T30" s="320"/>
      <c r="U30" s="320">
        <v>2.0960000000000001</v>
      </c>
      <c r="V30" s="320"/>
      <c r="W30" s="320">
        <v>2.11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11.03</v>
      </c>
      <c r="J32" s="360"/>
      <c r="K32" s="360">
        <v>11.02</v>
      </c>
      <c r="L32" s="360"/>
      <c r="M32" s="360">
        <v>11.01</v>
      </c>
      <c r="N32" s="360"/>
      <c r="O32" s="360">
        <v>11.03</v>
      </c>
      <c r="P32" s="360"/>
      <c r="Q32" s="360">
        <v>11.03</v>
      </c>
      <c r="R32" s="360"/>
      <c r="S32" s="360">
        <v>11.04</v>
      </c>
      <c r="T32" s="360"/>
      <c r="U32" s="360">
        <v>11.02</v>
      </c>
      <c r="V32" s="360"/>
      <c r="W32" s="360">
        <v>11.02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106" t="s">
        <v>87</v>
      </c>
      <c r="E34" s="107"/>
      <c r="F34" s="107"/>
      <c r="G34" s="107"/>
      <c r="H34" s="108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109" t="s">
        <v>88</v>
      </c>
      <c r="E35" s="110"/>
      <c r="F35" s="110"/>
      <c r="G35" s="110"/>
      <c r="H35" s="111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109" t="s">
        <v>67</v>
      </c>
      <c r="E37" s="110"/>
      <c r="F37" s="110"/>
      <c r="G37" s="110"/>
      <c r="H37" s="111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106" t="s">
        <v>69</v>
      </c>
      <c r="E38" s="107"/>
      <c r="F38" s="107"/>
      <c r="G38" s="107"/>
      <c r="H38" s="108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109" t="s">
        <v>70</v>
      </c>
      <c r="E39" s="110"/>
      <c r="F39" s="110"/>
      <c r="G39" s="110"/>
      <c r="H39" s="111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106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109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106" t="s">
        <v>73</v>
      </c>
      <c r="E42" s="113"/>
      <c r="F42" s="117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109" t="s">
        <v>74</v>
      </c>
      <c r="E43" s="118"/>
      <c r="F43" s="118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106" t="s">
        <v>75</v>
      </c>
      <c r="E44" s="113"/>
      <c r="F44" s="117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109" t="s">
        <v>76</v>
      </c>
      <c r="E45" s="118"/>
      <c r="F45" s="118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106" t="s">
        <v>77</v>
      </c>
      <c r="E46" s="107"/>
      <c r="F46" s="107"/>
      <c r="G46" s="107"/>
      <c r="H46" s="108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109" t="s">
        <v>78</v>
      </c>
      <c r="E47" s="110"/>
      <c r="F47" s="110"/>
      <c r="G47" s="110"/>
      <c r="H47" s="111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106" t="s">
        <v>79</v>
      </c>
      <c r="E48" s="107"/>
      <c r="F48" s="107"/>
      <c r="G48" s="107"/>
      <c r="H48" s="108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109" t="s">
        <v>80</v>
      </c>
      <c r="E49" s="110"/>
      <c r="F49" s="110"/>
      <c r="G49" s="110"/>
      <c r="H49" s="111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47" priority="7" operator="greaterThan">
      <formula>$AA$28</formula>
    </cfRule>
    <cfRule type="cellIs" dxfId="246" priority="8" operator="lessThan">
      <formula>$AA$29</formula>
    </cfRule>
  </conditionalFormatting>
  <conditionalFormatting sqref="I32:X33">
    <cfRule type="cellIs" dxfId="245" priority="5" operator="greaterThan">
      <formula>$AA$32</formula>
    </cfRule>
    <cfRule type="cellIs" dxfId="244" priority="6" operator="lessThan">
      <formula>$AA$33</formula>
    </cfRule>
  </conditionalFormatting>
  <conditionalFormatting sqref="I30:X31">
    <cfRule type="cellIs" dxfId="243" priority="3" operator="greaterThan">
      <formula>$AA$30</formula>
    </cfRule>
    <cfRule type="cellIs" dxfId="242" priority="4" operator="lessThan">
      <formula>$AA$31</formula>
    </cfRule>
  </conditionalFormatting>
  <conditionalFormatting sqref="I26:X27">
    <cfRule type="cellIs" dxfId="241" priority="1" operator="greaterThan">
      <formula>$AA$26</formula>
    </cfRule>
    <cfRule type="cellIs" dxfId="2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29" t="s">
        <v>2</v>
      </c>
      <c r="E2" s="42"/>
      <c r="F2" s="377" t="s">
        <v>91</v>
      </c>
      <c r="G2" s="377"/>
      <c r="H2" s="377"/>
      <c r="I2" s="377"/>
      <c r="J2" s="377"/>
      <c r="K2" s="435"/>
      <c r="L2" s="129" t="s">
        <v>4</v>
      </c>
      <c r="M2" s="377">
        <v>9</v>
      </c>
      <c r="N2" s="378"/>
      <c r="O2" s="129" t="s">
        <v>6</v>
      </c>
      <c r="P2" s="381" t="s">
        <v>81</v>
      </c>
      <c r="Q2" s="382"/>
      <c r="R2" s="382"/>
      <c r="S2" s="382"/>
      <c r="T2" s="382"/>
      <c r="U2" s="382"/>
      <c r="V2" s="383"/>
      <c r="W2" s="129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130" t="s">
        <v>3</v>
      </c>
      <c r="E3" s="43"/>
      <c r="F3" s="436"/>
      <c r="G3" s="436"/>
      <c r="H3" s="436"/>
      <c r="I3" s="436"/>
      <c r="J3" s="436"/>
      <c r="K3" s="437"/>
      <c r="L3" s="130" t="s">
        <v>5</v>
      </c>
      <c r="M3" s="379"/>
      <c r="N3" s="380"/>
      <c r="O3" s="130" t="s">
        <v>7</v>
      </c>
      <c r="P3" s="384"/>
      <c r="Q3" s="384"/>
      <c r="R3" s="384"/>
      <c r="S3" s="384"/>
      <c r="T3" s="384"/>
      <c r="U3" s="384"/>
      <c r="V3" s="38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9" t="s">
        <v>9</v>
      </c>
      <c r="P4" s="6"/>
      <c r="Q4" s="386" t="s">
        <v>112</v>
      </c>
      <c r="R4" s="387"/>
      <c r="S4" s="387"/>
      <c r="T4" s="388"/>
      <c r="U4" s="129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30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131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</v>
      </c>
      <c r="J26" s="320"/>
      <c r="K26" s="320">
        <v>2.101</v>
      </c>
      <c r="L26" s="320"/>
      <c r="M26" s="320">
        <v>2.1059999999999999</v>
      </c>
      <c r="N26" s="320"/>
      <c r="O26" s="320">
        <v>2.1059999999999999</v>
      </c>
      <c r="P26" s="320"/>
      <c r="Q26" s="320">
        <v>2.1080000000000001</v>
      </c>
      <c r="R26" s="320"/>
      <c r="S26" s="320">
        <v>2.105</v>
      </c>
      <c r="T26" s="320"/>
      <c r="U26" s="320">
        <v>2.1</v>
      </c>
      <c r="V26" s="320"/>
      <c r="W26" s="320">
        <v>2.1030000000000002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2.1019999999999999</v>
      </c>
      <c r="J30" s="320"/>
      <c r="K30" s="320">
        <v>2.093</v>
      </c>
      <c r="L30" s="320"/>
      <c r="M30" s="320">
        <v>2.1059999999999999</v>
      </c>
      <c r="N30" s="320"/>
      <c r="O30" s="320">
        <v>2.1030000000000002</v>
      </c>
      <c r="P30" s="320"/>
      <c r="Q30" s="320">
        <v>2.1080000000000001</v>
      </c>
      <c r="R30" s="320"/>
      <c r="S30" s="320">
        <v>2.0979999999999999</v>
      </c>
      <c r="T30" s="320"/>
      <c r="U30" s="320">
        <v>2.1059999999999999</v>
      </c>
      <c r="V30" s="320"/>
      <c r="W30" s="320">
        <v>2.0960000000000001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11.02</v>
      </c>
      <c r="J32" s="360"/>
      <c r="K32" s="360">
        <v>11</v>
      </c>
      <c r="L32" s="360"/>
      <c r="M32" s="360">
        <v>11.03</v>
      </c>
      <c r="N32" s="360"/>
      <c r="O32" s="360">
        <v>11.04</v>
      </c>
      <c r="P32" s="360"/>
      <c r="Q32" s="360">
        <v>11.04</v>
      </c>
      <c r="R32" s="360"/>
      <c r="S32" s="360">
        <v>11.02</v>
      </c>
      <c r="T32" s="360"/>
      <c r="U32" s="360">
        <v>11.01</v>
      </c>
      <c r="V32" s="360"/>
      <c r="W32" s="360">
        <v>11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123" t="s">
        <v>87</v>
      </c>
      <c r="E34" s="124"/>
      <c r="F34" s="124"/>
      <c r="G34" s="124"/>
      <c r="H34" s="125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126" t="s">
        <v>88</v>
      </c>
      <c r="E35" s="127"/>
      <c r="F35" s="127"/>
      <c r="G35" s="127"/>
      <c r="H35" s="128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126" t="s">
        <v>67</v>
      </c>
      <c r="E37" s="127"/>
      <c r="F37" s="127"/>
      <c r="G37" s="127"/>
      <c r="H37" s="128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123" t="s">
        <v>69</v>
      </c>
      <c r="E38" s="124"/>
      <c r="F38" s="124"/>
      <c r="G38" s="124"/>
      <c r="H38" s="125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126" t="s">
        <v>70</v>
      </c>
      <c r="E39" s="127"/>
      <c r="F39" s="127"/>
      <c r="G39" s="127"/>
      <c r="H39" s="128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123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126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123" t="s">
        <v>73</v>
      </c>
      <c r="E42" s="120"/>
      <c r="F42" s="121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126" t="s">
        <v>74</v>
      </c>
      <c r="E43" s="122"/>
      <c r="F43" s="122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123" t="s">
        <v>75</v>
      </c>
      <c r="E44" s="120"/>
      <c r="F44" s="121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126" t="s">
        <v>76</v>
      </c>
      <c r="E45" s="122"/>
      <c r="F45" s="122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123" t="s">
        <v>77</v>
      </c>
      <c r="E46" s="124"/>
      <c r="F46" s="124"/>
      <c r="G46" s="124"/>
      <c r="H46" s="125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126" t="s">
        <v>78</v>
      </c>
      <c r="E47" s="127"/>
      <c r="F47" s="127"/>
      <c r="G47" s="127"/>
      <c r="H47" s="128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123" t="s">
        <v>79</v>
      </c>
      <c r="E48" s="124"/>
      <c r="F48" s="124"/>
      <c r="G48" s="124"/>
      <c r="H48" s="125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126" t="s">
        <v>80</v>
      </c>
      <c r="E49" s="127"/>
      <c r="F49" s="127"/>
      <c r="G49" s="127"/>
      <c r="H49" s="128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9" priority="7" operator="greaterThan">
      <formula>$AA$28</formula>
    </cfRule>
    <cfRule type="cellIs" dxfId="238" priority="8" operator="lessThan">
      <formula>$AA$29</formula>
    </cfRule>
  </conditionalFormatting>
  <conditionalFormatting sqref="I32:X33">
    <cfRule type="cellIs" dxfId="237" priority="5" operator="greaterThan">
      <formula>$AA$32</formula>
    </cfRule>
    <cfRule type="cellIs" dxfId="236" priority="6" operator="lessThan">
      <formula>$AA$33</formula>
    </cfRule>
  </conditionalFormatting>
  <conditionalFormatting sqref="I30:X31">
    <cfRule type="cellIs" dxfId="235" priority="3" operator="greaterThan">
      <formula>$AA$30</formula>
    </cfRule>
    <cfRule type="cellIs" dxfId="234" priority="4" operator="lessThan">
      <formula>$AA$31</formula>
    </cfRule>
  </conditionalFormatting>
  <conditionalFormatting sqref="I26:X27">
    <cfRule type="cellIs" dxfId="233" priority="1" operator="greaterThan">
      <formula>$AA$26</formula>
    </cfRule>
    <cfRule type="cellIs" dxfId="2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29" t="s">
        <v>2</v>
      </c>
      <c r="E2" s="42"/>
      <c r="F2" s="377" t="s">
        <v>91</v>
      </c>
      <c r="G2" s="377"/>
      <c r="H2" s="377"/>
      <c r="I2" s="377"/>
      <c r="J2" s="377"/>
      <c r="K2" s="435"/>
      <c r="L2" s="129" t="s">
        <v>4</v>
      </c>
      <c r="M2" s="377">
        <v>9</v>
      </c>
      <c r="N2" s="378"/>
      <c r="O2" s="129" t="s">
        <v>6</v>
      </c>
      <c r="P2" s="381" t="s">
        <v>81</v>
      </c>
      <c r="Q2" s="382"/>
      <c r="R2" s="382"/>
      <c r="S2" s="382"/>
      <c r="T2" s="382"/>
      <c r="U2" s="382"/>
      <c r="V2" s="383"/>
      <c r="W2" s="129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130" t="s">
        <v>3</v>
      </c>
      <c r="E3" s="43"/>
      <c r="F3" s="436"/>
      <c r="G3" s="436"/>
      <c r="H3" s="436"/>
      <c r="I3" s="436"/>
      <c r="J3" s="436"/>
      <c r="K3" s="437"/>
      <c r="L3" s="130" t="s">
        <v>5</v>
      </c>
      <c r="M3" s="379"/>
      <c r="N3" s="380"/>
      <c r="O3" s="130" t="s">
        <v>7</v>
      </c>
      <c r="P3" s="384"/>
      <c r="Q3" s="384"/>
      <c r="R3" s="384"/>
      <c r="S3" s="384"/>
      <c r="T3" s="384"/>
      <c r="U3" s="384"/>
      <c r="V3" s="385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9" t="s">
        <v>9</v>
      </c>
      <c r="P4" s="6"/>
      <c r="Q4" s="386" t="s">
        <v>112</v>
      </c>
      <c r="R4" s="387"/>
      <c r="S4" s="387"/>
      <c r="T4" s="388"/>
      <c r="U4" s="129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30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131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2.101</v>
      </c>
      <c r="J26" s="320"/>
      <c r="K26" s="320">
        <v>2.105</v>
      </c>
      <c r="L26" s="320"/>
      <c r="M26" s="320">
        <v>2.1030000000000002</v>
      </c>
      <c r="N26" s="320"/>
      <c r="O26" s="320">
        <v>2.1070000000000002</v>
      </c>
      <c r="P26" s="320"/>
      <c r="Q26" s="320">
        <v>2.109</v>
      </c>
      <c r="R26" s="320"/>
      <c r="S26" s="320">
        <v>2.1040000000000001</v>
      </c>
      <c r="T26" s="320"/>
      <c r="U26" s="320">
        <v>2.1019999999999999</v>
      </c>
      <c r="V26" s="320"/>
      <c r="W26" s="320">
        <v>2.1019999999999999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2.0960000000000001</v>
      </c>
      <c r="J30" s="320"/>
      <c r="K30" s="320">
        <v>2.1040000000000001</v>
      </c>
      <c r="L30" s="320"/>
      <c r="M30" s="320">
        <v>2.0950000000000002</v>
      </c>
      <c r="N30" s="320"/>
      <c r="O30" s="320">
        <v>2.105</v>
      </c>
      <c r="P30" s="320"/>
      <c r="Q30" s="320">
        <v>2.1019999999999999</v>
      </c>
      <c r="R30" s="320"/>
      <c r="S30" s="320">
        <v>2.1080000000000001</v>
      </c>
      <c r="T30" s="320"/>
      <c r="U30" s="320">
        <v>2.0830000000000002</v>
      </c>
      <c r="V30" s="320"/>
      <c r="W30" s="320">
        <v>2.1040000000000001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11.01</v>
      </c>
      <c r="J32" s="360"/>
      <c r="K32" s="360">
        <v>11.03</v>
      </c>
      <c r="L32" s="360"/>
      <c r="M32" s="360">
        <v>11.02</v>
      </c>
      <c r="N32" s="360"/>
      <c r="O32" s="360">
        <v>11.04</v>
      </c>
      <c r="P32" s="360"/>
      <c r="Q32" s="360">
        <v>11.03</v>
      </c>
      <c r="R32" s="360"/>
      <c r="S32" s="360">
        <v>11.03</v>
      </c>
      <c r="T32" s="360"/>
      <c r="U32" s="360">
        <v>11</v>
      </c>
      <c r="V32" s="360"/>
      <c r="W32" s="360">
        <v>11.03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123" t="s">
        <v>87</v>
      </c>
      <c r="E34" s="124"/>
      <c r="F34" s="124"/>
      <c r="G34" s="124"/>
      <c r="H34" s="125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126" t="s">
        <v>88</v>
      </c>
      <c r="E35" s="127"/>
      <c r="F35" s="127"/>
      <c r="G35" s="127"/>
      <c r="H35" s="128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126" t="s">
        <v>67</v>
      </c>
      <c r="E37" s="127"/>
      <c r="F37" s="127"/>
      <c r="G37" s="127"/>
      <c r="H37" s="128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123" t="s">
        <v>69</v>
      </c>
      <c r="E38" s="124"/>
      <c r="F38" s="124"/>
      <c r="G38" s="124"/>
      <c r="H38" s="125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126" t="s">
        <v>70</v>
      </c>
      <c r="E39" s="127"/>
      <c r="F39" s="127"/>
      <c r="G39" s="127"/>
      <c r="H39" s="128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123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126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123" t="s">
        <v>73</v>
      </c>
      <c r="E42" s="120"/>
      <c r="F42" s="121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126" t="s">
        <v>74</v>
      </c>
      <c r="E43" s="122"/>
      <c r="F43" s="122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123" t="s">
        <v>75</v>
      </c>
      <c r="E44" s="120"/>
      <c r="F44" s="121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126" t="s">
        <v>76</v>
      </c>
      <c r="E45" s="122"/>
      <c r="F45" s="122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123" t="s">
        <v>77</v>
      </c>
      <c r="E46" s="124"/>
      <c r="F46" s="124"/>
      <c r="G46" s="124"/>
      <c r="H46" s="125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126" t="s">
        <v>78</v>
      </c>
      <c r="E47" s="127"/>
      <c r="F47" s="127"/>
      <c r="G47" s="127"/>
      <c r="H47" s="128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123" t="s">
        <v>79</v>
      </c>
      <c r="E48" s="124"/>
      <c r="F48" s="124"/>
      <c r="G48" s="124"/>
      <c r="H48" s="125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126" t="s">
        <v>80</v>
      </c>
      <c r="E49" s="127"/>
      <c r="F49" s="127"/>
      <c r="G49" s="127"/>
      <c r="H49" s="128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40" t="s">
        <v>2</v>
      </c>
      <c r="E2" s="42"/>
      <c r="F2" s="377" t="s">
        <v>91</v>
      </c>
      <c r="G2" s="377"/>
      <c r="H2" s="377"/>
      <c r="I2" s="377"/>
      <c r="J2" s="377"/>
      <c r="K2" s="435"/>
      <c r="L2" s="140" t="s">
        <v>4</v>
      </c>
      <c r="M2" s="377">
        <v>9</v>
      </c>
      <c r="N2" s="378"/>
      <c r="O2" s="140" t="s">
        <v>6</v>
      </c>
      <c r="P2" s="381" t="s">
        <v>81</v>
      </c>
      <c r="Q2" s="382"/>
      <c r="R2" s="382"/>
      <c r="S2" s="382"/>
      <c r="T2" s="382"/>
      <c r="U2" s="382"/>
      <c r="V2" s="383"/>
      <c r="W2" s="140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141" t="s">
        <v>3</v>
      </c>
      <c r="E3" s="43"/>
      <c r="F3" s="436"/>
      <c r="G3" s="436"/>
      <c r="H3" s="436"/>
      <c r="I3" s="436"/>
      <c r="J3" s="436"/>
      <c r="K3" s="437"/>
      <c r="L3" s="141" t="s">
        <v>5</v>
      </c>
      <c r="M3" s="379"/>
      <c r="N3" s="380"/>
      <c r="O3" s="141" t="s">
        <v>7</v>
      </c>
      <c r="P3" s="384"/>
      <c r="Q3" s="384"/>
      <c r="R3" s="384"/>
      <c r="S3" s="384"/>
      <c r="T3" s="384"/>
      <c r="U3" s="384"/>
      <c r="V3" s="385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0" t="s">
        <v>9</v>
      </c>
      <c r="P4" s="6"/>
      <c r="Q4" s="386" t="s">
        <v>113</v>
      </c>
      <c r="R4" s="387"/>
      <c r="S4" s="387"/>
      <c r="T4" s="388"/>
      <c r="U4" s="140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41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138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2.1070000000000002</v>
      </c>
      <c r="J26" s="320"/>
      <c r="K26" s="320">
        <v>2.109</v>
      </c>
      <c r="L26" s="320"/>
      <c r="M26" s="320">
        <v>2.113</v>
      </c>
      <c r="N26" s="320"/>
      <c r="O26" s="320">
        <v>2.12</v>
      </c>
      <c r="P26" s="320"/>
      <c r="Q26" s="320">
        <v>2.113</v>
      </c>
      <c r="R26" s="320"/>
      <c r="S26" s="320">
        <v>2.1080000000000001</v>
      </c>
      <c r="T26" s="320"/>
      <c r="U26" s="320">
        <v>2.105</v>
      </c>
      <c r="V26" s="320"/>
      <c r="W26" s="320">
        <v>2.105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2.1080000000000001</v>
      </c>
      <c r="J30" s="320"/>
      <c r="K30" s="320">
        <v>2.1070000000000002</v>
      </c>
      <c r="L30" s="320"/>
      <c r="M30" s="320">
        <v>2.109</v>
      </c>
      <c r="N30" s="320"/>
      <c r="O30" s="320">
        <v>2.1</v>
      </c>
      <c r="P30" s="320"/>
      <c r="Q30" s="320">
        <v>2.1190000000000002</v>
      </c>
      <c r="R30" s="320"/>
      <c r="S30" s="320">
        <v>2.1040000000000001</v>
      </c>
      <c r="T30" s="320"/>
      <c r="U30" s="320">
        <v>2.109</v>
      </c>
      <c r="V30" s="320"/>
      <c r="W30" s="320">
        <v>2.1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</v>
      </c>
      <c r="J32" s="360"/>
      <c r="K32" s="360">
        <v>11.01</v>
      </c>
      <c r="L32" s="360"/>
      <c r="M32" s="360">
        <v>11.03</v>
      </c>
      <c r="N32" s="360"/>
      <c r="O32" s="360">
        <v>11.04</v>
      </c>
      <c r="P32" s="360"/>
      <c r="Q32" s="360">
        <v>11.03</v>
      </c>
      <c r="R32" s="360"/>
      <c r="S32" s="360">
        <v>11.01</v>
      </c>
      <c r="T32" s="360"/>
      <c r="U32" s="360">
        <v>11.02</v>
      </c>
      <c r="V32" s="360"/>
      <c r="W32" s="360">
        <v>11.01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132" t="s">
        <v>87</v>
      </c>
      <c r="E34" s="133"/>
      <c r="F34" s="133"/>
      <c r="G34" s="133"/>
      <c r="H34" s="134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135" t="s">
        <v>88</v>
      </c>
      <c r="E35" s="136"/>
      <c r="F35" s="136"/>
      <c r="G35" s="136"/>
      <c r="H35" s="137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135" t="s">
        <v>67</v>
      </c>
      <c r="E37" s="136"/>
      <c r="F37" s="136"/>
      <c r="G37" s="136"/>
      <c r="H37" s="137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132" t="s">
        <v>69</v>
      </c>
      <c r="E38" s="133"/>
      <c r="F38" s="133"/>
      <c r="G38" s="133"/>
      <c r="H38" s="134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135" t="s">
        <v>70</v>
      </c>
      <c r="E39" s="136"/>
      <c r="F39" s="136"/>
      <c r="G39" s="136"/>
      <c r="H39" s="137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132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135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132" t="s">
        <v>73</v>
      </c>
      <c r="E42" s="139"/>
      <c r="F42" s="143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135" t="s">
        <v>74</v>
      </c>
      <c r="E43" s="144"/>
      <c r="F43" s="144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132" t="s">
        <v>75</v>
      </c>
      <c r="E44" s="139"/>
      <c r="F44" s="143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135" t="s">
        <v>76</v>
      </c>
      <c r="E45" s="144"/>
      <c r="F45" s="144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132" t="s">
        <v>77</v>
      </c>
      <c r="E46" s="133"/>
      <c r="F46" s="133"/>
      <c r="G46" s="133"/>
      <c r="H46" s="134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135" t="s">
        <v>78</v>
      </c>
      <c r="E47" s="136"/>
      <c r="F47" s="136"/>
      <c r="G47" s="136"/>
      <c r="H47" s="137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132" t="s">
        <v>79</v>
      </c>
      <c r="E48" s="133"/>
      <c r="F48" s="133"/>
      <c r="G48" s="133"/>
      <c r="H48" s="134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135" t="s">
        <v>80</v>
      </c>
      <c r="E49" s="136"/>
      <c r="F49" s="136"/>
      <c r="G49" s="136"/>
      <c r="H49" s="137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23" priority="7" operator="greaterThan">
      <formula>$AA$28</formula>
    </cfRule>
    <cfRule type="cellIs" dxfId="222" priority="8" operator="lessThan">
      <formula>$AA$29</formula>
    </cfRule>
  </conditionalFormatting>
  <conditionalFormatting sqref="I32:X33">
    <cfRule type="cellIs" dxfId="221" priority="5" operator="greaterThan">
      <formula>$AA$32</formula>
    </cfRule>
    <cfRule type="cellIs" dxfId="220" priority="6" operator="lessThan">
      <formula>$AA$33</formula>
    </cfRule>
  </conditionalFormatting>
  <conditionalFormatting sqref="I30:X31">
    <cfRule type="cellIs" dxfId="219" priority="3" operator="greaterThan">
      <formula>$AA$30</formula>
    </cfRule>
    <cfRule type="cellIs" dxfId="218" priority="4" operator="lessThan">
      <formula>$AA$31</formula>
    </cfRule>
  </conditionalFormatting>
  <conditionalFormatting sqref="I26:X27">
    <cfRule type="cellIs" dxfId="217" priority="1" operator="greaterThan">
      <formula>$AA$26</formula>
    </cfRule>
    <cfRule type="cellIs" dxfId="2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40" t="s">
        <v>2</v>
      </c>
      <c r="E2" s="42"/>
      <c r="F2" s="377" t="s">
        <v>91</v>
      </c>
      <c r="G2" s="377"/>
      <c r="H2" s="377"/>
      <c r="I2" s="377"/>
      <c r="J2" s="377"/>
      <c r="K2" s="435"/>
      <c r="L2" s="140" t="s">
        <v>4</v>
      </c>
      <c r="M2" s="377">
        <v>9</v>
      </c>
      <c r="N2" s="378"/>
      <c r="O2" s="140" t="s">
        <v>6</v>
      </c>
      <c r="P2" s="381" t="s">
        <v>81</v>
      </c>
      <c r="Q2" s="382"/>
      <c r="R2" s="382"/>
      <c r="S2" s="382"/>
      <c r="T2" s="382"/>
      <c r="U2" s="382"/>
      <c r="V2" s="383"/>
      <c r="W2" s="140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141" t="s">
        <v>3</v>
      </c>
      <c r="E3" s="43"/>
      <c r="F3" s="436"/>
      <c r="G3" s="436"/>
      <c r="H3" s="436"/>
      <c r="I3" s="436"/>
      <c r="J3" s="436"/>
      <c r="K3" s="437"/>
      <c r="L3" s="141" t="s">
        <v>5</v>
      </c>
      <c r="M3" s="379"/>
      <c r="N3" s="380"/>
      <c r="O3" s="141" t="s">
        <v>7</v>
      </c>
      <c r="P3" s="384"/>
      <c r="Q3" s="384"/>
      <c r="R3" s="384"/>
      <c r="S3" s="384"/>
      <c r="T3" s="384"/>
      <c r="U3" s="384"/>
      <c r="V3" s="385"/>
      <c r="W3" s="141" t="s">
        <v>8</v>
      </c>
      <c r="X3" s="14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0" t="s">
        <v>9</v>
      </c>
      <c r="P4" s="6"/>
      <c r="Q4" s="386" t="s">
        <v>113</v>
      </c>
      <c r="R4" s="387"/>
      <c r="S4" s="387"/>
      <c r="T4" s="388"/>
      <c r="U4" s="140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41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138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2.105</v>
      </c>
      <c r="J26" s="320"/>
      <c r="K26" s="320">
        <v>2.1059999999999999</v>
      </c>
      <c r="L26" s="320"/>
      <c r="M26" s="320">
        <v>2.109</v>
      </c>
      <c r="N26" s="320"/>
      <c r="O26" s="320">
        <v>2.1139999999999999</v>
      </c>
      <c r="P26" s="320"/>
      <c r="Q26" s="320">
        <v>2.1139999999999999</v>
      </c>
      <c r="R26" s="320"/>
      <c r="S26" s="320">
        <v>2.11</v>
      </c>
      <c r="T26" s="320"/>
      <c r="U26" s="320">
        <v>2.105</v>
      </c>
      <c r="V26" s="320"/>
      <c r="W26" s="320">
        <v>2.1040000000000001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2.1040000000000001</v>
      </c>
      <c r="J30" s="320"/>
      <c r="K30" s="320">
        <v>2.0950000000000002</v>
      </c>
      <c r="L30" s="320"/>
      <c r="M30" s="320">
        <v>2.0939999999999999</v>
      </c>
      <c r="N30" s="320"/>
      <c r="O30" s="320">
        <v>2.1059999999999999</v>
      </c>
      <c r="P30" s="320"/>
      <c r="Q30" s="320">
        <v>2.1110000000000002</v>
      </c>
      <c r="R30" s="320"/>
      <c r="S30" s="320">
        <v>2.1139999999999999</v>
      </c>
      <c r="T30" s="320"/>
      <c r="U30" s="320">
        <v>2.1019999999999999</v>
      </c>
      <c r="V30" s="320"/>
      <c r="W30" s="320">
        <v>2.1139999999999999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11.02</v>
      </c>
      <c r="J32" s="360"/>
      <c r="K32" s="360">
        <v>11</v>
      </c>
      <c r="L32" s="360"/>
      <c r="M32" s="360">
        <v>11.03</v>
      </c>
      <c r="N32" s="360"/>
      <c r="O32" s="360">
        <v>11.04</v>
      </c>
      <c r="P32" s="360"/>
      <c r="Q32" s="360">
        <v>11.03</v>
      </c>
      <c r="R32" s="360"/>
      <c r="S32" s="360">
        <v>11.03</v>
      </c>
      <c r="T32" s="360"/>
      <c r="U32" s="360">
        <v>11</v>
      </c>
      <c r="V32" s="360"/>
      <c r="W32" s="360">
        <v>11.03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132" t="s">
        <v>87</v>
      </c>
      <c r="E34" s="133"/>
      <c r="F34" s="133"/>
      <c r="G34" s="133"/>
      <c r="H34" s="134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135" t="s">
        <v>88</v>
      </c>
      <c r="E35" s="136"/>
      <c r="F35" s="136"/>
      <c r="G35" s="136"/>
      <c r="H35" s="137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135" t="s">
        <v>67</v>
      </c>
      <c r="E37" s="136"/>
      <c r="F37" s="136"/>
      <c r="G37" s="136"/>
      <c r="H37" s="137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132" t="s">
        <v>69</v>
      </c>
      <c r="E38" s="133"/>
      <c r="F38" s="133"/>
      <c r="G38" s="133"/>
      <c r="H38" s="134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135" t="s">
        <v>70</v>
      </c>
      <c r="E39" s="136"/>
      <c r="F39" s="136"/>
      <c r="G39" s="136"/>
      <c r="H39" s="137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132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135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132" t="s">
        <v>73</v>
      </c>
      <c r="E42" s="139"/>
      <c r="F42" s="143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135" t="s">
        <v>74</v>
      </c>
      <c r="E43" s="144"/>
      <c r="F43" s="144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132" t="s">
        <v>75</v>
      </c>
      <c r="E44" s="139"/>
      <c r="F44" s="143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135" t="s">
        <v>76</v>
      </c>
      <c r="E45" s="144"/>
      <c r="F45" s="144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132" t="s">
        <v>77</v>
      </c>
      <c r="E46" s="133"/>
      <c r="F46" s="133"/>
      <c r="G46" s="133"/>
      <c r="H46" s="134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135" t="s">
        <v>78</v>
      </c>
      <c r="E47" s="136"/>
      <c r="F47" s="136"/>
      <c r="G47" s="136"/>
      <c r="H47" s="137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132" t="s">
        <v>79</v>
      </c>
      <c r="E48" s="133"/>
      <c r="F48" s="133"/>
      <c r="G48" s="133"/>
      <c r="H48" s="134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135" t="s">
        <v>80</v>
      </c>
      <c r="E49" s="136"/>
      <c r="F49" s="136"/>
      <c r="G49" s="136"/>
      <c r="H49" s="137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215" priority="7" operator="greaterThan">
      <formula>$AA$28</formula>
    </cfRule>
    <cfRule type="cellIs" dxfId="214" priority="8" operator="lessThan">
      <formula>$AA$29</formula>
    </cfRule>
  </conditionalFormatting>
  <conditionalFormatting sqref="I32:X33">
    <cfRule type="cellIs" dxfId="213" priority="5" operator="greaterThan">
      <formula>$AA$32</formula>
    </cfRule>
    <cfRule type="cellIs" dxfId="212" priority="6" operator="lessThan">
      <formula>$AA$33</formula>
    </cfRule>
  </conditionalFormatting>
  <conditionalFormatting sqref="I30:X31">
    <cfRule type="cellIs" dxfId="211" priority="3" operator="greaterThan">
      <formula>$AA$30</formula>
    </cfRule>
    <cfRule type="cellIs" dxfId="210" priority="4" operator="lessThan">
      <formula>$AA$31</formula>
    </cfRule>
  </conditionalFormatting>
  <conditionalFormatting sqref="I26:X27">
    <cfRule type="cellIs" dxfId="209" priority="1" operator="greaterThan">
      <formula>$AA$26</formula>
    </cfRule>
    <cfRule type="cellIs" dxfId="20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55" t="s">
        <v>2</v>
      </c>
      <c r="E2" s="42"/>
      <c r="F2" s="377" t="s">
        <v>91</v>
      </c>
      <c r="G2" s="377"/>
      <c r="H2" s="377"/>
      <c r="I2" s="377"/>
      <c r="J2" s="377"/>
      <c r="K2" s="435"/>
      <c r="L2" s="155" t="s">
        <v>4</v>
      </c>
      <c r="M2" s="377">
        <v>9</v>
      </c>
      <c r="N2" s="378"/>
      <c r="O2" s="155" t="s">
        <v>6</v>
      </c>
      <c r="P2" s="381" t="s">
        <v>81</v>
      </c>
      <c r="Q2" s="382"/>
      <c r="R2" s="382"/>
      <c r="S2" s="382"/>
      <c r="T2" s="382"/>
      <c r="U2" s="382"/>
      <c r="V2" s="383"/>
      <c r="W2" s="155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156" t="s">
        <v>3</v>
      </c>
      <c r="E3" s="43"/>
      <c r="F3" s="436"/>
      <c r="G3" s="436"/>
      <c r="H3" s="436"/>
      <c r="I3" s="436"/>
      <c r="J3" s="436"/>
      <c r="K3" s="437"/>
      <c r="L3" s="156" t="s">
        <v>5</v>
      </c>
      <c r="M3" s="379"/>
      <c r="N3" s="380"/>
      <c r="O3" s="156" t="s">
        <v>7</v>
      </c>
      <c r="P3" s="384"/>
      <c r="Q3" s="384"/>
      <c r="R3" s="384"/>
      <c r="S3" s="384"/>
      <c r="T3" s="384"/>
      <c r="U3" s="384"/>
      <c r="V3" s="38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386" t="s">
        <v>114</v>
      </c>
      <c r="R4" s="387"/>
      <c r="S4" s="387"/>
      <c r="T4" s="388"/>
      <c r="U4" s="155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56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157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2.1019999999999999</v>
      </c>
      <c r="J26" s="320"/>
      <c r="K26" s="320">
        <v>2.1030000000000002</v>
      </c>
      <c r="L26" s="320"/>
      <c r="M26" s="320">
        <v>2.109</v>
      </c>
      <c r="N26" s="320"/>
      <c r="O26" s="320">
        <v>2.109</v>
      </c>
      <c r="P26" s="320"/>
      <c r="Q26" s="320">
        <v>2.1120000000000001</v>
      </c>
      <c r="R26" s="320"/>
      <c r="S26" s="320">
        <v>2.1059999999999999</v>
      </c>
      <c r="T26" s="320"/>
      <c r="U26" s="320">
        <v>2.1040000000000001</v>
      </c>
      <c r="V26" s="320"/>
      <c r="W26" s="320">
        <v>2.1040000000000001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2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2.0990000000000002</v>
      </c>
      <c r="J30" s="320"/>
      <c r="K30" s="320">
        <v>2.1030000000000002</v>
      </c>
      <c r="L30" s="320"/>
      <c r="M30" s="320">
        <v>2.1139999999999999</v>
      </c>
      <c r="N30" s="320"/>
      <c r="O30" s="320">
        <v>2.1019999999999999</v>
      </c>
      <c r="P30" s="320"/>
      <c r="Q30" s="320">
        <v>2.0990000000000002</v>
      </c>
      <c r="R30" s="320"/>
      <c r="S30" s="320">
        <v>2.0939999999999999</v>
      </c>
      <c r="T30" s="320"/>
      <c r="U30" s="320">
        <v>2.0979999999999999</v>
      </c>
      <c r="V30" s="320"/>
      <c r="W30" s="320">
        <v>2.0950000000000002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11.01</v>
      </c>
      <c r="J32" s="360"/>
      <c r="K32" s="360">
        <v>11</v>
      </c>
      <c r="L32" s="360"/>
      <c r="M32" s="360">
        <v>11.03</v>
      </c>
      <c r="N32" s="360"/>
      <c r="O32" s="360">
        <v>11.03</v>
      </c>
      <c r="P32" s="360"/>
      <c r="Q32" s="360">
        <v>11.04</v>
      </c>
      <c r="R32" s="360"/>
      <c r="S32" s="360">
        <v>11.02</v>
      </c>
      <c r="T32" s="360"/>
      <c r="U32" s="360">
        <v>11.01</v>
      </c>
      <c r="V32" s="360"/>
      <c r="W32" s="360">
        <v>11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149" t="s">
        <v>87</v>
      </c>
      <c r="E34" s="150"/>
      <c r="F34" s="150"/>
      <c r="G34" s="150"/>
      <c r="H34" s="151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152" t="s">
        <v>88</v>
      </c>
      <c r="E35" s="153"/>
      <c r="F35" s="153"/>
      <c r="G35" s="153"/>
      <c r="H35" s="154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152" t="s">
        <v>67</v>
      </c>
      <c r="E37" s="153"/>
      <c r="F37" s="153"/>
      <c r="G37" s="153"/>
      <c r="H37" s="154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149" t="s">
        <v>69</v>
      </c>
      <c r="E38" s="150"/>
      <c r="F38" s="150"/>
      <c r="G38" s="150"/>
      <c r="H38" s="151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152" t="s">
        <v>70</v>
      </c>
      <c r="E39" s="153"/>
      <c r="F39" s="153"/>
      <c r="G39" s="153"/>
      <c r="H39" s="154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149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152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149" t="s">
        <v>73</v>
      </c>
      <c r="E42" s="146"/>
      <c r="F42" s="147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152" t="s">
        <v>74</v>
      </c>
      <c r="E43" s="148"/>
      <c r="F43" s="148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149" t="s">
        <v>75</v>
      </c>
      <c r="E44" s="146"/>
      <c r="F44" s="147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152" t="s">
        <v>76</v>
      </c>
      <c r="E45" s="148"/>
      <c r="F45" s="148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149" t="s">
        <v>77</v>
      </c>
      <c r="E46" s="150"/>
      <c r="F46" s="150"/>
      <c r="G46" s="150"/>
      <c r="H46" s="151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152" t="s">
        <v>78</v>
      </c>
      <c r="E47" s="153"/>
      <c r="F47" s="153"/>
      <c r="G47" s="153"/>
      <c r="H47" s="154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149" t="s">
        <v>79</v>
      </c>
      <c r="E48" s="150"/>
      <c r="F48" s="150"/>
      <c r="G48" s="150"/>
      <c r="H48" s="151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152" t="s">
        <v>80</v>
      </c>
      <c r="E49" s="153"/>
      <c r="F49" s="153"/>
      <c r="G49" s="153"/>
      <c r="H49" s="154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I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I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I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55" t="s">
        <v>2</v>
      </c>
      <c r="E2" s="42"/>
      <c r="F2" s="377" t="s">
        <v>91</v>
      </c>
      <c r="G2" s="377"/>
      <c r="H2" s="377"/>
      <c r="I2" s="377"/>
      <c r="J2" s="377"/>
      <c r="K2" s="435"/>
      <c r="L2" s="155" t="s">
        <v>4</v>
      </c>
      <c r="M2" s="377">
        <v>9</v>
      </c>
      <c r="N2" s="378"/>
      <c r="O2" s="155" t="s">
        <v>6</v>
      </c>
      <c r="P2" s="381" t="s">
        <v>81</v>
      </c>
      <c r="Q2" s="382"/>
      <c r="R2" s="382"/>
      <c r="S2" s="382"/>
      <c r="T2" s="382"/>
      <c r="U2" s="382"/>
      <c r="V2" s="383"/>
      <c r="W2" s="155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156" t="s">
        <v>3</v>
      </c>
      <c r="E3" s="43"/>
      <c r="F3" s="436"/>
      <c r="G3" s="436"/>
      <c r="H3" s="436"/>
      <c r="I3" s="436"/>
      <c r="J3" s="436"/>
      <c r="K3" s="437"/>
      <c r="L3" s="156" t="s">
        <v>5</v>
      </c>
      <c r="M3" s="379"/>
      <c r="N3" s="380"/>
      <c r="O3" s="156" t="s">
        <v>7</v>
      </c>
      <c r="P3" s="384"/>
      <c r="Q3" s="384"/>
      <c r="R3" s="384"/>
      <c r="S3" s="384"/>
      <c r="T3" s="384"/>
      <c r="U3" s="384"/>
      <c r="V3" s="385"/>
      <c r="W3" s="156" t="s">
        <v>8</v>
      </c>
      <c r="X3" s="14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5" t="s">
        <v>9</v>
      </c>
      <c r="P4" s="6"/>
      <c r="Q4" s="386" t="s">
        <v>114</v>
      </c>
      <c r="R4" s="387"/>
      <c r="S4" s="387"/>
      <c r="T4" s="388"/>
      <c r="U4" s="155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56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157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2.1040000000000001</v>
      </c>
      <c r="J26" s="320"/>
      <c r="K26" s="320">
        <v>2.1059999999999999</v>
      </c>
      <c r="L26" s="320"/>
      <c r="M26" s="320">
        <v>2.1040000000000001</v>
      </c>
      <c r="N26" s="320"/>
      <c r="O26" s="320">
        <v>2.11</v>
      </c>
      <c r="P26" s="320"/>
      <c r="Q26" s="320">
        <v>2.109</v>
      </c>
      <c r="R26" s="320"/>
      <c r="S26" s="320">
        <v>2.105</v>
      </c>
      <c r="T26" s="320"/>
      <c r="U26" s="320">
        <v>2.1019999999999999</v>
      </c>
      <c r="V26" s="320"/>
      <c r="W26" s="320">
        <v>2.1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2.0939999999999999</v>
      </c>
      <c r="J30" s="320"/>
      <c r="K30" s="320">
        <v>2.1030000000000002</v>
      </c>
      <c r="L30" s="320"/>
      <c r="M30" s="320">
        <v>2.0859999999999999</v>
      </c>
      <c r="N30" s="320"/>
      <c r="O30" s="320">
        <v>2.101</v>
      </c>
      <c r="P30" s="320"/>
      <c r="Q30" s="320">
        <v>2.1080000000000001</v>
      </c>
      <c r="R30" s="320"/>
      <c r="S30" s="320">
        <v>2.1059999999999999</v>
      </c>
      <c r="T30" s="320"/>
      <c r="U30" s="320">
        <v>2.097</v>
      </c>
      <c r="V30" s="320"/>
      <c r="W30" s="320">
        <v>2.1030000000000002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</v>
      </c>
      <c r="J32" s="360"/>
      <c r="K32" s="360">
        <v>11</v>
      </c>
      <c r="L32" s="360"/>
      <c r="M32" s="360">
        <v>11.02</v>
      </c>
      <c r="N32" s="360"/>
      <c r="O32" s="360">
        <v>11.03</v>
      </c>
      <c r="P32" s="360"/>
      <c r="Q32" s="360">
        <v>11.04</v>
      </c>
      <c r="R32" s="360"/>
      <c r="S32" s="360">
        <v>11.03</v>
      </c>
      <c r="T32" s="360"/>
      <c r="U32" s="360">
        <v>11.01</v>
      </c>
      <c r="V32" s="360"/>
      <c r="W32" s="360">
        <v>11.02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149" t="s">
        <v>87</v>
      </c>
      <c r="E34" s="150"/>
      <c r="F34" s="150"/>
      <c r="G34" s="150"/>
      <c r="H34" s="151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152" t="s">
        <v>88</v>
      </c>
      <c r="E35" s="153"/>
      <c r="F35" s="153"/>
      <c r="G35" s="153"/>
      <c r="H35" s="154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152" t="s">
        <v>67</v>
      </c>
      <c r="E37" s="153"/>
      <c r="F37" s="153"/>
      <c r="G37" s="153"/>
      <c r="H37" s="154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149" t="s">
        <v>69</v>
      </c>
      <c r="E38" s="150"/>
      <c r="F38" s="150"/>
      <c r="G38" s="150"/>
      <c r="H38" s="151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152" t="s">
        <v>70</v>
      </c>
      <c r="E39" s="153"/>
      <c r="F39" s="153"/>
      <c r="G39" s="153"/>
      <c r="H39" s="154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149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152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149" t="s">
        <v>73</v>
      </c>
      <c r="E42" s="146"/>
      <c r="F42" s="147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152" t="s">
        <v>74</v>
      </c>
      <c r="E43" s="148"/>
      <c r="F43" s="148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149" t="s">
        <v>75</v>
      </c>
      <c r="E44" s="146"/>
      <c r="F44" s="147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152" t="s">
        <v>76</v>
      </c>
      <c r="E45" s="148"/>
      <c r="F45" s="148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149" t="s">
        <v>77</v>
      </c>
      <c r="E46" s="150"/>
      <c r="F46" s="150"/>
      <c r="G46" s="150"/>
      <c r="H46" s="151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152" t="s">
        <v>78</v>
      </c>
      <c r="E47" s="153"/>
      <c r="F47" s="153"/>
      <c r="G47" s="153"/>
      <c r="H47" s="154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149" t="s">
        <v>79</v>
      </c>
      <c r="E48" s="150"/>
      <c r="F48" s="150"/>
      <c r="G48" s="150"/>
      <c r="H48" s="151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152" t="s">
        <v>80</v>
      </c>
      <c r="E49" s="153"/>
      <c r="F49" s="153"/>
      <c r="G49" s="153"/>
      <c r="H49" s="154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66" t="s">
        <v>2</v>
      </c>
      <c r="E2" s="42"/>
      <c r="F2" s="377" t="s">
        <v>91</v>
      </c>
      <c r="G2" s="377"/>
      <c r="H2" s="377"/>
      <c r="I2" s="377"/>
      <c r="J2" s="377"/>
      <c r="K2" s="435"/>
      <c r="L2" s="166" t="s">
        <v>4</v>
      </c>
      <c r="M2" s="377">
        <v>9</v>
      </c>
      <c r="N2" s="378"/>
      <c r="O2" s="166" t="s">
        <v>6</v>
      </c>
      <c r="P2" s="381" t="s">
        <v>81</v>
      </c>
      <c r="Q2" s="382"/>
      <c r="R2" s="382"/>
      <c r="S2" s="382"/>
      <c r="T2" s="382"/>
      <c r="U2" s="382"/>
      <c r="V2" s="383"/>
      <c r="W2" s="166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167" t="s">
        <v>3</v>
      </c>
      <c r="E3" s="43"/>
      <c r="F3" s="436"/>
      <c r="G3" s="436"/>
      <c r="H3" s="436"/>
      <c r="I3" s="436"/>
      <c r="J3" s="436"/>
      <c r="K3" s="437"/>
      <c r="L3" s="167" t="s">
        <v>5</v>
      </c>
      <c r="M3" s="379"/>
      <c r="N3" s="380"/>
      <c r="O3" s="167" t="s">
        <v>7</v>
      </c>
      <c r="P3" s="384"/>
      <c r="Q3" s="384"/>
      <c r="R3" s="384"/>
      <c r="S3" s="384"/>
      <c r="T3" s="384"/>
      <c r="U3" s="384"/>
      <c r="V3" s="385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386" t="s">
        <v>115</v>
      </c>
      <c r="R4" s="387"/>
      <c r="S4" s="387"/>
      <c r="T4" s="388"/>
      <c r="U4" s="166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67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8</v>
      </c>
      <c r="X24" s="339"/>
      <c r="Z24" s="50"/>
    </row>
    <row r="25" spans="1:28">
      <c r="A25" s="342" t="s">
        <v>15</v>
      </c>
      <c r="B25" s="343"/>
      <c r="C25" s="164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2.1030000000000002</v>
      </c>
      <c r="J26" s="320"/>
      <c r="K26" s="320">
        <v>2.1059999999999999</v>
      </c>
      <c r="L26" s="320"/>
      <c r="M26" s="320">
        <v>2.1110000000000002</v>
      </c>
      <c r="N26" s="320"/>
      <c r="O26" s="320">
        <v>2.113</v>
      </c>
      <c r="P26" s="320"/>
      <c r="Q26" s="320">
        <v>2.1120000000000001</v>
      </c>
      <c r="R26" s="320"/>
      <c r="S26" s="320">
        <v>2.11</v>
      </c>
      <c r="T26" s="320"/>
      <c r="U26" s="320">
        <v>2.11</v>
      </c>
      <c r="V26" s="320"/>
      <c r="W26" s="320">
        <v>2.1080000000000001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2.101</v>
      </c>
      <c r="J30" s="320"/>
      <c r="K30" s="320">
        <v>2.1030000000000002</v>
      </c>
      <c r="L30" s="320"/>
      <c r="M30" s="320">
        <v>2.0979999999999999</v>
      </c>
      <c r="N30" s="320"/>
      <c r="O30" s="320">
        <v>2.1030000000000002</v>
      </c>
      <c r="P30" s="320"/>
      <c r="Q30" s="320">
        <v>2.1190000000000002</v>
      </c>
      <c r="R30" s="320"/>
      <c r="S30" s="320">
        <v>2.0979999999999999</v>
      </c>
      <c r="T30" s="320"/>
      <c r="U30" s="320">
        <v>2.1059999999999999</v>
      </c>
      <c r="V30" s="320"/>
      <c r="W30" s="320">
        <v>2.0950000000000002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11.01</v>
      </c>
      <c r="J32" s="360"/>
      <c r="K32" s="360">
        <v>11</v>
      </c>
      <c r="L32" s="360"/>
      <c r="M32" s="360">
        <v>11.03</v>
      </c>
      <c r="N32" s="360"/>
      <c r="O32" s="360">
        <v>11.03</v>
      </c>
      <c r="P32" s="360"/>
      <c r="Q32" s="360">
        <v>11.02</v>
      </c>
      <c r="R32" s="360"/>
      <c r="S32" s="360">
        <v>11.02</v>
      </c>
      <c r="T32" s="360"/>
      <c r="U32" s="360">
        <v>11.01</v>
      </c>
      <c r="V32" s="360"/>
      <c r="W32" s="360">
        <v>11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158" t="s">
        <v>87</v>
      </c>
      <c r="E34" s="159"/>
      <c r="F34" s="159"/>
      <c r="G34" s="159"/>
      <c r="H34" s="160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161" t="s">
        <v>88</v>
      </c>
      <c r="E35" s="162"/>
      <c r="F35" s="162"/>
      <c r="G35" s="162"/>
      <c r="H35" s="163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161" t="s">
        <v>67</v>
      </c>
      <c r="E37" s="162"/>
      <c r="F37" s="162"/>
      <c r="G37" s="162"/>
      <c r="H37" s="163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158" t="s">
        <v>69</v>
      </c>
      <c r="E38" s="159"/>
      <c r="F38" s="159"/>
      <c r="G38" s="159"/>
      <c r="H38" s="160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161" t="s">
        <v>70</v>
      </c>
      <c r="E39" s="162"/>
      <c r="F39" s="162"/>
      <c r="G39" s="162"/>
      <c r="H39" s="163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158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161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158" t="s">
        <v>73</v>
      </c>
      <c r="E42" s="165"/>
      <c r="F42" s="169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161" t="s">
        <v>74</v>
      </c>
      <c r="E43" s="170"/>
      <c r="F43" s="170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158" t="s">
        <v>75</v>
      </c>
      <c r="E44" s="165"/>
      <c r="F44" s="169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161" t="s">
        <v>76</v>
      </c>
      <c r="E45" s="170"/>
      <c r="F45" s="170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158" t="s">
        <v>77</v>
      </c>
      <c r="E46" s="159"/>
      <c r="F46" s="159"/>
      <c r="G46" s="159"/>
      <c r="H46" s="160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161" t="s">
        <v>78</v>
      </c>
      <c r="E47" s="162"/>
      <c r="F47" s="162"/>
      <c r="G47" s="162"/>
      <c r="H47" s="163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158" t="s">
        <v>79</v>
      </c>
      <c r="E48" s="159"/>
      <c r="F48" s="159"/>
      <c r="G48" s="159"/>
      <c r="H48" s="160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161" t="s">
        <v>80</v>
      </c>
      <c r="E49" s="162"/>
      <c r="F49" s="162"/>
      <c r="G49" s="162"/>
      <c r="H49" s="163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1" priority="7" operator="greaterThan">
      <formula>$AA$28</formula>
    </cfRule>
    <cfRule type="cellIs" dxfId="190" priority="8" operator="lessThan">
      <formula>$AA$29</formula>
    </cfRule>
  </conditionalFormatting>
  <conditionalFormatting sqref="I32:X33">
    <cfRule type="cellIs" dxfId="189" priority="5" operator="greaterThan">
      <formula>$AA$32</formula>
    </cfRule>
    <cfRule type="cellIs" dxfId="188" priority="6" operator="lessThan">
      <formula>$AA$33</formula>
    </cfRule>
  </conditionalFormatting>
  <conditionalFormatting sqref="I30:X31">
    <cfRule type="cellIs" dxfId="187" priority="3" operator="greaterThan">
      <formula>$AA$30</formula>
    </cfRule>
    <cfRule type="cellIs" dxfId="186" priority="4" operator="lessThan">
      <formula>$AA$31</formula>
    </cfRule>
  </conditionalFormatting>
  <conditionalFormatting sqref="I26:X27">
    <cfRule type="cellIs" dxfId="185" priority="1" operator="greaterThan">
      <formula>$AA$26</formula>
    </cfRule>
    <cfRule type="cellIs" dxfId="18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66" t="s">
        <v>2</v>
      </c>
      <c r="E2" s="42"/>
      <c r="F2" s="377" t="s">
        <v>91</v>
      </c>
      <c r="G2" s="377"/>
      <c r="H2" s="377"/>
      <c r="I2" s="377"/>
      <c r="J2" s="377"/>
      <c r="K2" s="435"/>
      <c r="L2" s="166" t="s">
        <v>4</v>
      </c>
      <c r="M2" s="377">
        <v>9</v>
      </c>
      <c r="N2" s="378"/>
      <c r="O2" s="166" t="s">
        <v>6</v>
      </c>
      <c r="P2" s="381" t="s">
        <v>81</v>
      </c>
      <c r="Q2" s="382"/>
      <c r="R2" s="382"/>
      <c r="S2" s="382"/>
      <c r="T2" s="382"/>
      <c r="U2" s="382"/>
      <c r="V2" s="383"/>
      <c r="W2" s="166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167" t="s">
        <v>3</v>
      </c>
      <c r="E3" s="43"/>
      <c r="F3" s="436"/>
      <c r="G3" s="436"/>
      <c r="H3" s="436"/>
      <c r="I3" s="436"/>
      <c r="J3" s="436"/>
      <c r="K3" s="437"/>
      <c r="L3" s="167" t="s">
        <v>5</v>
      </c>
      <c r="M3" s="379"/>
      <c r="N3" s="380"/>
      <c r="O3" s="167" t="s">
        <v>7</v>
      </c>
      <c r="P3" s="384"/>
      <c r="Q3" s="384"/>
      <c r="R3" s="384"/>
      <c r="S3" s="384"/>
      <c r="T3" s="384"/>
      <c r="U3" s="384"/>
      <c r="V3" s="385"/>
      <c r="W3" s="167" t="s">
        <v>8</v>
      </c>
      <c r="X3" s="16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66" t="s">
        <v>9</v>
      </c>
      <c r="P4" s="6"/>
      <c r="Q4" s="386" t="s">
        <v>115</v>
      </c>
      <c r="R4" s="387"/>
      <c r="S4" s="387"/>
      <c r="T4" s="388"/>
      <c r="U4" s="166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67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9</v>
      </c>
      <c r="J24" s="339"/>
      <c r="K24" s="339">
        <v>10</v>
      </c>
      <c r="L24" s="339"/>
      <c r="M24" s="339">
        <v>11</v>
      </c>
      <c r="N24" s="339"/>
      <c r="O24" s="339">
        <v>12</v>
      </c>
      <c r="P24" s="339"/>
      <c r="Q24" s="339">
        <v>13</v>
      </c>
      <c r="R24" s="339"/>
      <c r="S24" s="339">
        <v>14</v>
      </c>
      <c r="T24" s="339"/>
      <c r="U24" s="339">
        <v>15</v>
      </c>
      <c r="V24" s="339"/>
      <c r="W24" s="339">
        <v>16</v>
      </c>
      <c r="X24" s="339"/>
      <c r="Z24" s="50"/>
    </row>
    <row r="25" spans="1:28">
      <c r="A25" s="342" t="s">
        <v>15</v>
      </c>
      <c r="B25" s="343"/>
      <c r="C25" s="164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2.11</v>
      </c>
      <c r="J26" s="320"/>
      <c r="K26" s="320">
        <v>2.1110000000000002</v>
      </c>
      <c r="L26" s="320"/>
      <c r="M26" s="320">
        <v>2.1080000000000001</v>
      </c>
      <c r="N26" s="320"/>
      <c r="O26" s="320">
        <v>2.1139999999999999</v>
      </c>
      <c r="P26" s="320"/>
      <c r="Q26" s="320">
        <v>2.117</v>
      </c>
      <c r="R26" s="320"/>
      <c r="S26" s="320">
        <v>2.11</v>
      </c>
      <c r="T26" s="320"/>
      <c r="U26" s="320">
        <v>2.1070000000000002</v>
      </c>
      <c r="V26" s="320"/>
      <c r="W26" s="320">
        <v>2.1040000000000001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2.0979999999999999</v>
      </c>
      <c r="J30" s="320"/>
      <c r="K30" s="320">
        <v>2.1059999999999999</v>
      </c>
      <c r="L30" s="320"/>
      <c r="M30" s="320">
        <v>2.101</v>
      </c>
      <c r="N30" s="320"/>
      <c r="O30" s="320">
        <v>2.101</v>
      </c>
      <c r="P30" s="320"/>
      <c r="Q30" s="320">
        <v>2.1139999999999999</v>
      </c>
      <c r="R30" s="320"/>
      <c r="S30" s="320">
        <v>2.1080000000000001</v>
      </c>
      <c r="T30" s="320"/>
      <c r="U30" s="320">
        <v>2.0960000000000001</v>
      </c>
      <c r="V30" s="320"/>
      <c r="W30" s="320">
        <v>2.1059999999999999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11.02</v>
      </c>
      <c r="J32" s="360"/>
      <c r="K32" s="360">
        <v>11.01</v>
      </c>
      <c r="L32" s="360"/>
      <c r="M32" s="360">
        <v>11.03</v>
      </c>
      <c r="N32" s="360"/>
      <c r="O32" s="360">
        <v>11.04</v>
      </c>
      <c r="P32" s="360"/>
      <c r="Q32" s="360">
        <v>11.04</v>
      </c>
      <c r="R32" s="360"/>
      <c r="S32" s="360">
        <v>11.03</v>
      </c>
      <c r="T32" s="360"/>
      <c r="U32" s="360">
        <v>11.02</v>
      </c>
      <c r="V32" s="360"/>
      <c r="W32" s="360">
        <v>11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158" t="s">
        <v>87</v>
      </c>
      <c r="E34" s="159"/>
      <c r="F34" s="159"/>
      <c r="G34" s="159"/>
      <c r="H34" s="160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161" t="s">
        <v>88</v>
      </c>
      <c r="E35" s="162"/>
      <c r="F35" s="162"/>
      <c r="G35" s="162"/>
      <c r="H35" s="163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161" t="s">
        <v>67</v>
      </c>
      <c r="E37" s="162"/>
      <c r="F37" s="162"/>
      <c r="G37" s="162"/>
      <c r="H37" s="163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158" t="s">
        <v>69</v>
      </c>
      <c r="E38" s="159"/>
      <c r="F38" s="159"/>
      <c r="G38" s="159"/>
      <c r="H38" s="160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161" t="s">
        <v>70</v>
      </c>
      <c r="E39" s="162"/>
      <c r="F39" s="162"/>
      <c r="G39" s="162"/>
      <c r="H39" s="163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158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161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158" t="s">
        <v>73</v>
      </c>
      <c r="E42" s="165"/>
      <c r="F42" s="169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161" t="s">
        <v>74</v>
      </c>
      <c r="E43" s="170"/>
      <c r="F43" s="170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158" t="s">
        <v>75</v>
      </c>
      <c r="E44" s="165"/>
      <c r="F44" s="169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161" t="s">
        <v>76</v>
      </c>
      <c r="E45" s="170"/>
      <c r="F45" s="170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158" t="s">
        <v>77</v>
      </c>
      <c r="E46" s="159"/>
      <c r="F46" s="159"/>
      <c r="G46" s="159"/>
      <c r="H46" s="160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161" t="s">
        <v>78</v>
      </c>
      <c r="E47" s="162"/>
      <c r="F47" s="162"/>
      <c r="G47" s="162"/>
      <c r="H47" s="163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158" t="s">
        <v>79</v>
      </c>
      <c r="E48" s="159"/>
      <c r="F48" s="159"/>
      <c r="G48" s="159"/>
      <c r="H48" s="160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161" t="s">
        <v>80</v>
      </c>
      <c r="E49" s="162"/>
      <c r="F49" s="162"/>
      <c r="G49" s="162"/>
      <c r="H49" s="163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83" priority="7" operator="greaterThan">
      <formula>$AA$28</formula>
    </cfRule>
    <cfRule type="cellIs" dxfId="182" priority="8" operator="lessThan">
      <formula>$AA$29</formula>
    </cfRule>
  </conditionalFormatting>
  <conditionalFormatting sqref="I32:X33">
    <cfRule type="cellIs" dxfId="181" priority="5" operator="greaterThan">
      <formula>$AA$32</formula>
    </cfRule>
    <cfRule type="cellIs" dxfId="180" priority="6" operator="lessThan">
      <formula>$AA$33</formula>
    </cfRule>
  </conditionalFormatting>
  <conditionalFormatting sqref="I30:X31">
    <cfRule type="cellIs" dxfId="179" priority="3" operator="greaterThan">
      <formula>$AA$30</formula>
    </cfRule>
    <cfRule type="cellIs" dxfId="178" priority="4" operator="lessThan">
      <formula>$AA$31</formula>
    </cfRule>
  </conditionalFormatting>
  <conditionalFormatting sqref="I26:X27">
    <cfRule type="cellIs" dxfId="177" priority="1" operator="greaterThan">
      <formula>$AA$26</formula>
    </cfRule>
    <cfRule type="cellIs" dxfId="17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81" t="s">
        <v>2</v>
      </c>
      <c r="E2" s="42"/>
      <c r="F2" s="377" t="s">
        <v>91</v>
      </c>
      <c r="G2" s="377"/>
      <c r="H2" s="377"/>
      <c r="I2" s="377"/>
      <c r="J2" s="377"/>
      <c r="K2" s="435"/>
      <c r="L2" s="181" t="s">
        <v>4</v>
      </c>
      <c r="M2" s="377">
        <v>9</v>
      </c>
      <c r="N2" s="378"/>
      <c r="O2" s="181" t="s">
        <v>6</v>
      </c>
      <c r="P2" s="381" t="s">
        <v>81</v>
      </c>
      <c r="Q2" s="382"/>
      <c r="R2" s="382"/>
      <c r="S2" s="382"/>
      <c r="T2" s="382"/>
      <c r="U2" s="382"/>
      <c r="V2" s="383"/>
      <c r="W2" s="181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182" t="s">
        <v>3</v>
      </c>
      <c r="E3" s="43"/>
      <c r="F3" s="436"/>
      <c r="G3" s="436"/>
      <c r="H3" s="436"/>
      <c r="I3" s="436"/>
      <c r="J3" s="436"/>
      <c r="K3" s="437"/>
      <c r="L3" s="182" t="s">
        <v>5</v>
      </c>
      <c r="M3" s="379"/>
      <c r="N3" s="380"/>
      <c r="O3" s="182" t="s">
        <v>7</v>
      </c>
      <c r="P3" s="384"/>
      <c r="Q3" s="384"/>
      <c r="R3" s="384"/>
      <c r="S3" s="384"/>
      <c r="T3" s="384"/>
      <c r="U3" s="384"/>
      <c r="V3" s="385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1" t="s">
        <v>9</v>
      </c>
      <c r="P4" s="6"/>
      <c r="Q4" s="386" t="s">
        <v>116</v>
      </c>
      <c r="R4" s="387"/>
      <c r="S4" s="387"/>
      <c r="T4" s="388"/>
      <c r="U4" s="181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82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9</v>
      </c>
      <c r="X24" s="339"/>
      <c r="Z24" s="50"/>
    </row>
    <row r="25" spans="1:28">
      <c r="A25" s="342" t="s">
        <v>15</v>
      </c>
      <c r="B25" s="343"/>
      <c r="C25" s="183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</v>
      </c>
      <c r="J26" s="320"/>
      <c r="K26" s="320">
        <v>2.1019999999999999</v>
      </c>
      <c r="L26" s="320"/>
      <c r="M26" s="320">
        <v>2.105</v>
      </c>
      <c r="N26" s="320"/>
      <c r="O26" s="320">
        <v>2.1059999999999999</v>
      </c>
      <c r="P26" s="320"/>
      <c r="Q26" s="320">
        <v>2.1070000000000002</v>
      </c>
      <c r="R26" s="320"/>
      <c r="S26" s="320">
        <v>2.1030000000000002</v>
      </c>
      <c r="T26" s="320"/>
      <c r="U26" s="320">
        <v>2.1019999999999999</v>
      </c>
      <c r="V26" s="320"/>
      <c r="W26" s="320">
        <v>2.101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2.101</v>
      </c>
      <c r="J30" s="320"/>
      <c r="K30" s="320">
        <v>2.1019999999999999</v>
      </c>
      <c r="L30" s="320"/>
      <c r="M30" s="320">
        <v>2.0950000000000002</v>
      </c>
      <c r="N30" s="320"/>
      <c r="O30" s="320">
        <v>2.0950000000000002</v>
      </c>
      <c r="P30" s="320"/>
      <c r="Q30" s="320">
        <v>2.1019999999999999</v>
      </c>
      <c r="R30" s="320"/>
      <c r="S30" s="320">
        <v>2.0920000000000001</v>
      </c>
      <c r="T30" s="320"/>
      <c r="U30" s="320">
        <v>2.0939999999999999</v>
      </c>
      <c r="V30" s="320"/>
      <c r="W30" s="320">
        <v>2.0990000000000002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11.01</v>
      </c>
      <c r="J32" s="360"/>
      <c r="K32" s="360">
        <v>11</v>
      </c>
      <c r="L32" s="360"/>
      <c r="M32" s="360">
        <v>11.03</v>
      </c>
      <c r="N32" s="360"/>
      <c r="O32" s="360">
        <v>11.04</v>
      </c>
      <c r="P32" s="360"/>
      <c r="Q32" s="360">
        <v>11.03</v>
      </c>
      <c r="R32" s="360"/>
      <c r="S32" s="360">
        <v>11.04</v>
      </c>
      <c r="T32" s="360"/>
      <c r="U32" s="360">
        <v>11</v>
      </c>
      <c r="V32" s="360"/>
      <c r="W32" s="360">
        <v>11.01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175" t="s">
        <v>87</v>
      </c>
      <c r="E34" s="176"/>
      <c r="F34" s="176"/>
      <c r="G34" s="176"/>
      <c r="H34" s="177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178" t="s">
        <v>88</v>
      </c>
      <c r="E35" s="179"/>
      <c r="F35" s="179"/>
      <c r="G35" s="179"/>
      <c r="H35" s="180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178" t="s">
        <v>67</v>
      </c>
      <c r="E37" s="179"/>
      <c r="F37" s="179"/>
      <c r="G37" s="179"/>
      <c r="H37" s="180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175" t="s">
        <v>69</v>
      </c>
      <c r="E38" s="176"/>
      <c r="F38" s="176"/>
      <c r="G38" s="176"/>
      <c r="H38" s="177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178" t="s">
        <v>70</v>
      </c>
      <c r="E39" s="179"/>
      <c r="F39" s="179"/>
      <c r="G39" s="179"/>
      <c r="H39" s="180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175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178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175" t="s">
        <v>73</v>
      </c>
      <c r="E42" s="172"/>
      <c r="F42" s="173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178" t="s">
        <v>74</v>
      </c>
      <c r="E43" s="174"/>
      <c r="F43" s="174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175" t="s">
        <v>75</v>
      </c>
      <c r="E44" s="172"/>
      <c r="F44" s="173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178" t="s">
        <v>76</v>
      </c>
      <c r="E45" s="174"/>
      <c r="F45" s="174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175" t="s">
        <v>77</v>
      </c>
      <c r="E46" s="176"/>
      <c r="F46" s="176"/>
      <c r="G46" s="176"/>
      <c r="H46" s="177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178" t="s">
        <v>78</v>
      </c>
      <c r="E47" s="179"/>
      <c r="F47" s="179"/>
      <c r="G47" s="179"/>
      <c r="H47" s="180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175" t="s">
        <v>79</v>
      </c>
      <c r="E48" s="176"/>
      <c r="F48" s="176"/>
      <c r="G48" s="176"/>
      <c r="H48" s="177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178" t="s">
        <v>80</v>
      </c>
      <c r="E49" s="179"/>
      <c r="F49" s="179"/>
      <c r="G49" s="179"/>
      <c r="H49" s="180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I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I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I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81" t="s">
        <v>2</v>
      </c>
      <c r="E2" s="42"/>
      <c r="F2" s="377" t="s">
        <v>91</v>
      </c>
      <c r="G2" s="377"/>
      <c r="H2" s="377"/>
      <c r="I2" s="377"/>
      <c r="J2" s="377"/>
      <c r="K2" s="435"/>
      <c r="L2" s="181" t="s">
        <v>4</v>
      </c>
      <c r="M2" s="377">
        <v>9</v>
      </c>
      <c r="N2" s="378"/>
      <c r="O2" s="181" t="s">
        <v>6</v>
      </c>
      <c r="P2" s="381" t="s">
        <v>81</v>
      </c>
      <c r="Q2" s="382"/>
      <c r="R2" s="382"/>
      <c r="S2" s="382"/>
      <c r="T2" s="382"/>
      <c r="U2" s="382"/>
      <c r="V2" s="383"/>
      <c r="W2" s="181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182" t="s">
        <v>3</v>
      </c>
      <c r="E3" s="43"/>
      <c r="F3" s="436"/>
      <c r="G3" s="436"/>
      <c r="H3" s="436"/>
      <c r="I3" s="436"/>
      <c r="J3" s="436"/>
      <c r="K3" s="437"/>
      <c r="L3" s="182" t="s">
        <v>5</v>
      </c>
      <c r="M3" s="379"/>
      <c r="N3" s="380"/>
      <c r="O3" s="182" t="s">
        <v>7</v>
      </c>
      <c r="P3" s="384"/>
      <c r="Q3" s="384"/>
      <c r="R3" s="384"/>
      <c r="S3" s="384"/>
      <c r="T3" s="384"/>
      <c r="U3" s="384"/>
      <c r="V3" s="385"/>
      <c r="W3" s="182" t="s">
        <v>8</v>
      </c>
      <c r="X3" s="171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81" t="s">
        <v>9</v>
      </c>
      <c r="P4" s="6"/>
      <c r="Q4" s="386" t="s">
        <v>116</v>
      </c>
      <c r="R4" s="387"/>
      <c r="S4" s="387"/>
      <c r="T4" s="388"/>
      <c r="U4" s="181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82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10</v>
      </c>
      <c r="J24" s="339"/>
      <c r="K24" s="339">
        <v>11</v>
      </c>
      <c r="L24" s="339"/>
      <c r="M24" s="339">
        <v>12</v>
      </c>
      <c r="N24" s="339"/>
      <c r="O24" s="339">
        <v>13</v>
      </c>
      <c r="P24" s="339"/>
      <c r="Q24" s="339">
        <v>14</v>
      </c>
      <c r="R24" s="339"/>
      <c r="S24" s="339">
        <v>15</v>
      </c>
      <c r="T24" s="339"/>
      <c r="U24" s="339">
        <v>16</v>
      </c>
      <c r="V24" s="339"/>
      <c r="W24" s="339"/>
      <c r="X24" s="339"/>
      <c r="Z24" s="50"/>
    </row>
    <row r="25" spans="1:28">
      <c r="A25" s="342" t="s">
        <v>15</v>
      </c>
      <c r="B25" s="343"/>
      <c r="C25" s="183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2.105</v>
      </c>
      <c r="J26" s="320"/>
      <c r="K26" s="320">
        <v>2.101</v>
      </c>
      <c r="L26" s="320"/>
      <c r="M26" s="320">
        <v>2.1059999999999999</v>
      </c>
      <c r="N26" s="320"/>
      <c r="O26" s="320">
        <v>2.1080000000000001</v>
      </c>
      <c r="P26" s="320"/>
      <c r="Q26" s="320">
        <v>2.1040000000000001</v>
      </c>
      <c r="R26" s="320"/>
      <c r="S26" s="320">
        <v>2.1</v>
      </c>
      <c r="T26" s="320"/>
      <c r="U26" s="320">
        <v>2.101</v>
      </c>
      <c r="V26" s="320"/>
      <c r="W26" s="320"/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/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2.1030000000000002</v>
      </c>
      <c r="J30" s="320"/>
      <c r="K30" s="320">
        <v>2.0960000000000001</v>
      </c>
      <c r="L30" s="320"/>
      <c r="M30" s="320">
        <v>2.0979999999999999</v>
      </c>
      <c r="N30" s="320"/>
      <c r="O30" s="320">
        <v>2.1030000000000002</v>
      </c>
      <c r="P30" s="320"/>
      <c r="Q30" s="320">
        <v>2.1070000000000002</v>
      </c>
      <c r="R30" s="320"/>
      <c r="S30" s="320">
        <v>2.09</v>
      </c>
      <c r="T30" s="320"/>
      <c r="U30" s="320">
        <v>2.101</v>
      </c>
      <c r="V30" s="320"/>
      <c r="W30" s="320"/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11.04</v>
      </c>
      <c r="J32" s="360"/>
      <c r="K32" s="360">
        <v>11.03</v>
      </c>
      <c r="L32" s="360"/>
      <c r="M32" s="360">
        <v>11.03</v>
      </c>
      <c r="N32" s="360"/>
      <c r="O32" s="360">
        <v>11.03</v>
      </c>
      <c r="P32" s="360"/>
      <c r="Q32" s="360">
        <v>11.01</v>
      </c>
      <c r="R32" s="360"/>
      <c r="S32" s="360">
        <v>11.01</v>
      </c>
      <c r="T32" s="360"/>
      <c r="U32" s="360">
        <v>11.02</v>
      </c>
      <c r="V32" s="360"/>
      <c r="W32" s="360"/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175" t="s">
        <v>87</v>
      </c>
      <c r="E34" s="176"/>
      <c r="F34" s="176"/>
      <c r="G34" s="176"/>
      <c r="H34" s="177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/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178" t="s">
        <v>88</v>
      </c>
      <c r="E35" s="179"/>
      <c r="F35" s="179"/>
      <c r="G35" s="179"/>
      <c r="H35" s="180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/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178" t="s">
        <v>67</v>
      </c>
      <c r="E37" s="179"/>
      <c r="F37" s="179"/>
      <c r="G37" s="179"/>
      <c r="H37" s="180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175" t="s">
        <v>69</v>
      </c>
      <c r="E38" s="176"/>
      <c r="F38" s="176"/>
      <c r="G38" s="176"/>
      <c r="H38" s="177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/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178" t="s">
        <v>70</v>
      </c>
      <c r="E39" s="179"/>
      <c r="F39" s="179"/>
      <c r="G39" s="179"/>
      <c r="H39" s="180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175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178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175" t="s">
        <v>73</v>
      </c>
      <c r="E42" s="172"/>
      <c r="F42" s="173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178" t="s">
        <v>74</v>
      </c>
      <c r="E43" s="174"/>
      <c r="F43" s="174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175" t="s">
        <v>75</v>
      </c>
      <c r="E44" s="172"/>
      <c r="F44" s="173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178" t="s">
        <v>76</v>
      </c>
      <c r="E45" s="174"/>
      <c r="F45" s="174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175" t="s">
        <v>77</v>
      </c>
      <c r="E46" s="176"/>
      <c r="F46" s="176"/>
      <c r="G46" s="176"/>
      <c r="H46" s="177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178" t="s">
        <v>78</v>
      </c>
      <c r="E47" s="179"/>
      <c r="F47" s="179"/>
      <c r="G47" s="179"/>
      <c r="H47" s="180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175" t="s">
        <v>79</v>
      </c>
      <c r="E48" s="176"/>
      <c r="F48" s="176"/>
      <c r="G48" s="176"/>
      <c r="H48" s="177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/>
      <c r="X48" s="315"/>
      <c r="AA48" s="45"/>
      <c r="AB48" s="56"/>
    </row>
    <row r="49" spans="1:28" s="20" customFormat="1" ht="10" customHeight="1">
      <c r="A49" s="353"/>
      <c r="B49" s="353"/>
      <c r="C49" s="431"/>
      <c r="D49" s="178" t="s">
        <v>80</v>
      </c>
      <c r="E49" s="179"/>
      <c r="F49" s="179"/>
      <c r="G49" s="179"/>
      <c r="H49" s="180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92" t="s">
        <v>2</v>
      </c>
      <c r="E2" s="42"/>
      <c r="F2" s="377" t="s">
        <v>91</v>
      </c>
      <c r="G2" s="377"/>
      <c r="H2" s="377"/>
      <c r="I2" s="377"/>
      <c r="J2" s="377"/>
      <c r="K2" s="435"/>
      <c r="L2" s="192" t="s">
        <v>4</v>
      </c>
      <c r="M2" s="377">
        <v>9</v>
      </c>
      <c r="N2" s="378"/>
      <c r="O2" s="192" t="s">
        <v>6</v>
      </c>
      <c r="P2" s="381" t="s">
        <v>81</v>
      </c>
      <c r="Q2" s="382"/>
      <c r="R2" s="382"/>
      <c r="S2" s="382"/>
      <c r="T2" s="382"/>
      <c r="U2" s="382"/>
      <c r="V2" s="383"/>
      <c r="W2" s="192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193" t="s">
        <v>3</v>
      </c>
      <c r="E3" s="43"/>
      <c r="F3" s="436"/>
      <c r="G3" s="436"/>
      <c r="H3" s="436"/>
      <c r="I3" s="436"/>
      <c r="J3" s="436"/>
      <c r="K3" s="437"/>
      <c r="L3" s="193" t="s">
        <v>5</v>
      </c>
      <c r="M3" s="379"/>
      <c r="N3" s="380"/>
      <c r="O3" s="193" t="s">
        <v>7</v>
      </c>
      <c r="P3" s="384"/>
      <c r="Q3" s="384"/>
      <c r="R3" s="384"/>
      <c r="S3" s="384"/>
      <c r="T3" s="384"/>
      <c r="U3" s="384"/>
      <c r="V3" s="385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386" t="s">
        <v>117</v>
      </c>
      <c r="R4" s="387"/>
      <c r="S4" s="387"/>
      <c r="T4" s="388"/>
      <c r="U4" s="192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93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9</v>
      </c>
      <c r="X24" s="339"/>
      <c r="Z24" s="50"/>
    </row>
    <row r="25" spans="1:28">
      <c r="A25" s="342" t="s">
        <v>15</v>
      </c>
      <c r="B25" s="343"/>
      <c r="C25" s="190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2.0979999999999999</v>
      </c>
      <c r="J26" s="320"/>
      <c r="K26" s="320">
        <v>2.101</v>
      </c>
      <c r="L26" s="320"/>
      <c r="M26" s="320">
        <v>2.105</v>
      </c>
      <c r="N26" s="320"/>
      <c r="O26" s="320">
        <v>2.1030000000000002</v>
      </c>
      <c r="P26" s="320"/>
      <c r="Q26" s="320">
        <v>2.1059999999999999</v>
      </c>
      <c r="R26" s="320"/>
      <c r="S26" s="320">
        <v>2.101</v>
      </c>
      <c r="T26" s="320"/>
      <c r="U26" s="320">
        <v>2.1</v>
      </c>
      <c r="V26" s="320"/>
      <c r="W26" s="320">
        <v>2.101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2.0979999999999999</v>
      </c>
      <c r="J30" s="320"/>
      <c r="K30" s="320">
        <v>2.0990000000000002</v>
      </c>
      <c r="L30" s="320"/>
      <c r="M30" s="320">
        <v>2.105</v>
      </c>
      <c r="N30" s="320"/>
      <c r="O30" s="320">
        <v>2.0990000000000002</v>
      </c>
      <c r="P30" s="320"/>
      <c r="Q30" s="320">
        <v>2.1</v>
      </c>
      <c r="R30" s="320"/>
      <c r="S30" s="320">
        <v>2.0950000000000002</v>
      </c>
      <c r="T30" s="320"/>
      <c r="U30" s="320">
        <v>2.1019999999999999</v>
      </c>
      <c r="V30" s="320"/>
      <c r="W30" s="320">
        <v>2.0960000000000001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</v>
      </c>
      <c r="J32" s="360"/>
      <c r="K32" s="360">
        <v>11</v>
      </c>
      <c r="L32" s="360"/>
      <c r="M32" s="360">
        <v>11.02</v>
      </c>
      <c r="N32" s="360"/>
      <c r="O32" s="360">
        <v>11.04</v>
      </c>
      <c r="P32" s="360"/>
      <c r="Q32" s="360">
        <v>11.03</v>
      </c>
      <c r="R32" s="360"/>
      <c r="S32" s="360">
        <v>11.02</v>
      </c>
      <c r="T32" s="360"/>
      <c r="U32" s="360">
        <v>11.01</v>
      </c>
      <c r="V32" s="360"/>
      <c r="W32" s="360">
        <v>11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184" t="s">
        <v>87</v>
      </c>
      <c r="E34" s="185"/>
      <c r="F34" s="185"/>
      <c r="G34" s="185"/>
      <c r="H34" s="186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187" t="s">
        <v>88</v>
      </c>
      <c r="E35" s="188"/>
      <c r="F35" s="188"/>
      <c r="G35" s="188"/>
      <c r="H35" s="189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187" t="s">
        <v>67</v>
      </c>
      <c r="E37" s="188"/>
      <c r="F37" s="188"/>
      <c r="G37" s="188"/>
      <c r="H37" s="189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184" t="s">
        <v>69</v>
      </c>
      <c r="E38" s="185"/>
      <c r="F38" s="185"/>
      <c r="G38" s="185"/>
      <c r="H38" s="186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187" t="s">
        <v>70</v>
      </c>
      <c r="E39" s="188"/>
      <c r="F39" s="188"/>
      <c r="G39" s="188"/>
      <c r="H39" s="189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184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187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184" t="s">
        <v>73</v>
      </c>
      <c r="E42" s="191"/>
      <c r="F42" s="195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187" t="s">
        <v>74</v>
      </c>
      <c r="E43" s="196"/>
      <c r="F43" s="196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184" t="s">
        <v>75</v>
      </c>
      <c r="E44" s="191"/>
      <c r="F44" s="195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187" t="s">
        <v>76</v>
      </c>
      <c r="E45" s="196"/>
      <c r="F45" s="196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184" t="s">
        <v>77</v>
      </c>
      <c r="E46" s="185"/>
      <c r="F46" s="185"/>
      <c r="G46" s="185"/>
      <c r="H46" s="186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187" t="s">
        <v>78</v>
      </c>
      <c r="E47" s="188"/>
      <c r="F47" s="188"/>
      <c r="G47" s="188"/>
      <c r="H47" s="189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184" t="s">
        <v>79</v>
      </c>
      <c r="E48" s="185"/>
      <c r="F48" s="185"/>
      <c r="G48" s="185"/>
      <c r="H48" s="186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187" t="s">
        <v>80</v>
      </c>
      <c r="E49" s="188"/>
      <c r="F49" s="188"/>
      <c r="G49" s="188"/>
      <c r="H49" s="189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9" priority="7" operator="greaterThan">
      <formula>$AA$28</formula>
    </cfRule>
    <cfRule type="cellIs" dxfId="158" priority="8" operator="lessThan">
      <formula>$AA$29</formula>
    </cfRule>
  </conditionalFormatting>
  <conditionalFormatting sqref="I32:X33">
    <cfRule type="cellIs" dxfId="157" priority="5" operator="greaterThan">
      <formula>$AA$32</formula>
    </cfRule>
    <cfRule type="cellIs" dxfId="156" priority="6" operator="lessThan">
      <formula>$AA$33</formula>
    </cfRule>
  </conditionalFormatting>
  <conditionalFormatting sqref="I30:X31">
    <cfRule type="cellIs" dxfId="155" priority="3" operator="greaterThan">
      <formula>$AA$30</formula>
    </cfRule>
    <cfRule type="cellIs" dxfId="154" priority="4" operator="lessThan">
      <formula>$AA$31</formula>
    </cfRule>
  </conditionalFormatting>
  <conditionalFormatting sqref="I26:X27">
    <cfRule type="cellIs" dxfId="153" priority="1" operator="greaterThan">
      <formula>$AA$26</formula>
    </cfRule>
    <cfRule type="cellIs" dxfId="15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192" t="s">
        <v>2</v>
      </c>
      <c r="E2" s="42"/>
      <c r="F2" s="377" t="s">
        <v>91</v>
      </c>
      <c r="G2" s="377"/>
      <c r="H2" s="377"/>
      <c r="I2" s="377"/>
      <c r="J2" s="377"/>
      <c r="K2" s="435"/>
      <c r="L2" s="192" t="s">
        <v>4</v>
      </c>
      <c r="M2" s="377">
        <v>9</v>
      </c>
      <c r="N2" s="378"/>
      <c r="O2" s="192" t="s">
        <v>6</v>
      </c>
      <c r="P2" s="381" t="s">
        <v>81</v>
      </c>
      <c r="Q2" s="382"/>
      <c r="R2" s="382"/>
      <c r="S2" s="382"/>
      <c r="T2" s="382"/>
      <c r="U2" s="382"/>
      <c r="V2" s="383"/>
      <c r="W2" s="192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193" t="s">
        <v>3</v>
      </c>
      <c r="E3" s="43"/>
      <c r="F3" s="436"/>
      <c r="G3" s="436"/>
      <c r="H3" s="436"/>
      <c r="I3" s="436"/>
      <c r="J3" s="436"/>
      <c r="K3" s="437"/>
      <c r="L3" s="193" t="s">
        <v>5</v>
      </c>
      <c r="M3" s="379"/>
      <c r="N3" s="380"/>
      <c r="O3" s="193" t="s">
        <v>7</v>
      </c>
      <c r="P3" s="384"/>
      <c r="Q3" s="384"/>
      <c r="R3" s="384"/>
      <c r="S3" s="384"/>
      <c r="T3" s="384"/>
      <c r="U3" s="384"/>
      <c r="V3" s="385"/>
      <c r="W3" s="193" t="s">
        <v>8</v>
      </c>
      <c r="X3" s="194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92" t="s">
        <v>9</v>
      </c>
      <c r="P4" s="6"/>
      <c r="Q4" s="386" t="s">
        <v>117</v>
      </c>
      <c r="R4" s="387"/>
      <c r="S4" s="387"/>
      <c r="T4" s="388"/>
      <c r="U4" s="192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193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10</v>
      </c>
      <c r="J24" s="339"/>
      <c r="K24" s="339">
        <v>11</v>
      </c>
      <c r="L24" s="339"/>
      <c r="M24" s="339">
        <v>12</v>
      </c>
      <c r="N24" s="339"/>
      <c r="O24" s="339">
        <v>13</v>
      </c>
      <c r="P24" s="339"/>
      <c r="Q24" s="339">
        <v>14</v>
      </c>
      <c r="R24" s="339"/>
      <c r="S24" s="339">
        <v>15</v>
      </c>
      <c r="T24" s="339"/>
      <c r="U24" s="339">
        <v>16</v>
      </c>
      <c r="V24" s="339"/>
      <c r="W24" s="339"/>
      <c r="X24" s="339"/>
      <c r="Z24" s="50"/>
    </row>
    <row r="25" spans="1:28">
      <c r="A25" s="342" t="s">
        <v>15</v>
      </c>
      <c r="B25" s="343"/>
      <c r="C25" s="190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2.105</v>
      </c>
      <c r="J26" s="320"/>
      <c r="K26" s="320">
        <v>2.1</v>
      </c>
      <c r="L26" s="320"/>
      <c r="M26" s="320">
        <v>2.1070000000000002</v>
      </c>
      <c r="N26" s="320"/>
      <c r="O26" s="320">
        <v>2.1070000000000002</v>
      </c>
      <c r="P26" s="320"/>
      <c r="Q26" s="320">
        <v>2.1030000000000002</v>
      </c>
      <c r="R26" s="320"/>
      <c r="S26" s="320">
        <v>2.1019999999999999</v>
      </c>
      <c r="T26" s="320"/>
      <c r="U26" s="320">
        <v>2.1</v>
      </c>
      <c r="V26" s="320"/>
      <c r="W26" s="320"/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/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2.0950000000000002</v>
      </c>
      <c r="J30" s="320"/>
      <c r="K30" s="320">
        <v>2.1</v>
      </c>
      <c r="L30" s="320"/>
      <c r="M30" s="320">
        <v>2.101</v>
      </c>
      <c r="N30" s="320"/>
      <c r="O30" s="320">
        <v>2.1080000000000001</v>
      </c>
      <c r="P30" s="320"/>
      <c r="Q30" s="320">
        <v>2.1080000000000001</v>
      </c>
      <c r="R30" s="320"/>
      <c r="S30" s="320">
        <v>2.0920000000000001</v>
      </c>
      <c r="T30" s="320"/>
      <c r="U30" s="320">
        <v>2.1019999999999999</v>
      </c>
      <c r="V30" s="320"/>
      <c r="W30" s="320"/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11.01</v>
      </c>
      <c r="J32" s="360"/>
      <c r="K32" s="360">
        <v>11.01</v>
      </c>
      <c r="L32" s="360"/>
      <c r="M32" s="360">
        <v>11.03</v>
      </c>
      <c r="N32" s="360"/>
      <c r="O32" s="360">
        <v>11.04</v>
      </c>
      <c r="P32" s="360"/>
      <c r="Q32" s="360">
        <v>11.03</v>
      </c>
      <c r="R32" s="360"/>
      <c r="S32" s="360">
        <v>11</v>
      </c>
      <c r="T32" s="360"/>
      <c r="U32" s="360">
        <v>11.01</v>
      </c>
      <c r="V32" s="360"/>
      <c r="W32" s="360"/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184" t="s">
        <v>87</v>
      </c>
      <c r="E34" s="185"/>
      <c r="F34" s="185"/>
      <c r="G34" s="185"/>
      <c r="H34" s="186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/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187" t="s">
        <v>88</v>
      </c>
      <c r="E35" s="188"/>
      <c r="F35" s="188"/>
      <c r="G35" s="188"/>
      <c r="H35" s="189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/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187" t="s">
        <v>67</v>
      </c>
      <c r="E37" s="188"/>
      <c r="F37" s="188"/>
      <c r="G37" s="188"/>
      <c r="H37" s="189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184" t="s">
        <v>69</v>
      </c>
      <c r="E38" s="185"/>
      <c r="F38" s="185"/>
      <c r="G38" s="185"/>
      <c r="H38" s="186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/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187" t="s">
        <v>70</v>
      </c>
      <c r="E39" s="188"/>
      <c r="F39" s="188"/>
      <c r="G39" s="188"/>
      <c r="H39" s="189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184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187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184" t="s">
        <v>73</v>
      </c>
      <c r="E42" s="191"/>
      <c r="F42" s="195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187" t="s">
        <v>74</v>
      </c>
      <c r="E43" s="196"/>
      <c r="F43" s="196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184" t="s">
        <v>75</v>
      </c>
      <c r="E44" s="191"/>
      <c r="F44" s="195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187" t="s">
        <v>76</v>
      </c>
      <c r="E45" s="196"/>
      <c r="F45" s="196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184" t="s">
        <v>77</v>
      </c>
      <c r="E46" s="185"/>
      <c r="F46" s="185"/>
      <c r="G46" s="185"/>
      <c r="H46" s="186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187" t="s">
        <v>78</v>
      </c>
      <c r="E47" s="188"/>
      <c r="F47" s="188"/>
      <c r="G47" s="188"/>
      <c r="H47" s="189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184" t="s">
        <v>79</v>
      </c>
      <c r="E48" s="185"/>
      <c r="F48" s="185"/>
      <c r="G48" s="185"/>
      <c r="H48" s="186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/>
      <c r="X48" s="315"/>
      <c r="AA48" s="45"/>
      <c r="AB48" s="56"/>
    </row>
    <row r="49" spans="1:28" s="20" customFormat="1" ht="10" customHeight="1">
      <c r="A49" s="353"/>
      <c r="B49" s="353"/>
      <c r="C49" s="431"/>
      <c r="D49" s="187" t="s">
        <v>80</v>
      </c>
      <c r="E49" s="188"/>
      <c r="F49" s="188"/>
      <c r="G49" s="188"/>
      <c r="H49" s="189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51" priority="7" operator="greaterThan">
      <formula>$AA$28</formula>
    </cfRule>
    <cfRule type="cellIs" dxfId="150" priority="8" operator="lessThan">
      <formula>$AA$29</formula>
    </cfRule>
  </conditionalFormatting>
  <conditionalFormatting sqref="I32:X33">
    <cfRule type="cellIs" dxfId="149" priority="5" operator="greaterThan">
      <formula>$AA$32</formula>
    </cfRule>
    <cfRule type="cellIs" dxfId="148" priority="6" operator="lessThan">
      <formula>$AA$33</formula>
    </cfRule>
  </conditionalFormatting>
  <conditionalFormatting sqref="I30:X31">
    <cfRule type="cellIs" dxfId="147" priority="3" operator="greaterThan">
      <formula>$AA$30</formula>
    </cfRule>
    <cfRule type="cellIs" dxfId="146" priority="4" operator="lessThan">
      <formula>$AA$31</formula>
    </cfRule>
  </conditionalFormatting>
  <conditionalFormatting sqref="I26:X27">
    <cfRule type="cellIs" dxfId="145" priority="1" operator="greaterThan">
      <formula>$AA$26</formula>
    </cfRule>
    <cfRule type="cellIs" dxfId="14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07" t="s">
        <v>2</v>
      </c>
      <c r="E2" s="42"/>
      <c r="F2" s="377" t="s">
        <v>91</v>
      </c>
      <c r="G2" s="377"/>
      <c r="H2" s="377"/>
      <c r="I2" s="377"/>
      <c r="J2" s="377"/>
      <c r="K2" s="435"/>
      <c r="L2" s="207" t="s">
        <v>4</v>
      </c>
      <c r="M2" s="377">
        <v>9</v>
      </c>
      <c r="N2" s="378"/>
      <c r="O2" s="207" t="s">
        <v>6</v>
      </c>
      <c r="P2" s="381" t="s">
        <v>81</v>
      </c>
      <c r="Q2" s="382"/>
      <c r="R2" s="382"/>
      <c r="S2" s="382"/>
      <c r="T2" s="382"/>
      <c r="U2" s="382"/>
      <c r="V2" s="383"/>
      <c r="W2" s="207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208" t="s">
        <v>3</v>
      </c>
      <c r="E3" s="43"/>
      <c r="F3" s="436"/>
      <c r="G3" s="436"/>
      <c r="H3" s="436"/>
      <c r="I3" s="436"/>
      <c r="J3" s="436"/>
      <c r="K3" s="437"/>
      <c r="L3" s="208" t="s">
        <v>5</v>
      </c>
      <c r="M3" s="379"/>
      <c r="N3" s="380"/>
      <c r="O3" s="208" t="s">
        <v>7</v>
      </c>
      <c r="P3" s="384"/>
      <c r="Q3" s="384"/>
      <c r="R3" s="384"/>
      <c r="S3" s="384"/>
      <c r="T3" s="384"/>
      <c r="U3" s="384"/>
      <c r="V3" s="385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386" t="s">
        <v>118</v>
      </c>
      <c r="R4" s="387"/>
      <c r="S4" s="387"/>
      <c r="T4" s="388"/>
      <c r="U4" s="207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08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9</v>
      </c>
      <c r="X24" s="339"/>
      <c r="Z24" s="50"/>
    </row>
    <row r="25" spans="1:28">
      <c r="A25" s="342" t="s">
        <v>15</v>
      </c>
      <c r="B25" s="343"/>
      <c r="C25" s="209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2.1030000000000002</v>
      </c>
      <c r="J26" s="320"/>
      <c r="K26" s="320">
        <v>2.1059999999999999</v>
      </c>
      <c r="L26" s="320"/>
      <c r="M26" s="320">
        <v>2.1080000000000001</v>
      </c>
      <c r="N26" s="320"/>
      <c r="O26" s="320">
        <v>2.1080000000000001</v>
      </c>
      <c r="P26" s="320"/>
      <c r="Q26" s="320">
        <v>2.11</v>
      </c>
      <c r="R26" s="320"/>
      <c r="S26" s="320">
        <v>2.105</v>
      </c>
      <c r="T26" s="320"/>
      <c r="U26" s="320">
        <v>2.1059999999999999</v>
      </c>
      <c r="V26" s="320"/>
      <c r="W26" s="320">
        <v>2.105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2.1019999999999999</v>
      </c>
      <c r="J30" s="320"/>
      <c r="K30" s="320">
        <v>2.1030000000000002</v>
      </c>
      <c r="L30" s="320"/>
      <c r="M30" s="320">
        <v>2.1080000000000001</v>
      </c>
      <c r="N30" s="320"/>
      <c r="O30" s="320">
        <v>2.1070000000000002</v>
      </c>
      <c r="P30" s="320"/>
      <c r="Q30" s="320">
        <v>2.0990000000000002</v>
      </c>
      <c r="R30" s="320"/>
      <c r="S30" s="320">
        <v>2.1</v>
      </c>
      <c r="T30" s="320"/>
      <c r="U30" s="320">
        <v>2.1040000000000001</v>
      </c>
      <c r="V30" s="320"/>
      <c r="W30" s="320">
        <v>2.11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</v>
      </c>
      <c r="J32" s="360"/>
      <c r="K32" s="360">
        <v>11.02</v>
      </c>
      <c r="L32" s="360"/>
      <c r="M32" s="360">
        <v>11.03</v>
      </c>
      <c r="N32" s="360"/>
      <c r="O32" s="360">
        <v>11.03</v>
      </c>
      <c r="P32" s="360"/>
      <c r="Q32" s="360">
        <v>11.02</v>
      </c>
      <c r="R32" s="360"/>
      <c r="S32" s="360">
        <v>11.01</v>
      </c>
      <c r="T32" s="360"/>
      <c r="U32" s="360">
        <v>11</v>
      </c>
      <c r="V32" s="360"/>
      <c r="W32" s="360">
        <v>11.01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201" t="s">
        <v>87</v>
      </c>
      <c r="E34" s="202"/>
      <c r="F34" s="202"/>
      <c r="G34" s="202"/>
      <c r="H34" s="203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204" t="s">
        <v>88</v>
      </c>
      <c r="E35" s="205"/>
      <c r="F35" s="205"/>
      <c r="G35" s="205"/>
      <c r="H35" s="206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204" t="s">
        <v>67</v>
      </c>
      <c r="E37" s="205"/>
      <c r="F37" s="205"/>
      <c r="G37" s="205"/>
      <c r="H37" s="206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201" t="s">
        <v>69</v>
      </c>
      <c r="E38" s="202"/>
      <c r="F38" s="202"/>
      <c r="G38" s="202"/>
      <c r="H38" s="203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204" t="s">
        <v>70</v>
      </c>
      <c r="E39" s="205"/>
      <c r="F39" s="205"/>
      <c r="G39" s="205"/>
      <c r="H39" s="206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201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204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201" t="s">
        <v>73</v>
      </c>
      <c r="E42" s="198"/>
      <c r="F42" s="199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204" t="s">
        <v>74</v>
      </c>
      <c r="E43" s="200"/>
      <c r="F43" s="200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201" t="s">
        <v>75</v>
      </c>
      <c r="E44" s="198"/>
      <c r="F44" s="199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204" t="s">
        <v>76</v>
      </c>
      <c r="E45" s="200"/>
      <c r="F45" s="200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201" t="s">
        <v>77</v>
      </c>
      <c r="E46" s="202"/>
      <c r="F46" s="202"/>
      <c r="G46" s="202"/>
      <c r="H46" s="203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204" t="s">
        <v>78</v>
      </c>
      <c r="E47" s="205"/>
      <c r="F47" s="205"/>
      <c r="G47" s="205"/>
      <c r="H47" s="206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201" t="s">
        <v>79</v>
      </c>
      <c r="E48" s="202"/>
      <c r="F48" s="202"/>
      <c r="G48" s="202"/>
      <c r="H48" s="203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204" t="s">
        <v>80</v>
      </c>
      <c r="E49" s="205"/>
      <c r="F49" s="205"/>
      <c r="G49" s="205"/>
      <c r="H49" s="206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I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I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I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07" t="s">
        <v>2</v>
      </c>
      <c r="E2" s="42"/>
      <c r="F2" s="377" t="s">
        <v>91</v>
      </c>
      <c r="G2" s="377"/>
      <c r="H2" s="377"/>
      <c r="I2" s="377"/>
      <c r="J2" s="377"/>
      <c r="K2" s="435"/>
      <c r="L2" s="207" t="s">
        <v>4</v>
      </c>
      <c r="M2" s="377">
        <v>9</v>
      </c>
      <c r="N2" s="378"/>
      <c r="O2" s="207" t="s">
        <v>6</v>
      </c>
      <c r="P2" s="381" t="s">
        <v>81</v>
      </c>
      <c r="Q2" s="382"/>
      <c r="R2" s="382"/>
      <c r="S2" s="382"/>
      <c r="T2" s="382"/>
      <c r="U2" s="382"/>
      <c r="V2" s="383"/>
      <c r="W2" s="207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208" t="s">
        <v>3</v>
      </c>
      <c r="E3" s="43"/>
      <c r="F3" s="436"/>
      <c r="G3" s="436"/>
      <c r="H3" s="436"/>
      <c r="I3" s="436"/>
      <c r="J3" s="436"/>
      <c r="K3" s="437"/>
      <c r="L3" s="208" t="s">
        <v>5</v>
      </c>
      <c r="M3" s="379"/>
      <c r="N3" s="380"/>
      <c r="O3" s="208" t="s">
        <v>7</v>
      </c>
      <c r="P3" s="384"/>
      <c r="Q3" s="384"/>
      <c r="R3" s="384"/>
      <c r="S3" s="384"/>
      <c r="T3" s="384"/>
      <c r="U3" s="384"/>
      <c r="V3" s="385"/>
      <c r="W3" s="208" t="s">
        <v>8</v>
      </c>
      <c r="X3" s="19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07" t="s">
        <v>9</v>
      </c>
      <c r="P4" s="6"/>
      <c r="Q4" s="386" t="s">
        <v>118</v>
      </c>
      <c r="R4" s="387"/>
      <c r="S4" s="387"/>
      <c r="T4" s="388"/>
      <c r="U4" s="207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08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10</v>
      </c>
      <c r="J24" s="339"/>
      <c r="K24" s="339">
        <v>11</v>
      </c>
      <c r="L24" s="339"/>
      <c r="M24" s="339">
        <v>12</v>
      </c>
      <c r="N24" s="339"/>
      <c r="O24" s="339">
        <v>13</v>
      </c>
      <c r="P24" s="339"/>
      <c r="Q24" s="339">
        <v>14</v>
      </c>
      <c r="R24" s="339"/>
      <c r="S24" s="339">
        <v>15</v>
      </c>
      <c r="T24" s="339"/>
      <c r="U24" s="339">
        <v>16</v>
      </c>
      <c r="V24" s="339"/>
      <c r="W24" s="339"/>
      <c r="X24" s="339"/>
      <c r="Z24" s="50"/>
    </row>
    <row r="25" spans="1:28">
      <c r="A25" s="342" t="s">
        <v>15</v>
      </c>
      <c r="B25" s="343"/>
      <c r="C25" s="209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2.11</v>
      </c>
      <c r="J26" s="320"/>
      <c r="K26" s="320">
        <v>2.105</v>
      </c>
      <c r="L26" s="320"/>
      <c r="M26" s="320">
        <v>2.11</v>
      </c>
      <c r="N26" s="320"/>
      <c r="O26" s="320">
        <v>2.1120000000000001</v>
      </c>
      <c r="P26" s="320"/>
      <c r="Q26" s="320">
        <v>2.1046999999999998</v>
      </c>
      <c r="R26" s="320"/>
      <c r="S26" s="320">
        <v>2.1070000000000002</v>
      </c>
      <c r="T26" s="320"/>
      <c r="U26" s="320">
        <v>2.1070000000000002</v>
      </c>
      <c r="V26" s="320"/>
      <c r="W26" s="320"/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/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2.1120000000000001</v>
      </c>
      <c r="J30" s="320"/>
      <c r="K30" s="320">
        <v>2.1</v>
      </c>
      <c r="L30" s="320"/>
      <c r="M30" s="320">
        <v>2.1030000000000002</v>
      </c>
      <c r="N30" s="320"/>
      <c r="O30" s="320">
        <v>2.1070000000000002</v>
      </c>
      <c r="P30" s="320"/>
      <c r="Q30" s="320">
        <v>2.117</v>
      </c>
      <c r="R30" s="320"/>
      <c r="S30" s="320">
        <v>2.09</v>
      </c>
      <c r="T30" s="320"/>
      <c r="U30" s="320">
        <v>2.1120000000000001</v>
      </c>
      <c r="V30" s="320"/>
      <c r="W30" s="320"/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</v>
      </c>
      <c r="J32" s="360"/>
      <c r="K32" s="360">
        <v>11.02</v>
      </c>
      <c r="L32" s="360"/>
      <c r="M32" s="360">
        <v>11.03</v>
      </c>
      <c r="N32" s="360"/>
      <c r="O32" s="360">
        <v>11.03</v>
      </c>
      <c r="P32" s="360"/>
      <c r="Q32" s="360">
        <v>11.02</v>
      </c>
      <c r="R32" s="360"/>
      <c r="S32" s="360">
        <v>11.02</v>
      </c>
      <c r="T32" s="360"/>
      <c r="U32" s="360">
        <v>11</v>
      </c>
      <c r="V32" s="360"/>
      <c r="W32" s="360"/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201" t="s">
        <v>87</v>
      </c>
      <c r="E34" s="202"/>
      <c r="F34" s="202"/>
      <c r="G34" s="202"/>
      <c r="H34" s="203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/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204" t="s">
        <v>88</v>
      </c>
      <c r="E35" s="205"/>
      <c r="F35" s="205"/>
      <c r="G35" s="205"/>
      <c r="H35" s="206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/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204" t="s">
        <v>67</v>
      </c>
      <c r="E37" s="205"/>
      <c r="F37" s="205"/>
      <c r="G37" s="205"/>
      <c r="H37" s="206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201" t="s">
        <v>69</v>
      </c>
      <c r="E38" s="202"/>
      <c r="F38" s="202"/>
      <c r="G38" s="202"/>
      <c r="H38" s="203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/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204" t="s">
        <v>70</v>
      </c>
      <c r="E39" s="205"/>
      <c r="F39" s="205"/>
      <c r="G39" s="205"/>
      <c r="H39" s="206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201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204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201" t="s">
        <v>73</v>
      </c>
      <c r="E42" s="198"/>
      <c r="F42" s="199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204" t="s">
        <v>74</v>
      </c>
      <c r="E43" s="200"/>
      <c r="F43" s="200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201" t="s">
        <v>75</v>
      </c>
      <c r="E44" s="198"/>
      <c r="F44" s="199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204" t="s">
        <v>76</v>
      </c>
      <c r="E45" s="200"/>
      <c r="F45" s="200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201" t="s">
        <v>77</v>
      </c>
      <c r="E46" s="202"/>
      <c r="F46" s="202"/>
      <c r="G46" s="202"/>
      <c r="H46" s="203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204" t="s">
        <v>78</v>
      </c>
      <c r="E47" s="205"/>
      <c r="F47" s="205"/>
      <c r="G47" s="205"/>
      <c r="H47" s="206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201" t="s">
        <v>79</v>
      </c>
      <c r="E48" s="202"/>
      <c r="F48" s="202"/>
      <c r="G48" s="202"/>
      <c r="H48" s="203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/>
      <c r="X48" s="315"/>
      <c r="AA48" s="45"/>
      <c r="AB48" s="56"/>
    </row>
    <row r="49" spans="1:28" s="20" customFormat="1" ht="10" customHeight="1">
      <c r="A49" s="353"/>
      <c r="B49" s="353"/>
      <c r="C49" s="431"/>
      <c r="D49" s="204" t="s">
        <v>80</v>
      </c>
      <c r="E49" s="205"/>
      <c r="F49" s="205"/>
      <c r="G49" s="205"/>
      <c r="H49" s="206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18" t="s">
        <v>2</v>
      </c>
      <c r="E2" s="42"/>
      <c r="F2" s="377" t="s">
        <v>91</v>
      </c>
      <c r="G2" s="377"/>
      <c r="H2" s="377"/>
      <c r="I2" s="377"/>
      <c r="J2" s="377"/>
      <c r="K2" s="435"/>
      <c r="L2" s="218" t="s">
        <v>4</v>
      </c>
      <c r="M2" s="377">
        <v>9</v>
      </c>
      <c r="N2" s="378"/>
      <c r="O2" s="218" t="s">
        <v>6</v>
      </c>
      <c r="P2" s="381" t="s">
        <v>81</v>
      </c>
      <c r="Q2" s="382"/>
      <c r="R2" s="382"/>
      <c r="S2" s="382"/>
      <c r="T2" s="382"/>
      <c r="U2" s="382"/>
      <c r="V2" s="383"/>
      <c r="W2" s="218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219" t="s">
        <v>3</v>
      </c>
      <c r="E3" s="43"/>
      <c r="F3" s="436"/>
      <c r="G3" s="436"/>
      <c r="H3" s="436"/>
      <c r="I3" s="436"/>
      <c r="J3" s="436"/>
      <c r="K3" s="437"/>
      <c r="L3" s="219" t="s">
        <v>5</v>
      </c>
      <c r="M3" s="379"/>
      <c r="N3" s="380"/>
      <c r="O3" s="219" t="s">
        <v>7</v>
      </c>
      <c r="P3" s="384"/>
      <c r="Q3" s="384"/>
      <c r="R3" s="384"/>
      <c r="S3" s="384"/>
      <c r="T3" s="384"/>
      <c r="U3" s="384"/>
      <c r="V3" s="385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8" t="s">
        <v>9</v>
      </c>
      <c r="P4" s="6"/>
      <c r="Q4" s="386" t="s">
        <v>119</v>
      </c>
      <c r="R4" s="387"/>
      <c r="S4" s="387"/>
      <c r="T4" s="388"/>
      <c r="U4" s="218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19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9</v>
      </c>
      <c r="X24" s="339"/>
      <c r="Z24" s="50"/>
    </row>
    <row r="25" spans="1:28">
      <c r="A25" s="342" t="s">
        <v>15</v>
      </c>
      <c r="B25" s="343"/>
      <c r="C25" s="216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</v>
      </c>
      <c r="J26" s="320"/>
      <c r="K26" s="320">
        <v>2.1019999999999999</v>
      </c>
      <c r="L26" s="320"/>
      <c r="M26" s="320">
        <v>2.105</v>
      </c>
      <c r="N26" s="320"/>
      <c r="O26" s="320">
        <v>2.1019999999999999</v>
      </c>
      <c r="P26" s="320"/>
      <c r="Q26" s="320">
        <v>2.1059999999999999</v>
      </c>
      <c r="R26" s="320"/>
      <c r="S26" s="320">
        <v>2.1030000000000002</v>
      </c>
      <c r="T26" s="320"/>
      <c r="U26" s="320">
        <v>2.1019999999999999</v>
      </c>
      <c r="V26" s="320"/>
      <c r="W26" s="320">
        <v>2.1019999999999999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2.0990000000000002</v>
      </c>
      <c r="J30" s="320"/>
      <c r="K30" s="320">
        <v>2.0960000000000001</v>
      </c>
      <c r="L30" s="320"/>
      <c r="M30" s="320">
        <v>2.0880000000000001</v>
      </c>
      <c r="N30" s="320"/>
      <c r="O30" s="320">
        <v>2.0960000000000001</v>
      </c>
      <c r="P30" s="320"/>
      <c r="Q30" s="320">
        <v>2.0939999999999999</v>
      </c>
      <c r="R30" s="320"/>
      <c r="S30" s="320">
        <v>2.0910000000000002</v>
      </c>
      <c r="T30" s="320"/>
      <c r="U30" s="320">
        <v>2.0990000000000002</v>
      </c>
      <c r="V30" s="320"/>
      <c r="W30" s="320">
        <v>2.093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</v>
      </c>
      <c r="J32" s="360"/>
      <c r="K32" s="360">
        <v>11.02</v>
      </c>
      <c r="L32" s="360"/>
      <c r="M32" s="360">
        <v>11.02</v>
      </c>
      <c r="N32" s="360"/>
      <c r="O32" s="360">
        <v>11.03</v>
      </c>
      <c r="P32" s="360"/>
      <c r="Q32" s="360">
        <v>11.03</v>
      </c>
      <c r="R32" s="360"/>
      <c r="S32" s="360">
        <v>11.03</v>
      </c>
      <c r="T32" s="360"/>
      <c r="U32" s="360">
        <v>11</v>
      </c>
      <c r="V32" s="360"/>
      <c r="W32" s="360">
        <v>11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210" t="s">
        <v>87</v>
      </c>
      <c r="E34" s="211"/>
      <c r="F34" s="211"/>
      <c r="G34" s="211"/>
      <c r="H34" s="212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213" t="s">
        <v>88</v>
      </c>
      <c r="E35" s="214"/>
      <c r="F35" s="214"/>
      <c r="G35" s="214"/>
      <c r="H35" s="2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213" t="s">
        <v>67</v>
      </c>
      <c r="E37" s="214"/>
      <c r="F37" s="214"/>
      <c r="G37" s="214"/>
      <c r="H37" s="21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210" t="s">
        <v>69</v>
      </c>
      <c r="E38" s="211"/>
      <c r="F38" s="211"/>
      <c r="G38" s="211"/>
      <c r="H38" s="212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213" t="s">
        <v>70</v>
      </c>
      <c r="E39" s="214"/>
      <c r="F39" s="214"/>
      <c r="G39" s="214"/>
      <c r="H39" s="2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210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213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210" t="s">
        <v>73</v>
      </c>
      <c r="E42" s="217"/>
      <c r="F42" s="221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213" t="s">
        <v>74</v>
      </c>
      <c r="E43" s="222"/>
      <c r="F43" s="222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210" t="s">
        <v>75</v>
      </c>
      <c r="E44" s="217"/>
      <c r="F44" s="221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213" t="s">
        <v>76</v>
      </c>
      <c r="E45" s="222"/>
      <c r="F45" s="222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210" t="s">
        <v>77</v>
      </c>
      <c r="E46" s="211"/>
      <c r="F46" s="211"/>
      <c r="G46" s="211"/>
      <c r="H46" s="212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213" t="s">
        <v>78</v>
      </c>
      <c r="E47" s="214"/>
      <c r="F47" s="214"/>
      <c r="G47" s="214"/>
      <c r="H47" s="21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210" t="s">
        <v>79</v>
      </c>
      <c r="E48" s="211"/>
      <c r="F48" s="211"/>
      <c r="G48" s="211"/>
      <c r="H48" s="212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213" t="s">
        <v>80</v>
      </c>
      <c r="E49" s="214"/>
      <c r="F49" s="214"/>
      <c r="G49" s="214"/>
      <c r="H49" s="21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27" priority="7" operator="greaterThan">
      <formula>$AA$28</formula>
    </cfRule>
    <cfRule type="cellIs" dxfId="126" priority="8" operator="lessThan">
      <formula>$AA$29</formula>
    </cfRule>
  </conditionalFormatting>
  <conditionalFormatting sqref="I32:X33">
    <cfRule type="cellIs" dxfId="125" priority="5" operator="greaterThan">
      <formula>$AA$32</formula>
    </cfRule>
    <cfRule type="cellIs" dxfId="124" priority="6" operator="lessThan">
      <formula>$AA$33</formula>
    </cfRule>
  </conditionalFormatting>
  <conditionalFormatting sqref="I30:X31">
    <cfRule type="cellIs" dxfId="123" priority="3" operator="greaterThan">
      <formula>$AA$30</formula>
    </cfRule>
    <cfRule type="cellIs" dxfId="122" priority="4" operator="lessThan">
      <formula>$AA$31</formula>
    </cfRule>
  </conditionalFormatting>
  <conditionalFormatting sqref="I26:X27">
    <cfRule type="cellIs" dxfId="121" priority="1" operator="greaterThan">
      <formula>$AA$26</formula>
    </cfRule>
    <cfRule type="cellIs" dxfId="12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18" t="s">
        <v>2</v>
      </c>
      <c r="E2" s="42"/>
      <c r="F2" s="377" t="s">
        <v>91</v>
      </c>
      <c r="G2" s="377"/>
      <c r="H2" s="377"/>
      <c r="I2" s="377"/>
      <c r="J2" s="377"/>
      <c r="K2" s="435"/>
      <c r="L2" s="218" t="s">
        <v>4</v>
      </c>
      <c r="M2" s="377">
        <v>9</v>
      </c>
      <c r="N2" s="378"/>
      <c r="O2" s="218" t="s">
        <v>6</v>
      </c>
      <c r="P2" s="381" t="s">
        <v>81</v>
      </c>
      <c r="Q2" s="382"/>
      <c r="R2" s="382"/>
      <c r="S2" s="382"/>
      <c r="T2" s="382"/>
      <c r="U2" s="382"/>
      <c r="V2" s="383"/>
      <c r="W2" s="218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219" t="s">
        <v>3</v>
      </c>
      <c r="E3" s="43"/>
      <c r="F3" s="436"/>
      <c r="G3" s="436"/>
      <c r="H3" s="436"/>
      <c r="I3" s="436"/>
      <c r="J3" s="436"/>
      <c r="K3" s="437"/>
      <c r="L3" s="219" t="s">
        <v>5</v>
      </c>
      <c r="M3" s="379"/>
      <c r="N3" s="380"/>
      <c r="O3" s="219" t="s">
        <v>7</v>
      </c>
      <c r="P3" s="384"/>
      <c r="Q3" s="384"/>
      <c r="R3" s="384"/>
      <c r="S3" s="384"/>
      <c r="T3" s="384"/>
      <c r="U3" s="384"/>
      <c r="V3" s="385"/>
      <c r="W3" s="219" t="s">
        <v>8</v>
      </c>
      <c r="X3" s="22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18" t="s">
        <v>9</v>
      </c>
      <c r="P4" s="6"/>
      <c r="Q4" s="386" t="s">
        <v>119</v>
      </c>
      <c r="R4" s="387"/>
      <c r="S4" s="387"/>
      <c r="T4" s="388"/>
      <c r="U4" s="218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19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10</v>
      </c>
      <c r="J24" s="339"/>
      <c r="K24" s="339">
        <v>11</v>
      </c>
      <c r="L24" s="339"/>
      <c r="M24" s="339">
        <v>12</v>
      </c>
      <c r="N24" s="339"/>
      <c r="O24" s="339">
        <v>13</v>
      </c>
      <c r="P24" s="339"/>
      <c r="Q24" s="339">
        <v>14</v>
      </c>
      <c r="R24" s="339"/>
      <c r="S24" s="339">
        <v>15</v>
      </c>
      <c r="T24" s="339"/>
      <c r="U24" s="339">
        <v>16</v>
      </c>
      <c r="V24" s="339"/>
      <c r="W24" s="339"/>
      <c r="X24" s="339"/>
      <c r="Z24" s="50"/>
    </row>
    <row r="25" spans="1:28">
      <c r="A25" s="342" t="s">
        <v>15</v>
      </c>
      <c r="B25" s="343"/>
      <c r="C25" s="216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2.1059999999999999</v>
      </c>
      <c r="J26" s="320"/>
      <c r="K26" s="320">
        <v>2.101</v>
      </c>
      <c r="L26" s="320"/>
      <c r="M26" s="320">
        <v>2.1070000000000002</v>
      </c>
      <c r="N26" s="320"/>
      <c r="O26" s="320">
        <v>2.1070000000000002</v>
      </c>
      <c r="P26" s="320"/>
      <c r="Q26" s="320">
        <v>2.105</v>
      </c>
      <c r="R26" s="320"/>
      <c r="S26" s="320">
        <v>2.1030000000000002</v>
      </c>
      <c r="T26" s="320"/>
      <c r="U26" s="320">
        <v>2.1019999999999999</v>
      </c>
      <c r="V26" s="320"/>
      <c r="W26" s="320"/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/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2.0990000000000002</v>
      </c>
      <c r="J30" s="320"/>
      <c r="K30" s="320">
        <v>2.0910000000000002</v>
      </c>
      <c r="L30" s="320"/>
      <c r="M30" s="320">
        <v>2.097</v>
      </c>
      <c r="N30" s="320"/>
      <c r="O30" s="320">
        <v>2.1030000000000002</v>
      </c>
      <c r="P30" s="320"/>
      <c r="Q30" s="320">
        <v>2.1019999999999999</v>
      </c>
      <c r="R30" s="320"/>
      <c r="S30" s="320">
        <v>2.09</v>
      </c>
      <c r="T30" s="320"/>
      <c r="U30" s="320">
        <v>2.0960000000000001</v>
      </c>
      <c r="V30" s="320"/>
      <c r="W30" s="320"/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11.01</v>
      </c>
      <c r="J32" s="360"/>
      <c r="K32" s="360">
        <v>11.01</v>
      </c>
      <c r="L32" s="360"/>
      <c r="M32" s="360">
        <v>11.03</v>
      </c>
      <c r="N32" s="360"/>
      <c r="O32" s="360">
        <v>11.03</v>
      </c>
      <c r="P32" s="360"/>
      <c r="Q32" s="360">
        <v>11.03</v>
      </c>
      <c r="R32" s="360"/>
      <c r="S32" s="360">
        <v>11.01</v>
      </c>
      <c r="T32" s="360"/>
      <c r="U32" s="360">
        <v>11.01</v>
      </c>
      <c r="V32" s="360"/>
      <c r="W32" s="360"/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210" t="s">
        <v>87</v>
      </c>
      <c r="E34" s="211"/>
      <c r="F34" s="211"/>
      <c r="G34" s="211"/>
      <c r="H34" s="212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/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213" t="s">
        <v>88</v>
      </c>
      <c r="E35" s="214"/>
      <c r="F35" s="214"/>
      <c r="G35" s="214"/>
      <c r="H35" s="215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/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213" t="s">
        <v>67</v>
      </c>
      <c r="E37" s="214"/>
      <c r="F37" s="214"/>
      <c r="G37" s="214"/>
      <c r="H37" s="215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210" t="s">
        <v>69</v>
      </c>
      <c r="E38" s="211"/>
      <c r="F38" s="211"/>
      <c r="G38" s="211"/>
      <c r="H38" s="212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/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213" t="s">
        <v>70</v>
      </c>
      <c r="E39" s="214"/>
      <c r="F39" s="214"/>
      <c r="G39" s="214"/>
      <c r="H39" s="215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210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213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210" t="s">
        <v>73</v>
      </c>
      <c r="E42" s="217"/>
      <c r="F42" s="221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213" t="s">
        <v>74</v>
      </c>
      <c r="E43" s="222"/>
      <c r="F43" s="222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210" t="s">
        <v>75</v>
      </c>
      <c r="E44" s="217"/>
      <c r="F44" s="221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213" t="s">
        <v>76</v>
      </c>
      <c r="E45" s="222"/>
      <c r="F45" s="222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210" t="s">
        <v>77</v>
      </c>
      <c r="E46" s="211"/>
      <c r="F46" s="211"/>
      <c r="G46" s="211"/>
      <c r="H46" s="212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213" t="s">
        <v>78</v>
      </c>
      <c r="E47" s="214"/>
      <c r="F47" s="214"/>
      <c r="G47" s="214"/>
      <c r="H47" s="215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210" t="s">
        <v>79</v>
      </c>
      <c r="E48" s="211"/>
      <c r="F48" s="211"/>
      <c r="G48" s="211"/>
      <c r="H48" s="212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/>
      <c r="X48" s="315"/>
      <c r="AA48" s="45"/>
      <c r="AB48" s="56"/>
    </row>
    <row r="49" spans="1:28" s="20" customFormat="1" ht="10" customHeight="1">
      <c r="A49" s="353"/>
      <c r="B49" s="353"/>
      <c r="C49" s="431"/>
      <c r="D49" s="213" t="s">
        <v>80</v>
      </c>
      <c r="E49" s="214"/>
      <c r="F49" s="214"/>
      <c r="G49" s="214"/>
      <c r="H49" s="215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19" priority="7" operator="greaterThan">
      <formula>$AA$28</formula>
    </cfRule>
    <cfRule type="cellIs" dxfId="118" priority="8" operator="lessThan">
      <formula>$AA$29</formula>
    </cfRule>
  </conditionalFormatting>
  <conditionalFormatting sqref="I32:X33">
    <cfRule type="cellIs" dxfId="117" priority="5" operator="greaterThan">
      <formula>$AA$32</formula>
    </cfRule>
    <cfRule type="cellIs" dxfId="116" priority="6" operator="lessThan">
      <formula>$AA$33</formula>
    </cfRule>
  </conditionalFormatting>
  <conditionalFormatting sqref="I30:X31">
    <cfRule type="cellIs" dxfId="115" priority="3" operator="greaterThan">
      <formula>$AA$30</formula>
    </cfRule>
    <cfRule type="cellIs" dxfId="114" priority="4" operator="lessThan">
      <formula>$AA$31</formula>
    </cfRule>
  </conditionalFormatting>
  <conditionalFormatting sqref="I26:X27">
    <cfRule type="cellIs" dxfId="113" priority="1" operator="greaterThan">
      <formula>$AA$26</formula>
    </cfRule>
    <cfRule type="cellIs" dxfId="11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33" t="s">
        <v>2</v>
      </c>
      <c r="E2" s="42"/>
      <c r="F2" s="377" t="s">
        <v>91</v>
      </c>
      <c r="G2" s="377"/>
      <c r="H2" s="377"/>
      <c r="I2" s="377"/>
      <c r="J2" s="377"/>
      <c r="K2" s="435"/>
      <c r="L2" s="233" t="s">
        <v>4</v>
      </c>
      <c r="M2" s="377">
        <v>9</v>
      </c>
      <c r="N2" s="378"/>
      <c r="O2" s="233" t="s">
        <v>6</v>
      </c>
      <c r="P2" s="381" t="s">
        <v>81</v>
      </c>
      <c r="Q2" s="382"/>
      <c r="R2" s="382"/>
      <c r="S2" s="382"/>
      <c r="T2" s="382"/>
      <c r="U2" s="382"/>
      <c r="V2" s="383"/>
      <c r="W2" s="233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234" t="s">
        <v>3</v>
      </c>
      <c r="E3" s="43"/>
      <c r="F3" s="436"/>
      <c r="G3" s="436"/>
      <c r="H3" s="436"/>
      <c r="I3" s="436"/>
      <c r="J3" s="436"/>
      <c r="K3" s="437"/>
      <c r="L3" s="234" t="s">
        <v>5</v>
      </c>
      <c r="M3" s="379"/>
      <c r="N3" s="380"/>
      <c r="O3" s="234" t="s">
        <v>7</v>
      </c>
      <c r="P3" s="384"/>
      <c r="Q3" s="384"/>
      <c r="R3" s="384"/>
      <c r="S3" s="384"/>
      <c r="T3" s="384"/>
      <c r="U3" s="384"/>
      <c r="V3" s="385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3" t="s">
        <v>9</v>
      </c>
      <c r="P4" s="6"/>
      <c r="Q4" s="386" t="s">
        <v>120</v>
      </c>
      <c r="R4" s="387"/>
      <c r="S4" s="387"/>
      <c r="T4" s="388"/>
      <c r="U4" s="233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34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9</v>
      </c>
      <c r="X24" s="339"/>
      <c r="Z24" s="50"/>
    </row>
    <row r="25" spans="1:28">
      <c r="A25" s="342" t="s">
        <v>15</v>
      </c>
      <c r="B25" s="343"/>
      <c r="C25" s="235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2.1080000000000001</v>
      </c>
      <c r="J26" s="320"/>
      <c r="K26" s="320">
        <v>2.11</v>
      </c>
      <c r="L26" s="320"/>
      <c r="M26" s="320">
        <v>2.1120000000000001</v>
      </c>
      <c r="N26" s="320"/>
      <c r="O26" s="320">
        <v>2.11</v>
      </c>
      <c r="P26" s="320"/>
      <c r="Q26" s="320">
        <v>2.113</v>
      </c>
      <c r="R26" s="320"/>
      <c r="S26" s="320">
        <v>2.1040000000000001</v>
      </c>
      <c r="T26" s="320"/>
      <c r="U26" s="320">
        <v>2.1030000000000002</v>
      </c>
      <c r="V26" s="320"/>
      <c r="W26" s="320">
        <v>2.1040000000000001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2.0990000000000002</v>
      </c>
      <c r="J30" s="320"/>
      <c r="K30" s="320">
        <v>2.097</v>
      </c>
      <c r="L30" s="320"/>
      <c r="M30" s="320">
        <v>2.101</v>
      </c>
      <c r="N30" s="320"/>
      <c r="O30" s="320">
        <v>2.105</v>
      </c>
      <c r="P30" s="320"/>
      <c r="Q30" s="320">
        <v>2.093</v>
      </c>
      <c r="R30" s="320"/>
      <c r="S30" s="320">
        <v>2.0960000000000001</v>
      </c>
      <c r="T30" s="320"/>
      <c r="U30" s="320">
        <v>2.101</v>
      </c>
      <c r="V30" s="320"/>
      <c r="W30" s="320">
        <v>2.093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</v>
      </c>
      <c r="J32" s="360"/>
      <c r="K32" s="360">
        <v>11.01</v>
      </c>
      <c r="L32" s="360"/>
      <c r="M32" s="360">
        <v>11.01</v>
      </c>
      <c r="N32" s="360"/>
      <c r="O32" s="360">
        <v>11.03</v>
      </c>
      <c r="P32" s="360"/>
      <c r="Q32" s="360">
        <v>11.04</v>
      </c>
      <c r="R32" s="360"/>
      <c r="S32" s="360">
        <v>11</v>
      </c>
      <c r="T32" s="360"/>
      <c r="U32" s="360">
        <v>11.01</v>
      </c>
      <c r="V32" s="360"/>
      <c r="W32" s="360">
        <v>11.02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227" t="s">
        <v>87</v>
      </c>
      <c r="E34" s="228"/>
      <c r="F34" s="228"/>
      <c r="G34" s="228"/>
      <c r="H34" s="229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230" t="s">
        <v>88</v>
      </c>
      <c r="E35" s="231"/>
      <c r="F35" s="231"/>
      <c r="G35" s="231"/>
      <c r="H35" s="232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230" t="s">
        <v>67</v>
      </c>
      <c r="E37" s="231"/>
      <c r="F37" s="231"/>
      <c r="G37" s="231"/>
      <c r="H37" s="232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227" t="s">
        <v>69</v>
      </c>
      <c r="E38" s="228"/>
      <c r="F38" s="228"/>
      <c r="G38" s="228"/>
      <c r="H38" s="229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230" t="s">
        <v>70</v>
      </c>
      <c r="E39" s="231"/>
      <c r="F39" s="231"/>
      <c r="G39" s="231"/>
      <c r="H39" s="232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227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230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227" t="s">
        <v>73</v>
      </c>
      <c r="E42" s="224"/>
      <c r="F42" s="225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230" t="s">
        <v>74</v>
      </c>
      <c r="E43" s="226"/>
      <c r="F43" s="226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227" t="s">
        <v>75</v>
      </c>
      <c r="E44" s="224"/>
      <c r="F44" s="225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230" t="s">
        <v>76</v>
      </c>
      <c r="E45" s="226"/>
      <c r="F45" s="226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227" t="s">
        <v>77</v>
      </c>
      <c r="E46" s="228"/>
      <c r="F46" s="228"/>
      <c r="G46" s="228"/>
      <c r="H46" s="229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230" t="s">
        <v>78</v>
      </c>
      <c r="E47" s="231"/>
      <c r="F47" s="231"/>
      <c r="G47" s="231"/>
      <c r="H47" s="232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227" t="s">
        <v>79</v>
      </c>
      <c r="E48" s="228"/>
      <c r="F48" s="228"/>
      <c r="G48" s="228"/>
      <c r="H48" s="229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230" t="s">
        <v>80</v>
      </c>
      <c r="E49" s="231"/>
      <c r="F49" s="231"/>
      <c r="G49" s="231"/>
      <c r="H49" s="232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I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I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I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33" t="s">
        <v>2</v>
      </c>
      <c r="E2" s="42"/>
      <c r="F2" s="377" t="s">
        <v>91</v>
      </c>
      <c r="G2" s="377"/>
      <c r="H2" s="377"/>
      <c r="I2" s="377"/>
      <c r="J2" s="377"/>
      <c r="K2" s="435"/>
      <c r="L2" s="233" t="s">
        <v>4</v>
      </c>
      <c r="M2" s="377">
        <v>9</v>
      </c>
      <c r="N2" s="378"/>
      <c r="O2" s="233" t="s">
        <v>6</v>
      </c>
      <c r="P2" s="381" t="s">
        <v>81</v>
      </c>
      <c r="Q2" s="382"/>
      <c r="R2" s="382"/>
      <c r="S2" s="382"/>
      <c r="T2" s="382"/>
      <c r="U2" s="382"/>
      <c r="V2" s="383"/>
      <c r="W2" s="233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234" t="s">
        <v>3</v>
      </c>
      <c r="E3" s="43"/>
      <c r="F3" s="436"/>
      <c r="G3" s="436"/>
      <c r="H3" s="436"/>
      <c r="I3" s="436"/>
      <c r="J3" s="436"/>
      <c r="K3" s="437"/>
      <c r="L3" s="234" t="s">
        <v>5</v>
      </c>
      <c r="M3" s="379"/>
      <c r="N3" s="380"/>
      <c r="O3" s="234" t="s">
        <v>7</v>
      </c>
      <c r="P3" s="384"/>
      <c r="Q3" s="384"/>
      <c r="R3" s="384"/>
      <c r="S3" s="384"/>
      <c r="T3" s="384"/>
      <c r="U3" s="384"/>
      <c r="V3" s="385"/>
      <c r="W3" s="234" t="s">
        <v>8</v>
      </c>
      <c r="X3" s="22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33" t="s">
        <v>9</v>
      </c>
      <c r="P4" s="6"/>
      <c r="Q4" s="386" t="s">
        <v>120</v>
      </c>
      <c r="R4" s="387"/>
      <c r="S4" s="387"/>
      <c r="T4" s="388"/>
      <c r="U4" s="233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34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10</v>
      </c>
      <c r="J24" s="339"/>
      <c r="K24" s="339">
        <v>11</v>
      </c>
      <c r="L24" s="339"/>
      <c r="M24" s="339">
        <v>12</v>
      </c>
      <c r="N24" s="339"/>
      <c r="O24" s="339">
        <v>13</v>
      </c>
      <c r="P24" s="339"/>
      <c r="Q24" s="339">
        <v>14</v>
      </c>
      <c r="R24" s="339"/>
      <c r="S24" s="339">
        <v>15</v>
      </c>
      <c r="T24" s="339"/>
      <c r="U24" s="339">
        <v>16</v>
      </c>
      <c r="V24" s="339"/>
      <c r="W24" s="339"/>
      <c r="X24" s="339"/>
      <c r="Z24" s="50"/>
    </row>
    <row r="25" spans="1:28">
      <c r="A25" s="342" t="s">
        <v>15</v>
      </c>
      <c r="B25" s="343"/>
      <c r="C25" s="235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2.1059999999999999</v>
      </c>
      <c r="J26" s="320"/>
      <c r="K26" s="320">
        <v>2.1040000000000001</v>
      </c>
      <c r="L26" s="320"/>
      <c r="M26" s="320">
        <v>2.113</v>
      </c>
      <c r="N26" s="320"/>
      <c r="O26" s="320">
        <v>2.1110000000000002</v>
      </c>
      <c r="P26" s="320"/>
      <c r="Q26" s="320">
        <v>2.1059999999999999</v>
      </c>
      <c r="R26" s="320"/>
      <c r="S26" s="320">
        <v>2.101</v>
      </c>
      <c r="T26" s="320"/>
      <c r="U26" s="320">
        <v>2.101</v>
      </c>
      <c r="V26" s="320"/>
      <c r="W26" s="320"/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/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2.1040000000000001</v>
      </c>
      <c r="J30" s="320"/>
      <c r="K30" s="320">
        <v>2.0830000000000002</v>
      </c>
      <c r="L30" s="320"/>
      <c r="M30" s="320">
        <v>2.1019999999999999</v>
      </c>
      <c r="N30" s="320"/>
      <c r="O30" s="320">
        <v>2.11</v>
      </c>
      <c r="P30" s="320"/>
      <c r="Q30" s="320">
        <v>2.1070000000000002</v>
      </c>
      <c r="R30" s="320"/>
      <c r="S30" s="320">
        <v>2.0880000000000001</v>
      </c>
      <c r="T30" s="320"/>
      <c r="U30" s="320">
        <v>2.0950000000000002</v>
      </c>
      <c r="V30" s="320"/>
      <c r="W30" s="320"/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11.02</v>
      </c>
      <c r="J32" s="360"/>
      <c r="K32" s="360">
        <v>11.04</v>
      </c>
      <c r="L32" s="360"/>
      <c r="M32" s="360">
        <v>11.02</v>
      </c>
      <c r="N32" s="360"/>
      <c r="O32" s="360">
        <v>11.03</v>
      </c>
      <c r="P32" s="360"/>
      <c r="Q32" s="360">
        <v>11.03</v>
      </c>
      <c r="R32" s="360"/>
      <c r="S32" s="360">
        <v>11.01</v>
      </c>
      <c r="T32" s="360"/>
      <c r="U32" s="360">
        <v>11.01</v>
      </c>
      <c r="V32" s="360"/>
      <c r="W32" s="360"/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227" t="s">
        <v>87</v>
      </c>
      <c r="E34" s="228"/>
      <c r="F34" s="228"/>
      <c r="G34" s="228"/>
      <c r="H34" s="229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/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230" t="s">
        <v>88</v>
      </c>
      <c r="E35" s="231"/>
      <c r="F35" s="231"/>
      <c r="G35" s="231"/>
      <c r="H35" s="232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/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230" t="s">
        <v>67</v>
      </c>
      <c r="E37" s="231"/>
      <c r="F37" s="231"/>
      <c r="G37" s="231"/>
      <c r="H37" s="232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227" t="s">
        <v>69</v>
      </c>
      <c r="E38" s="228"/>
      <c r="F38" s="228"/>
      <c r="G38" s="228"/>
      <c r="H38" s="229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/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230" t="s">
        <v>70</v>
      </c>
      <c r="E39" s="231"/>
      <c r="F39" s="231"/>
      <c r="G39" s="231"/>
      <c r="H39" s="232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227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230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227" t="s">
        <v>73</v>
      </c>
      <c r="E42" s="224"/>
      <c r="F42" s="225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230" t="s">
        <v>74</v>
      </c>
      <c r="E43" s="226"/>
      <c r="F43" s="226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227" t="s">
        <v>75</v>
      </c>
      <c r="E44" s="224"/>
      <c r="F44" s="225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230" t="s">
        <v>76</v>
      </c>
      <c r="E45" s="226"/>
      <c r="F45" s="226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227" t="s">
        <v>77</v>
      </c>
      <c r="E46" s="228"/>
      <c r="F46" s="228"/>
      <c r="G46" s="228"/>
      <c r="H46" s="229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230" t="s">
        <v>78</v>
      </c>
      <c r="E47" s="231"/>
      <c r="F47" s="231"/>
      <c r="G47" s="231"/>
      <c r="H47" s="232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227" t="s">
        <v>79</v>
      </c>
      <c r="E48" s="228"/>
      <c r="F48" s="228"/>
      <c r="G48" s="228"/>
      <c r="H48" s="229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/>
      <c r="X48" s="315"/>
      <c r="AA48" s="45"/>
      <c r="AB48" s="56"/>
    </row>
    <row r="49" spans="1:28" s="20" customFormat="1" ht="10" customHeight="1">
      <c r="A49" s="353"/>
      <c r="B49" s="353"/>
      <c r="C49" s="431"/>
      <c r="D49" s="230" t="s">
        <v>80</v>
      </c>
      <c r="E49" s="231"/>
      <c r="F49" s="231"/>
      <c r="G49" s="231"/>
      <c r="H49" s="232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44" t="s">
        <v>2</v>
      </c>
      <c r="E2" s="42"/>
      <c r="F2" s="377" t="s">
        <v>91</v>
      </c>
      <c r="G2" s="377"/>
      <c r="H2" s="377"/>
      <c r="I2" s="377"/>
      <c r="J2" s="377"/>
      <c r="K2" s="435"/>
      <c r="L2" s="244" t="s">
        <v>4</v>
      </c>
      <c r="M2" s="377">
        <v>9</v>
      </c>
      <c r="N2" s="378"/>
      <c r="O2" s="244" t="s">
        <v>6</v>
      </c>
      <c r="P2" s="381" t="s">
        <v>81</v>
      </c>
      <c r="Q2" s="382"/>
      <c r="R2" s="382"/>
      <c r="S2" s="382"/>
      <c r="T2" s="382"/>
      <c r="U2" s="382"/>
      <c r="V2" s="383"/>
      <c r="W2" s="244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245" t="s">
        <v>3</v>
      </c>
      <c r="E3" s="43"/>
      <c r="F3" s="436"/>
      <c r="G3" s="436"/>
      <c r="H3" s="436"/>
      <c r="I3" s="436"/>
      <c r="J3" s="436"/>
      <c r="K3" s="437"/>
      <c r="L3" s="245" t="s">
        <v>5</v>
      </c>
      <c r="M3" s="379"/>
      <c r="N3" s="380"/>
      <c r="O3" s="245" t="s">
        <v>7</v>
      </c>
      <c r="P3" s="384"/>
      <c r="Q3" s="384"/>
      <c r="R3" s="384"/>
      <c r="S3" s="384"/>
      <c r="T3" s="384"/>
      <c r="U3" s="384"/>
      <c r="V3" s="385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4" t="s">
        <v>9</v>
      </c>
      <c r="P4" s="6"/>
      <c r="Q4" s="386" t="s">
        <v>121</v>
      </c>
      <c r="R4" s="387"/>
      <c r="S4" s="387"/>
      <c r="T4" s="388"/>
      <c r="U4" s="244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45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</v>
      </c>
      <c r="J24" s="339"/>
      <c r="K24" s="339">
        <v>2</v>
      </c>
      <c r="L24" s="339"/>
      <c r="M24" s="339">
        <v>3</v>
      </c>
      <c r="N24" s="339"/>
      <c r="O24" s="339">
        <v>4</v>
      </c>
      <c r="P24" s="339"/>
      <c r="Q24" s="339">
        <v>5</v>
      </c>
      <c r="R24" s="339"/>
      <c r="S24" s="339">
        <v>6</v>
      </c>
      <c r="T24" s="339"/>
      <c r="U24" s="339">
        <v>7</v>
      </c>
      <c r="V24" s="339"/>
      <c r="W24" s="339">
        <v>9</v>
      </c>
      <c r="X24" s="339"/>
      <c r="Z24" s="50"/>
    </row>
    <row r="25" spans="1:28">
      <c r="A25" s="342" t="s">
        <v>15</v>
      </c>
      <c r="B25" s="343"/>
      <c r="C25" s="242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2.0979999999999999</v>
      </c>
      <c r="J26" s="320"/>
      <c r="K26" s="320">
        <v>2.101</v>
      </c>
      <c r="L26" s="320"/>
      <c r="M26" s="320">
        <v>2.1030000000000002</v>
      </c>
      <c r="N26" s="320"/>
      <c r="O26" s="320">
        <v>2.1030000000000002</v>
      </c>
      <c r="P26" s="320"/>
      <c r="Q26" s="320">
        <v>2.1059999999999999</v>
      </c>
      <c r="R26" s="320"/>
      <c r="S26" s="320">
        <v>2.101</v>
      </c>
      <c r="T26" s="320"/>
      <c r="U26" s="320">
        <v>2.1</v>
      </c>
      <c r="V26" s="320"/>
      <c r="W26" s="320">
        <v>2.1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2.0950000000000002</v>
      </c>
      <c r="J30" s="320"/>
      <c r="K30" s="320">
        <v>2.0939999999999999</v>
      </c>
      <c r="L30" s="320"/>
      <c r="M30" s="320">
        <v>2.0859999999999999</v>
      </c>
      <c r="N30" s="320"/>
      <c r="O30" s="320">
        <v>2.0979999999999999</v>
      </c>
      <c r="P30" s="320"/>
      <c r="Q30" s="320">
        <v>2.1</v>
      </c>
      <c r="R30" s="320"/>
      <c r="S30" s="320">
        <v>2.0920000000000001</v>
      </c>
      <c r="T30" s="320"/>
      <c r="U30" s="320">
        <v>2.0960000000000001</v>
      </c>
      <c r="V30" s="320"/>
      <c r="W30" s="320">
        <v>2.0950000000000002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11.01</v>
      </c>
      <c r="J32" s="360"/>
      <c r="K32" s="360">
        <v>11.03</v>
      </c>
      <c r="L32" s="360"/>
      <c r="M32" s="360">
        <v>11.03</v>
      </c>
      <c r="N32" s="360"/>
      <c r="O32" s="360">
        <v>11.03</v>
      </c>
      <c r="P32" s="360"/>
      <c r="Q32" s="360">
        <v>11.04</v>
      </c>
      <c r="R32" s="360"/>
      <c r="S32" s="360">
        <v>11.02</v>
      </c>
      <c r="T32" s="360"/>
      <c r="U32" s="360">
        <v>11</v>
      </c>
      <c r="V32" s="360"/>
      <c r="W32" s="360">
        <v>11.01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236" t="s">
        <v>87</v>
      </c>
      <c r="E34" s="237"/>
      <c r="F34" s="237"/>
      <c r="G34" s="237"/>
      <c r="H34" s="238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239" t="s">
        <v>88</v>
      </c>
      <c r="E35" s="240"/>
      <c r="F35" s="240"/>
      <c r="G35" s="240"/>
      <c r="H35" s="241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239" t="s">
        <v>67</v>
      </c>
      <c r="E37" s="240"/>
      <c r="F37" s="240"/>
      <c r="G37" s="240"/>
      <c r="H37" s="241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236" t="s">
        <v>69</v>
      </c>
      <c r="E38" s="237"/>
      <c r="F38" s="237"/>
      <c r="G38" s="237"/>
      <c r="H38" s="238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239" t="s">
        <v>70</v>
      </c>
      <c r="E39" s="240"/>
      <c r="F39" s="240"/>
      <c r="G39" s="240"/>
      <c r="H39" s="241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236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239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236" t="s">
        <v>73</v>
      </c>
      <c r="E42" s="243"/>
      <c r="F42" s="247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239" t="s">
        <v>74</v>
      </c>
      <c r="E43" s="248"/>
      <c r="F43" s="248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236" t="s">
        <v>75</v>
      </c>
      <c r="E44" s="243"/>
      <c r="F44" s="247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239" t="s">
        <v>76</v>
      </c>
      <c r="E45" s="248"/>
      <c r="F45" s="248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236" t="s">
        <v>77</v>
      </c>
      <c r="E46" s="237"/>
      <c r="F46" s="237"/>
      <c r="G46" s="237"/>
      <c r="H46" s="238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239" t="s">
        <v>78</v>
      </c>
      <c r="E47" s="240"/>
      <c r="F47" s="240"/>
      <c r="G47" s="240"/>
      <c r="H47" s="241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236" t="s">
        <v>79</v>
      </c>
      <c r="E48" s="237"/>
      <c r="F48" s="237"/>
      <c r="G48" s="237"/>
      <c r="H48" s="238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239" t="s">
        <v>80</v>
      </c>
      <c r="E49" s="240"/>
      <c r="F49" s="240"/>
      <c r="G49" s="240"/>
      <c r="H49" s="241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95" priority="7" operator="greaterThan">
      <formula>$AA$28</formula>
    </cfRule>
    <cfRule type="cellIs" dxfId="94" priority="8" operator="lessThan">
      <formula>$AA$29</formula>
    </cfRule>
  </conditionalFormatting>
  <conditionalFormatting sqref="I32:X33">
    <cfRule type="cellIs" dxfId="93" priority="5" operator="greaterThan">
      <formula>$AA$32</formula>
    </cfRule>
    <cfRule type="cellIs" dxfId="92" priority="6" operator="lessThan">
      <formula>$AA$33</formula>
    </cfRule>
  </conditionalFormatting>
  <conditionalFormatting sqref="I30:X31">
    <cfRule type="cellIs" dxfId="91" priority="3" operator="greaterThan">
      <formula>$AA$30</formula>
    </cfRule>
    <cfRule type="cellIs" dxfId="90" priority="4" operator="lessThan">
      <formula>$AA$31</formula>
    </cfRule>
  </conditionalFormatting>
  <conditionalFormatting sqref="I26:X27">
    <cfRule type="cellIs" dxfId="89" priority="1" operator="greaterThan">
      <formula>$AA$26</formula>
    </cfRule>
    <cfRule type="cellIs" dxfId="8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44" t="s">
        <v>2</v>
      </c>
      <c r="E2" s="42"/>
      <c r="F2" s="377" t="s">
        <v>91</v>
      </c>
      <c r="G2" s="377"/>
      <c r="H2" s="377"/>
      <c r="I2" s="377"/>
      <c r="J2" s="377"/>
      <c r="K2" s="435"/>
      <c r="L2" s="244" t="s">
        <v>4</v>
      </c>
      <c r="M2" s="377">
        <v>9</v>
      </c>
      <c r="N2" s="378"/>
      <c r="O2" s="244" t="s">
        <v>6</v>
      </c>
      <c r="P2" s="381" t="s">
        <v>81</v>
      </c>
      <c r="Q2" s="382"/>
      <c r="R2" s="382"/>
      <c r="S2" s="382"/>
      <c r="T2" s="382"/>
      <c r="U2" s="382"/>
      <c r="V2" s="383"/>
      <c r="W2" s="244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245" t="s">
        <v>3</v>
      </c>
      <c r="E3" s="43"/>
      <c r="F3" s="436"/>
      <c r="G3" s="436"/>
      <c r="H3" s="436"/>
      <c r="I3" s="436"/>
      <c r="J3" s="436"/>
      <c r="K3" s="437"/>
      <c r="L3" s="245" t="s">
        <v>5</v>
      </c>
      <c r="M3" s="379"/>
      <c r="N3" s="380"/>
      <c r="O3" s="245" t="s">
        <v>7</v>
      </c>
      <c r="P3" s="384"/>
      <c r="Q3" s="384"/>
      <c r="R3" s="384"/>
      <c r="S3" s="384"/>
      <c r="T3" s="384"/>
      <c r="U3" s="384"/>
      <c r="V3" s="385"/>
      <c r="W3" s="245" t="s">
        <v>8</v>
      </c>
      <c r="X3" s="24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44" t="s">
        <v>9</v>
      </c>
      <c r="P4" s="6"/>
      <c r="Q4" s="386" t="s">
        <v>121</v>
      </c>
      <c r="R4" s="387"/>
      <c r="S4" s="387"/>
      <c r="T4" s="388"/>
      <c r="U4" s="244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45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10</v>
      </c>
      <c r="J24" s="339"/>
      <c r="K24" s="339">
        <v>11</v>
      </c>
      <c r="L24" s="339"/>
      <c r="M24" s="339">
        <v>12</v>
      </c>
      <c r="N24" s="339"/>
      <c r="O24" s="339">
        <v>13</v>
      </c>
      <c r="P24" s="339"/>
      <c r="Q24" s="339">
        <v>14</v>
      </c>
      <c r="R24" s="339"/>
      <c r="S24" s="339">
        <v>15</v>
      </c>
      <c r="T24" s="339"/>
      <c r="U24" s="339">
        <v>16</v>
      </c>
      <c r="V24" s="339"/>
      <c r="W24" s="339"/>
      <c r="X24" s="339"/>
      <c r="Z24" s="50"/>
    </row>
    <row r="25" spans="1:28">
      <c r="A25" s="342" t="s">
        <v>15</v>
      </c>
      <c r="B25" s="343"/>
      <c r="C25" s="242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2.1030000000000002</v>
      </c>
      <c r="J26" s="320"/>
      <c r="K26" s="320">
        <v>2.1</v>
      </c>
      <c r="L26" s="320"/>
      <c r="M26" s="320">
        <v>2.1070000000000002</v>
      </c>
      <c r="N26" s="320"/>
      <c r="O26" s="320">
        <v>2.1059999999999999</v>
      </c>
      <c r="P26" s="320"/>
      <c r="Q26" s="320">
        <v>2.1040000000000001</v>
      </c>
      <c r="R26" s="320"/>
      <c r="S26" s="320">
        <v>2.101</v>
      </c>
      <c r="T26" s="320"/>
      <c r="U26" s="320">
        <v>2.1</v>
      </c>
      <c r="V26" s="320"/>
      <c r="W26" s="320"/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/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</v>
      </c>
      <c r="J30" s="320"/>
      <c r="K30" s="320">
        <v>2.089</v>
      </c>
      <c r="L30" s="320"/>
      <c r="M30" s="320">
        <v>2.0950000000000002</v>
      </c>
      <c r="N30" s="320"/>
      <c r="O30" s="320">
        <v>2.1019999999999999</v>
      </c>
      <c r="P30" s="320"/>
      <c r="Q30" s="320">
        <v>2.1</v>
      </c>
      <c r="R30" s="320"/>
      <c r="S30" s="320">
        <v>2.0880000000000001</v>
      </c>
      <c r="T30" s="320"/>
      <c r="U30" s="320">
        <v>2.101</v>
      </c>
      <c r="V30" s="320"/>
      <c r="W30" s="320"/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11.01</v>
      </c>
      <c r="J32" s="360"/>
      <c r="K32" s="360">
        <v>11.03</v>
      </c>
      <c r="L32" s="360"/>
      <c r="M32" s="360">
        <v>11.03</v>
      </c>
      <c r="N32" s="360"/>
      <c r="O32" s="360">
        <v>11.04</v>
      </c>
      <c r="P32" s="360"/>
      <c r="Q32" s="360">
        <v>11.03</v>
      </c>
      <c r="R32" s="360"/>
      <c r="S32" s="360">
        <v>11.01</v>
      </c>
      <c r="T32" s="360"/>
      <c r="U32" s="360">
        <v>11.02</v>
      </c>
      <c r="V32" s="360"/>
      <c r="W32" s="360"/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236" t="s">
        <v>87</v>
      </c>
      <c r="E34" s="237"/>
      <c r="F34" s="237"/>
      <c r="G34" s="237"/>
      <c r="H34" s="238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/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239" t="s">
        <v>88</v>
      </c>
      <c r="E35" s="240"/>
      <c r="F35" s="240"/>
      <c r="G35" s="240"/>
      <c r="H35" s="241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/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239" t="s">
        <v>67</v>
      </c>
      <c r="E37" s="240"/>
      <c r="F37" s="240"/>
      <c r="G37" s="240"/>
      <c r="H37" s="241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236" t="s">
        <v>69</v>
      </c>
      <c r="E38" s="237"/>
      <c r="F38" s="237"/>
      <c r="G38" s="237"/>
      <c r="H38" s="238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/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239" t="s">
        <v>70</v>
      </c>
      <c r="E39" s="240"/>
      <c r="F39" s="240"/>
      <c r="G39" s="240"/>
      <c r="H39" s="241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236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239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236" t="s">
        <v>73</v>
      </c>
      <c r="E42" s="243"/>
      <c r="F42" s="247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239" t="s">
        <v>74</v>
      </c>
      <c r="E43" s="248"/>
      <c r="F43" s="248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236" t="s">
        <v>75</v>
      </c>
      <c r="E44" s="243"/>
      <c r="F44" s="247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239" t="s">
        <v>76</v>
      </c>
      <c r="E45" s="248"/>
      <c r="F45" s="248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236" t="s">
        <v>77</v>
      </c>
      <c r="E46" s="237"/>
      <c r="F46" s="237"/>
      <c r="G46" s="237"/>
      <c r="H46" s="238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239" t="s">
        <v>78</v>
      </c>
      <c r="E47" s="240"/>
      <c r="F47" s="240"/>
      <c r="G47" s="240"/>
      <c r="H47" s="241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236" t="s">
        <v>79</v>
      </c>
      <c r="E48" s="237"/>
      <c r="F48" s="237"/>
      <c r="G48" s="237"/>
      <c r="H48" s="238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/>
      <c r="X48" s="315"/>
      <c r="AA48" s="45"/>
      <c r="AB48" s="56"/>
    </row>
    <row r="49" spans="1:28" s="20" customFormat="1" ht="10" customHeight="1">
      <c r="A49" s="353"/>
      <c r="B49" s="353"/>
      <c r="C49" s="431"/>
      <c r="D49" s="239" t="s">
        <v>80</v>
      </c>
      <c r="E49" s="240"/>
      <c r="F49" s="240"/>
      <c r="G49" s="240"/>
      <c r="H49" s="241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87" priority="7" operator="greaterThan">
      <formula>$AA$28</formula>
    </cfRule>
    <cfRule type="cellIs" dxfId="86" priority="8" operator="lessThan">
      <formula>$AA$29</formula>
    </cfRule>
  </conditionalFormatting>
  <conditionalFormatting sqref="I32:X33">
    <cfRule type="cellIs" dxfId="85" priority="5" operator="greaterThan">
      <formula>$AA$32</formula>
    </cfRule>
    <cfRule type="cellIs" dxfId="84" priority="6" operator="lessThan">
      <formula>$AA$33</formula>
    </cfRule>
  </conditionalFormatting>
  <conditionalFormatting sqref="I30:X31">
    <cfRule type="cellIs" dxfId="83" priority="3" operator="greaterThan">
      <formula>$AA$30</formula>
    </cfRule>
    <cfRule type="cellIs" dxfId="82" priority="4" operator="lessThan">
      <formula>$AA$31</formula>
    </cfRule>
  </conditionalFormatting>
  <conditionalFormatting sqref="I26:X27">
    <cfRule type="cellIs" dxfId="81" priority="1" operator="greaterThan">
      <formula>$AA$26</formula>
    </cfRule>
    <cfRule type="cellIs" dxfId="8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59" t="s">
        <v>2</v>
      </c>
      <c r="E2" s="42"/>
      <c r="F2" s="377" t="s">
        <v>91</v>
      </c>
      <c r="G2" s="377"/>
      <c r="H2" s="377"/>
      <c r="I2" s="377"/>
      <c r="J2" s="377"/>
      <c r="K2" s="435"/>
      <c r="L2" s="259" t="s">
        <v>4</v>
      </c>
      <c r="M2" s="377">
        <v>9</v>
      </c>
      <c r="N2" s="378"/>
      <c r="O2" s="259" t="s">
        <v>6</v>
      </c>
      <c r="P2" s="381" t="s">
        <v>81</v>
      </c>
      <c r="Q2" s="382"/>
      <c r="R2" s="382"/>
      <c r="S2" s="382"/>
      <c r="T2" s="382"/>
      <c r="U2" s="382"/>
      <c r="V2" s="383"/>
      <c r="W2" s="259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260" t="s">
        <v>3</v>
      </c>
      <c r="E3" s="43"/>
      <c r="F3" s="436"/>
      <c r="G3" s="436"/>
      <c r="H3" s="436"/>
      <c r="I3" s="436"/>
      <c r="J3" s="436"/>
      <c r="K3" s="437"/>
      <c r="L3" s="260" t="s">
        <v>5</v>
      </c>
      <c r="M3" s="379"/>
      <c r="N3" s="380"/>
      <c r="O3" s="260" t="s">
        <v>7</v>
      </c>
      <c r="P3" s="384"/>
      <c r="Q3" s="384"/>
      <c r="R3" s="384"/>
      <c r="S3" s="384"/>
      <c r="T3" s="384"/>
      <c r="U3" s="384"/>
      <c r="V3" s="385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9" t="s">
        <v>9</v>
      </c>
      <c r="P4" s="6"/>
      <c r="Q4" s="386" t="s">
        <v>122</v>
      </c>
      <c r="R4" s="387"/>
      <c r="S4" s="387"/>
      <c r="T4" s="388"/>
      <c r="U4" s="259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60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2</v>
      </c>
      <c r="J24" s="339"/>
      <c r="K24" s="339">
        <v>3</v>
      </c>
      <c r="L24" s="339"/>
      <c r="M24" s="339">
        <v>4</v>
      </c>
      <c r="N24" s="339"/>
      <c r="O24" s="339">
        <v>5</v>
      </c>
      <c r="P24" s="339"/>
      <c r="Q24" s="339">
        <v>6</v>
      </c>
      <c r="R24" s="339"/>
      <c r="S24" s="339">
        <v>7</v>
      </c>
      <c r="T24" s="339"/>
      <c r="U24" s="339">
        <v>9</v>
      </c>
      <c r="V24" s="339"/>
      <c r="W24" s="339">
        <v>10</v>
      </c>
      <c r="X24" s="339"/>
      <c r="Z24" s="50"/>
    </row>
    <row r="25" spans="1:28">
      <c r="A25" s="342" t="s">
        <v>15</v>
      </c>
      <c r="B25" s="343"/>
      <c r="C25" s="261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2.0979999999999999</v>
      </c>
      <c r="J26" s="320"/>
      <c r="K26" s="320">
        <v>2.1019999999999999</v>
      </c>
      <c r="L26" s="320"/>
      <c r="M26" s="320">
        <v>2.1030000000000002</v>
      </c>
      <c r="N26" s="320"/>
      <c r="O26" s="320">
        <v>2.105</v>
      </c>
      <c r="P26" s="320"/>
      <c r="Q26" s="320">
        <v>2.0990000000000002</v>
      </c>
      <c r="R26" s="320"/>
      <c r="S26" s="320">
        <v>2.0990000000000002</v>
      </c>
      <c r="T26" s="320"/>
      <c r="U26" s="320">
        <v>2.0990000000000002</v>
      </c>
      <c r="V26" s="320"/>
      <c r="W26" s="320">
        <v>2.1019999999999999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2.0950000000000002</v>
      </c>
      <c r="J30" s="320"/>
      <c r="K30" s="320">
        <v>2.0880000000000001</v>
      </c>
      <c r="L30" s="320"/>
      <c r="M30" s="320">
        <v>2.089</v>
      </c>
      <c r="N30" s="320"/>
      <c r="O30" s="320">
        <v>2.1</v>
      </c>
      <c r="P30" s="320"/>
      <c r="Q30" s="320">
        <v>2.0910000000000002</v>
      </c>
      <c r="R30" s="320"/>
      <c r="S30" s="320">
        <v>2.0939999999999999</v>
      </c>
      <c r="T30" s="320"/>
      <c r="U30" s="320">
        <v>2.0920000000000001</v>
      </c>
      <c r="V30" s="320"/>
      <c r="W30" s="320">
        <v>2.0990000000000002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11.01</v>
      </c>
      <c r="J32" s="360"/>
      <c r="K32" s="360">
        <v>11.02</v>
      </c>
      <c r="L32" s="360"/>
      <c r="M32" s="360">
        <v>11.03</v>
      </c>
      <c r="N32" s="360"/>
      <c r="O32" s="360">
        <v>11.04</v>
      </c>
      <c r="P32" s="360"/>
      <c r="Q32" s="360">
        <v>11.01</v>
      </c>
      <c r="R32" s="360"/>
      <c r="S32" s="360">
        <v>11</v>
      </c>
      <c r="T32" s="360"/>
      <c r="U32" s="360">
        <v>11.01</v>
      </c>
      <c r="V32" s="360"/>
      <c r="W32" s="360">
        <v>11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253" t="s">
        <v>87</v>
      </c>
      <c r="E34" s="254"/>
      <c r="F34" s="254"/>
      <c r="G34" s="254"/>
      <c r="H34" s="255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256" t="s">
        <v>88</v>
      </c>
      <c r="E35" s="257"/>
      <c r="F35" s="257"/>
      <c r="G35" s="257"/>
      <c r="H35" s="258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256" t="s">
        <v>67</v>
      </c>
      <c r="E37" s="257"/>
      <c r="F37" s="257"/>
      <c r="G37" s="257"/>
      <c r="H37" s="258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253" t="s">
        <v>69</v>
      </c>
      <c r="E38" s="254"/>
      <c r="F38" s="254"/>
      <c r="G38" s="254"/>
      <c r="H38" s="255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256" t="s">
        <v>70</v>
      </c>
      <c r="E39" s="257"/>
      <c r="F39" s="257"/>
      <c r="G39" s="257"/>
      <c r="H39" s="258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253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256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253" t="s">
        <v>73</v>
      </c>
      <c r="E42" s="250"/>
      <c r="F42" s="251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256" t="s">
        <v>74</v>
      </c>
      <c r="E43" s="252"/>
      <c r="F43" s="252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253" t="s">
        <v>75</v>
      </c>
      <c r="E44" s="250"/>
      <c r="F44" s="251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256" t="s">
        <v>76</v>
      </c>
      <c r="E45" s="252"/>
      <c r="F45" s="252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253" t="s">
        <v>77</v>
      </c>
      <c r="E46" s="254"/>
      <c r="F46" s="254"/>
      <c r="G46" s="254"/>
      <c r="H46" s="255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256" t="s">
        <v>78</v>
      </c>
      <c r="E47" s="257"/>
      <c r="F47" s="257"/>
      <c r="G47" s="257"/>
      <c r="H47" s="258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253" t="s">
        <v>79</v>
      </c>
      <c r="E48" s="254"/>
      <c r="F48" s="254"/>
      <c r="G48" s="254"/>
      <c r="H48" s="255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256" t="s">
        <v>80</v>
      </c>
      <c r="E49" s="257"/>
      <c r="F49" s="257"/>
      <c r="G49" s="257"/>
      <c r="H49" s="258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I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I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I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59" t="s">
        <v>2</v>
      </c>
      <c r="E2" s="42"/>
      <c r="F2" s="377" t="s">
        <v>91</v>
      </c>
      <c r="G2" s="377"/>
      <c r="H2" s="377"/>
      <c r="I2" s="377"/>
      <c r="J2" s="377"/>
      <c r="K2" s="435"/>
      <c r="L2" s="259" t="s">
        <v>4</v>
      </c>
      <c r="M2" s="377">
        <v>9</v>
      </c>
      <c r="N2" s="378"/>
      <c r="O2" s="259" t="s">
        <v>6</v>
      </c>
      <c r="P2" s="381" t="s">
        <v>81</v>
      </c>
      <c r="Q2" s="382"/>
      <c r="R2" s="382"/>
      <c r="S2" s="382"/>
      <c r="T2" s="382"/>
      <c r="U2" s="382"/>
      <c r="V2" s="383"/>
      <c r="W2" s="259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260" t="s">
        <v>3</v>
      </c>
      <c r="E3" s="43"/>
      <c r="F3" s="436"/>
      <c r="G3" s="436"/>
      <c r="H3" s="436"/>
      <c r="I3" s="436"/>
      <c r="J3" s="436"/>
      <c r="K3" s="437"/>
      <c r="L3" s="260" t="s">
        <v>5</v>
      </c>
      <c r="M3" s="379"/>
      <c r="N3" s="380"/>
      <c r="O3" s="260" t="s">
        <v>7</v>
      </c>
      <c r="P3" s="384"/>
      <c r="Q3" s="384"/>
      <c r="R3" s="384"/>
      <c r="S3" s="384"/>
      <c r="T3" s="384"/>
      <c r="U3" s="384"/>
      <c r="V3" s="385"/>
      <c r="W3" s="260" t="s">
        <v>8</v>
      </c>
      <c r="X3" s="24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59" t="s">
        <v>9</v>
      </c>
      <c r="P4" s="6"/>
      <c r="Q4" s="386" t="s">
        <v>122</v>
      </c>
      <c r="R4" s="387"/>
      <c r="S4" s="387"/>
      <c r="T4" s="388"/>
      <c r="U4" s="259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60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11</v>
      </c>
      <c r="J24" s="339"/>
      <c r="K24" s="339">
        <v>12</v>
      </c>
      <c r="L24" s="339"/>
      <c r="M24" s="339">
        <v>13</v>
      </c>
      <c r="N24" s="339"/>
      <c r="O24" s="339">
        <v>14</v>
      </c>
      <c r="P24" s="339"/>
      <c r="Q24" s="339">
        <v>15</v>
      </c>
      <c r="R24" s="339"/>
      <c r="S24" s="339">
        <v>16</v>
      </c>
      <c r="T24" s="339"/>
      <c r="U24" s="339"/>
      <c r="V24" s="339"/>
      <c r="W24" s="339"/>
      <c r="X24" s="339"/>
      <c r="Z24" s="50"/>
    </row>
    <row r="25" spans="1:28">
      <c r="A25" s="342" t="s">
        <v>15</v>
      </c>
      <c r="B25" s="343"/>
      <c r="C25" s="261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2.0990000000000002</v>
      </c>
      <c r="J26" s="320"/>
      <c r="K26" s="320">
        <v>2.1070000000000002</v>
      </c>
      <c r="L26" s="320"/>
      <c r="M26" s="320">
        <v>2.1080000000000001</v>
      </c>
      <c r="N26" s="320"/>
      <c r="O26" s="320">
        <v>2.101</v>
      </c>
      <c r="P26" s="320"/>
      <c r="Q26" s="320">
        <v>2.0990000000000002</v>
      </c>
      <c r="R26" s="320"/>
      <c r="S26" s="320">
        <v>2.0990000000000002</v>
      </c>
      <c r="T26" s="320"/>
      <c r="U26" s="320"/>
      <c r="V26" s="320"/>
      <c r="W26" s="320"/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/>
      <c r="V28" s="320"/>
      <c r="W28" s="320"/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2.093</v>
      </c>
      <c r="J30" s="320"/>
      <c r="K30" s="320">
        <v>2.0939999999999999</v>
      </c>
      <c r="L30" s="320"/>
      <c r="M30" s="320">
        <v>2.1040000000000001</v>
      </c>
      <c r="N30" s="320"/>
      <c r="O30" s="320">
        <v>2.1</v>
      </c>
      <c r="P30" s="320"/>
      <c r="Q30" s="320">
        <v>2.0840000000000001</v>
      </c>
      <c r="R30" s="320"/>
      <c r="S30" s="320">
        <v>2.0990000000000002</v>
      </c>
      <c r="T30" s="320"/>
      <c r="U30" s="320"/>
      <c r="V30" s="320"/>
      <c r="W30" s="320"/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11.01</v>
      </c>
      <c r="J32" s="360"/>
      <c r="K32" s="360">
        <v>11.04</v>
      </c>
      <c r="L32" s="360"/>
      <c r="M32" s="360">
        <v>11.04</v>
      </c>
      <c r="N32" s="360"/>
      <c r="O32" s="360">
        <v>11.01</v>
      </c>
      <c r="P32" s="360"/>
      <c r="Q32" s="360">
        <v>11.01</v>
      </c>
      <c r="R32" s="360"/>
      <c r="S32" s="360">
        <v>11</v>
      </c>
      <c r="T32" s="360"/>
      <c r="U32" s="360"/>
      <c r="V32" s="360"/>
      <c r="W32" s="360"/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253" t="s">
        <v>87</v>
      </c>
      <c r="E34" s="254"/>
      <c r="F34" s="254"/>
      <c r="G34" s="254"/>
      <c r="H34" s="255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/>
      <c r="V34" s="315"/>
      <c r="W34" s="315"/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256" t="s">
        <v>88</v>
      </c>
      <c r="E35" s="257"/>
      <c r="F35" s="257"/>
      <c r="G35" s="257"/>
      <c r="H35" s="258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/>
      <c r="V36" s="315"/>
      <c r="W36" s="315"/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256" t="s">
        <v>67</v>
      </c>
      <c r="E37" s="257"/>
      <c r="F37" s="257"/>
      <c r="G37" s="257"/>
      <c r="H37" s="258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253" t="s">
        <v>69</v>
      </c>
      <c r="E38" s="254"/>
      <c r="F38" s="254"/>
      <c r="G38" s="254"/>
      <c r="H38" s="255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/>
      <c r="V38" s="315"/>
      <c r="W38" s="315"/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256" t="s">
        <v>70</v>
      </c>
      <c r="E39" s="257"/>
      <c r="F39" s="257"/>
      <c r="G39" s="257"/>
      <c r="H39" s="258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253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256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253" t="s">
        <v>73</v>
      </c>
      <c r="E42" s="250"/>
      <c r="F42" s="251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256" t="s">
        <v>74</v>
      </c>
      <c r="E43" s="252"/>
      <c r="F43" s="252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253" t="s">
        <v>75</v>
      </c>
      <c r="E44" s="250"/>
      <c r="F44" s="251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256" t="s">
        <v>76</v>
      </c>
      <c r="E45" s="252"/>
      <c r="F45" s="252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253" t="s">
        <v>77</v>
      </c>
      <c r="E46" s="254"/>
      <c r="F46" s="254"/>
      <c r="G46" s="254"/>
      <c r="H46" s="255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256" t="s">
        <v>78</v>
      </c>
      <c r="E47" s="257"/>
      <c r="F47" s="257"/>
      <c r="G47" s="257"/>
      <c r="H47" s="258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253" t="s">
        <v>79</v>
      </c>
      <c r="E48" s="254"/>
      <c r="F48" s="254"/>
      <c r="G48" s="254"/>
      <c r="H48" s="255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/>
      <c r="V48" s="315"/>
      <c r="W48" s="315"/>
      <c r="X48" s="315"/>
      <c r="AA48" s="45"/>
      <c r="AB48" s="56"/>
    </row>
    <row r="49" spans="1:28" s="20" customFormat="1" ht="10" customHeight="1">
      <c r="A49" s="353"/>
      <c r="B49" s="353"/>
      <c r="C49" s="431"/>
      <c r="D49" s="256" t="s">
        <v>80</v>
      </c>
      <c r="E49" s="257"/>
      <c r="F49" s="257"/>
      <c r="G49" s="257"/>
      <c r="H49" s="258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70" t="s">
        <v>2</v>
      </c>
      <c r="E2" s="42"/>
      <c r="F2" s="377" t="s">
        <v>91</v>
      </c>
      <c r="G2" s="377"/>
      <c r="H2" s="377"/>
      <c r="I2" s="377"/>
      <c r="J2" s="377"/>
      <c r="K2" s="435"/>
      <c r="L2" s="270" t="s">
        <v>4</v>
      </c>
      <c r="M2" s="377">
        <v>9</v>
      </c>
      <c r="N2" s="378"/>
      <c r="O2" s="270" t="s">
        <v>6</v>
      </c>
      <c r="P2" s="381" t="s">
        <v>81</v>
      </c>
      <c r="Q2" s="382"/>
      <c r="R2" s="382"/>
      <c r="S2" s="382"/>
      <c r="T2" s="382"/>
      <c r="U2" s="382"/>
      <c r="V2" s="383"/>
      <c r="W2" s="270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271" t="s">
        <v>3</v>
      </c>
      <c r="E3" s="43"/>
      <c r="F3" s="436"/>
      <c r="G3" s="436"/>
      <c r="H3" s="436"/>
      <c r="I3" s="436"/>
      <c r="J3" s="436"/>
      <c r="K3" s="437"/>
      <c r="L3" s="271" t="s">
        <v>5</v>
      </c>
      <c r="M3" s="379"/>
      <c r="N3" s="380"/>
      <c r="O3" s="271" t="s">
        <v>7</v>
      </c>
      <c r="P3" s="384"/>
      <c r="Q3" s="384"/>
      <c r="R3" s="384"/>
      <c r="S3" s="384"/>
      <c r="T3" s="384"/>
      <c r="U3" s="384"/>
      <c r="V3" s="385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0" t="s">
        <v>9</v>
      </c>
      <c r="P4" s="6"/>
      <c r="Q4" s="386" t="s">
        <v>123</v>
      </c>
      <c r="R4" s="387"/>
      <c r="S4" s="387"/>
      <c r="T4" s="388"/>
      <c r="U4" s="270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71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2</v>
      </c>
      <c r="J24" s="339"/>
      <c r="K24" s="339">
        <v>3</v>
      </c>
      <c r="L24" s="339"/>
      <c r="M24" s="339">
        <v>4</v>
      </c>
      <c r="N24" s="339"/>
      <c r="O24" s="339">
        <v>5</v>
      </c>
      <c r="P24" s="339"/>
      <c r="Q24" s="339">
        <v>6</v>
      </c>
      <c r="R24" s="339"/>
      <c r="S24" s="339">
        <v>7</v>
      </c>
      <c r="T24" s="339"/>
      <c r="U24" s="339">
        <v>9</v>
      </c>
      <c r="V24" s="339"/>
      <c r="W24" s="339">
        <v>10</v>
      </c>
      <c r="X24" s="339"/>
      <c r="Z24" s="50"/>
    </row>
    <row r="25" spans="1:28">
      <c r="A25" s="342" t="s">
        <v>15</v>
      </c>
      <c r="B25" s="343"/>
      <c r="C25" s="268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2.0962999999999998</v>
      </c>
      <c r="J26" s="320"/>
      <c r="K26" s="320">
        <v>2.0979999999999999</v>
      </c>
      <c r="L26" s="320"/>
      <c r="M26" s="320">
        <v>2.0962999999999998</v>
      </c>
      <c r="N26" s="320"/>
      <c r="O26" s="320">
        <v>2.1080000000000001</v>
      </c>
      <c r="P26" s="320"/>
      <c r="Q26" s="320">
        <v>2.093</v>
      </c>
      <c r="R26" s="320"/>
      <c r="S26" s="320">
        <v>2.1</v>
      </c>
      <c r="T26" s="320"/>
      <c r="U26" s="320">
        <v>2.0926</v>
      </c>
      <c r="V26" s="320"/>
      <c r="W26" s="320">
        <v>2.0989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2.1025999999999998</v>
      </c>
      <c r="J30" s="320"/>
      <c r="K30" s="320">
        <v>2.1065999999999998</v>
      </c>
      <c r="L30" s="320"/>
      <c r="M30" s="320">
        <v>2.1030000000000002</v>
      </c>
      <c r="N30" s="320"/>
      <c r="O30" s="320">
        <v>2.1059000000000001</v>
      </c>
      <c r="P30" s="320"/>
      <c r="Q30" s="320">
        <v>2.1019999999999999</v>
      </c>
      <c r="R30" s="320"/>
      <c r="S30" s="320">
        <v>2.1019999999999999</v>
      </c>
      <c r="T30" s="320"/>
      <c r="U30" s="320">
        <v>2.1030000000000002</v>
      </c>
      <c r="V30" s="320"/>
      <c r="W30" s="320">
        <v>2.105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</v>
      </c>
      <c r="J32" s="360"/>
      <c r="K32" s="360">
        <v>11.02</v>
      </c>
      <c r="L32" s="360"/>
      <c r="M32" s="360">
        <v>11.03</v>
      </c>
      <c r="N32" s="360"/>
      <c r="O32" s="360">
        <v>11.03</v>
      </c>
      <c r="P32" s="360"/>
      <c r="Q32" s="360">
        <v>11.02</v>
      </c>
      <c r="R32" s="360"/>
      <c r="S32" s="360">
        <v>11</v>
      </c>
      <c r="T32" s="360"/>
      <c r="U32" s="360">
        <v>11.01</v>
      </c>
      <c r="V32" s="360"/>
      <c r="W32" s="360">
        <v>11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262" t="s">
        <v>87</v>
      </c>
      <c r="E34" s="263"/>
      <c r="F34" s="263"/>
      <c r="G34" s="263"/>
      <c r="H34" s="264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265" t="s">
        <v>88</v>
      </c>
      <c r="E35" s="266"/>
      <c r="F35" s="266"/>
      <c r="G35" s="266"/>
      <c r="H35" s="267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265" t="s">
        <v>67</v>
      </c>
      <c r="E37" s="266"/>
      <c r="F37" s="266"/>
      <c r="G37" s="266"/>
      <c r="H37" s="267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262" t="s">
        <v>69</v>
      </c>
      <c r="E38" s="263"/>
      <c r="F38" s="263"/>
      <c r="G38" s="263"/>
      <c r="H38" s="264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265" t="s">
        <v>70</v>
      </c>
      <c r="E39" s="266"/>
      <c r="F39" s="266"/>
      <c r="G39" s="266"/>
      <c r="H39" s="267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262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265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262" t="s">
        <v>73</v>
      </c>
      <c r="E42" s="269"/>
      <c r="F42" s="273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265" t="s">
        <v>74</v>
      </c>
      <c r="E43" s="274"/>
      <c r="F43" s="274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262" t="s">
        <v>75</v>
      </c>
      <c r="E44" s="269"/>
      <c r="F44" s="273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265" t="s">
        <v>76</v>
      </c>
      <c r="E45" s="274"/>
      <c r="F45" s="274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262" t="s">
        <v>77</v>
      </c>
      <c r="E46" s="263"/>
      <c r="F46" s="263"/>
      <c r="G46" s="263"/>
      <c r="H46" s="264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265" t="s">
        <v>78</v>
      </c>
      <c r="E47" s="266"/>
      <c r="F47" s="266"/>
      <c r="G47" s="266"/>
      <c r="H47" s="267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262" t="s">
        <v>79</v>
      </c>
      <c r="E48" s="263"/>
      <c r="F48" s="263"/>
      <c r="G48" s="263"/>
      <c r="H48" s="264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265" t="s">
        <v>80</v>
      </c>
      <c r="E49" s="266"/>
      <c r="F49" s="266"/>
      <c r="G49" s="266"/>
      <c r="H49" s="267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63" priority="7" operator="greaterThan">
      <formula>$AA$28</formula>
    </cfRule>
    <cfRule type="cellIs" dxfId="62" priority="8" operator="lessThan">
      <formula>$AA$29</formula>
    </cfRule>
  </conditionalFormatting>
  <conditionalFormatting sqref="I32:X33">
    <cfRule type="cellIs" dxfId="61" priority="5" operator="greaterThan">
      <formula>$AA$32</formula>
    </cfRule>
    <cfRule type="cellIs" dxfId="60" priority="6" operator="lessThan">
      <formula>$AA$33</formula>
    </cfRule>
  </conditionalFormatting>
  <conditionalFormatting sqref="I30:X31">
    <cfRule type="cellIs" dxfId="59" priority="3" operator="greaterThan">
      <formula>$AA$30</formula>
    </cfRule>
    <cfRule type="cellIs" dxfId="58" priority="4" operator="lessThan">
      <formula>$AA$31</formula>
    </cfRule>
  </conditionalFormatting>
  <conditionalFormatting sqref="I26:X27">
    <cfRule type="cellIs" dxfId="57" priority="1" operator="greaterThan">
      <formula>$AA$26</formula>
    </cfRule>
    <cfRule type="cellIs" dxfId="5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70" t="s">
        <v>2</v>
      </c>
      <c r="E2" s="42"/>
      <c r="F2" s="377" t="s">
        <v>91</v>
      </c>
      <c r="G2" s="377"/>
      <c r="H2" s="377"/>
      <c r="I2" s="377"/>
      <c r="J2" s="377"/>
      <c r="K2" s="435"/>
      <c r="L2" s="270" t="s">
        <v>4</v>
      </c>
      <c r="M2" s="377">
        <v>9</v>
      </c>
      <c r="N2" s="378"/>
      <c r="O2" s="270" t="s">
        <v>6</v>
      </c>
      <c r="P2" s="381" t="s">
        <v>81</v>
      </c>
      <c r="Q2" s="382"/>
      <c r="R2" s="382"/>
      <c r="S2" s="382"/>
      <c r="T2" s="382"/>
      <c r="U2" s="382"/>
      <c r="V2" s="383"/>
      <c r="W2" s="270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271" t="s">
        <v>3</v>
      </c>
      <c r="E3" s="43"/>
      <c r="F3" s="436"/>
      <c r="G3" s="436"/>
      <c r="H3" s="436"/>
      <c r="I3" s="436"/>
      <c r="J3" s="436"/>
      <c r="K3" s="437"/>
      <c r="L3" s="271" t="s">
        <v>5</v>
      </c>
      <c r="M3" s="379"/>
      <c r="N3" s="380"/>
      <c r="O3" s="271" t="s">
        <v>7</v>
      </c>
      <c r="P3" s="384"/>
      <c r="Q3" s="384"/>
      <c r="R3" s="384"/>
      <c r="S3" s="384"/>
      <c r="T3" s="384"/>
      <c r="U3" s="384"/>
      <c r="V3" s="385"/>
      <c r="W3" s="271" t="s">
        <v>8</v>
      </c>
      <c r="X3" s="27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70" t="s">
        <v>9</v>
      </c>
      <c r="P4" s="6"/>
      <c r="Q4" s="386" t="s">
        <v>123</v>
      </c>
      <c r="R4" s="387"/>
      <c r="S4" s="387"/>
      <c r="T4" s="388"/>
      <c r="U4" s="270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71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11</v>
      </c>
      <c r="J24" s="339"/>
      <c r="K24" s="339">
        <v>12</v>
      </c>
      <c r="L24" s="339"/>
      <c r="M24" s="339">
        <v>13</v>
      </c>
      <c r="N24" s="339"/>
      <c r="O24" s="339">
        <v>14</v>
      </c>
      <c r="P24" s="339"/>
      <c r="Q24" s="339">
        <v>15</v>
      </c>
      <c r="R24" s="339"/>
      <c r="S24" s="339">
        <v>16</v>
      </c>
      <c r="T24" s="339"/>
      <c r="U24" s="339"/>
      <c r="V24" s="339"/>
      <c r="W24" s="339"/>
      <c r="X24" s="339"/>
      <c r="Z24" s="50"/>
    </row>
    <row r="25" spans="1:28">
      <c r="A25" s="342" t="s">
        <v>15</v>
      </c>
      <c r="B25" s="343"/>
      <c r="C25" s="268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2.085</v>
      </c>
      <c r="J26" s="320"/>
      <c r="K26" s="320">
        <v>2.0969000000000002</v>
      </c>
      <c r="L26" s="320"/>
      <c r="M26" s="320">
        <v>2.1</v>
      </c>
      <c r="N26" s="320"/>
      <c r="O26" s="320">
        <v>2.0996999999999999</v>
      </c>
      <c r="P26" s="320"/>
      <c r="Q26" s="320">
        <v>2.0880000000000001</v>
      </c>
      <c r="R26" s="320"/>
      <c r="S26" s="320">
        <v>2.1004999999999998</v>
      </c>
      <c r="T26" s="320"/>
      <c r="U26" s="320"/>
      <c r="V26" s="320"/>
      <c r="W26" s="320"/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/>
      <c r="V28" s="320"/>
      <c r="W28" s="320"/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2.1009000000000002</v>
      </c>
      <c r="J30" s="320"/>
      <c r="K30" s="320">
        <v>2.105</v>
      </c>
      <c r="L30" s="320"/>
      <c r="M30" s="320">
        <v>2.1080000000000001</v>
      </c>
      <c r="N30" s="320"/>
      <c r="O30" s="320">
        <v>2.1042999999999998</v>
      </c>
      <c r="P30" s="320"/>
      <c r="Q30" s="320">
        <v>2.1019999999999999</v>
      </c>
      <c r="R30" s="320"/>
      <c r="S30" s="320">
        <v>2.1009000000000002</v>
      </c>
      <c r="T30" s="320"/>
      <c r="U30" s="320"/>
      <c r="V30" s="320"/>
      <c r="W30" s="320"/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11.04</v>
      </c>
      <c r="J32" s="360"/>
      <c r="K32" s="360">
        <v>11.04</v>
      </c>
      <c r="L32" s="360"/>
      <c r="M32" s="360">
        <v>11.03</v>
      </c>
      <c r="N32" s="360"/>
      <c r="O32" s="360">
        <v>11.02</v>
      </c>
      <c r="P32" s="360"/>
      <c r="Q32" s="360">
        <v>11.01</v>
      </c>
      <c r="R32" s="360"/>
      <c r="S32" s="360">
        <v>11.03</v>
      </c>
      <c r="T32" s="360"/>
      <c r="U32" s="360"/>
      <c r="V32" s="360"/>
      <c r="W32" s="360"/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262" t="s">
        <v>87</v>
      </c>
      <c r="E34" s="263"/>
      <c r="F34" s="263"/>
      <c r="G34" s="263"/>
      <c r="H34" s="264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/>
      <c r="V34" s="315"/>
      <c r="W34" s="315"/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265" t="s">
        <v>88</v>
      </c>
      <c r="E35" s="266"/>
      <c r="F35" s="266"/>
      <c r="G35" s="266"/>
      <c r="H35" s="267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/>
      <c r="V36" s="315"/>
      <c r="W36" s="315"/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265" t="s">
        <v>67</v>
      </c>
      <c r="E37" s="266"/>
      <c r="F37" s="266"/>
      <c r="G37" s="266"/>
      <c r="H37" s="267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262" t="s">
        <v>69</v>
      </c>
      <c r="E38" s="263"/>
      <c r="F38" s="263"/>
      <c r="G38" s="263"/>
      <c r="H38" s="264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/>
      <c r="V38" s="315"/>
      <c r="W38" s="315"/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265" t="s">
        <v>70</v>
      </c>
      <c r="E39" s="266"/>
      <c r="F39" s="266"/>
      <c r="G39" s="266"/>
      <c r="H39" s="267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262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265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262" t="s">
        <v>73</v>
      </c>
      <c r="E42" s="269"/>
      <c r="F42" s="273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265" t="s">
        <v>74</v>
      </c>
      <c r="E43" s="274"/>
      <c r="F43" s="274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262" t="s">
        <v>75</v>
      </c>
      <c r="E44" s="269"/>
      <c r="F44" s="273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265" t="s">
        <v>76</v>
      </c>
      <c r="E45" s="274"/>
      <c r="F45" s="274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262" t="s">
        <v>77</v>
      </c>
      <c r="E46" s="263"/>
      <c r="F46" s="263"/>
      <c r="G46" s="263"/>
      <c r="H46" s="264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265" t="s">
        <v>78</v>
      </c>
      <c r="E47" s="266"/>
      <c r="F47" s="266"/>
      <c r="G47" s="266"/>
      <c r="H47" s="267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262" t="s">
        <v>79</v>
      </c>
      <c r="E48" s="263"/>
      <c r="F48" s="263"/>
      <c r="G48" s="263"/>
      <c r="H48" s="264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/>
      <c r="V48" s="315"/>
      <c r="W48" s="315"/>
      <c r="X48" s="315"/>
      <c r="AA48" s="45"/>
      <c r="AB48" s="56"/>
    </row>
    <row r="49" spans="1:28" s="20" customFormat="1" ht="10" customHeight="1">
      <c r="A49" s="353"/>
      <c r="B49" s="353"/>
      <c r="C49" s="431"/>
      <c r="D49" s="265" t="s">
        <v>80</v>
      </c>
      <c r="E49" s="266"/>
      <c r="F49" s="266"/>
      <c r="G49" s="266"/>
      <c r="H49" s="267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55" priority="7" operator="greaterThan">
      <formula>$AA$28</formula>
    </cfRule>
    <cfRule type="cellIs" dxfId="54" priority="8" operator="lessThan">
      <formula>$AA$29</formula>
    </cfRule>
  </conditionalFormatting>
  <conditionalFormatting sqref="I32:X33">
    <cfRule type="cellIs" dxfId="53" priority="5" operator="greaterThan">
      <formula>$AA$32</formula>
    </cfRule>
    <cfRule type="cellIs" dxfId="52" priority="6" operator="lessThan">
      <formula>$AA$33</formula>
    </cfRule>
  </conditionalFormatting>
  <conditionalFormatting sqref="I30:X31">
    <cfRule type="cellIs" dxfId="51" priority="3" operator="greaterThan">
      <formula>$AA$30</formula>
    </cfRule>
    <cfRule type="cellIs" dxfId="50" priority="4" operator="lessThan">
      <formula>$AA$31</formula>
    </cfRule>
  </conditionalFormatting>
  <conditionalFormatting sqref="I26:X27">
    <cfRule type="cellIs" dxfId="49" priority="1" operator="greaterThan">
      <formula>$AA$26</formula>
    </cfRule>
    <cfRule type="cellIs" dxfId="4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83" t="s">
        <v>2</v>
      </c>
      <c r="E2" s="42"/>
      <c r="F2" s="377" t="s">
        <v>91</v>
      </c>
      <c r="G2" s="377"/>
      <c r="H2" s="377"/>
      <c r="I2" s="377"/>
      <c r="J2" s="377"/>
      <c r="K2" s="435"/>
      <c r="L2" s="283" t="s">
        <v>4</v>
      </c>
      <c r="M2" s="377">
        <v>9</v>
      </c>
      <c r="N2" s="378"/>
      <c r="O2" s="283" t="s">
        <v>6</v>
      </c>
      <c r="P2" s="381" t="s">
        <v>81</v>
      </c>
      <c r="Q2" s="382"/>
      <c r="R2" s="382"/>
      <c r="S2" s="382"/>
      <c r="T2" s="382"/>
      <c r="U2" s="382"/>
      <c r="V2" s="383"/>
      <c r="W2" s="283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284" t="s">
        <v>3</v>
      </c>
      <c r="E3" s="43"/>
      <c r="F3" s="436"/>
      <c r="G3" s="436"/>
      <c r="H3" s="436"/>
      <c r="I3" s="436"/>
      <c r="J3" s="436"/>
      <c r="K3" s="437"/>
      <c r="L3" s="284" t="s">
        <v>5</v>
      </c>
      <c r="M3" s="379"/>
      <c r="N3" s="380"/>
      <c r="O3" s="284" t="s">
        <v>7</v>
      </c>
      <c r="P3" s="384"/>
      <c r="Q3" s="384"/>
      <c r="R3" s="384"/>
      <c r="S3" s="384"/>
      <c r="T3" s="384"/>
      <c r="U3" s="384"/>
      <c r="V3" s="385"/>
      <c r="W3" s="284" t="s">
        <v>8</v>
      </c>
      <c r="X3" s="2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3" t="s">
        <v>9</v>
      </c>
      <c r="P4" s="6"/>
      <c r="Q4" s="386" t="s">
        <v>124</v>
      </c>
      <c r="R4" s="387"/>
      <c r="S4" s="387"/>
      <c r="T4" s="388"/>
      <c r="U4" s="283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84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2</v>
      </c>
      <c r="J24" s="339"/>
      <c r="K24" s="339">
        <v>3</v>
      </c>
      <c r="L24" s="339"/>
      <c r="M24" s="339">
        <v>4</v>
      </c>
      <c r="N24" s="339"/>
      <c r="O24" s="339">
        <v>5</v>
      </c>
      <c r="P24" s="339"/>
      <c r="Q24" s="339">
        <v>6</v>
      </c>
      <c r="R24" s="339"/>
      <c r="S24" s="339">
        <v>7</v>
      </c>
      <c r="T24" s="339"/>
      <c r="U24" s="339">
        <v>9</v>
      </c>
      <c r="V24" s="339"/>
      <c r="W24" s="339">
        <v>10</v>
      </c>
      <c r="X24" s="339"/>
      <c r="Z24" s="50"/>
    </row>
    <row r="25" spans="1:28">
      <c r="A25" s="342" t="s">
        <v>15</v>
      </c>
      <c r="B25" s="343"/>
      <c r="C25" s="281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2.1070000000000002</v>
      </c>
      <c r="J26" s="320"/>
      <c r="K26" s="320">
        <v>2.1139999999999999</v>
      </c>
      <c r="L26" s="320"/>
      <c r="M26" s="320">
        <v>2.1160000000000001</v>
      </c>
      <c r="N26" s="320"/>
      <c r="O26" s="320">
        <v>2.109</v>
      </c>
      <c r="P26" s="320"/>
      <c r="Q26" s="320">
        <v>2.1059999999999999</v>
      </c>
      <c r="R26" s="320"/>
      <c r="S26" s="320">
        <v>2.109</v>
      </c>
      <c r="T26" s="320"/>
      <c r="U26" s="320">
        <v>2.1070000000000002</v>
      </c>
      <c r="V26" s="320"/>
      <c r="W26" s="320">
        <v>2.1120000000000001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2.1110000000000002</v>
      </c>
      <c r="J30" s="320"/>
      <c r="K30" s="320">
        <v>2.0979999999999999</v>
      </c>
      <c r="L30" s="320"/>
      <c r="M30" s="320">
        <v>2.1059999999999999</v>
      </c>
      <c r="N30" s="320"/>
      <c r="O30" s="320">
        <v>2.0960000000000001</v>
      </c>
      <c r="P30" s="320"/>
      <c r="Q30" s="320">
        <v>2.1059999999999999</v>
      </c>
      <c r="R30" s="320"/>
      <c r="S30" s="320">
        <v>2.1120000000000001</v>
      </c>
      <c r="T30" s="320"/>
      <c r="U30" s="320">
        <v>2.105</v>
      </c>
      <c r="V30" s="320"/>
      <c r="W30" s="320">
        <v>2.113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</v>
      </c>
      <c r="J32" s="360"/>
      <c r="K32" s="360">
        <v>11.02</v>
      </c>
      <c r="L32" s="360"/>
      <c r="M32" s="360">
        <v>11.03</v>
      </c>
      <c r="N32" s="360"/>
      <c r="O32" s="360">
        <v>11.03</v>
      </c>
      <c r="P32" s="360"/>
      <c r="Q32" s="360">
        <v>11.03</v>
      </c>
      <c r="R32" s="360"/>
      <c r="S32" s="360">
        <v>11.01</v>
      </c>
      <c r="T32" s="360"/>
      <c r="U32" s="360">
        <v>11</v>
      </c>
      <c r="V32" s="360"/>
      <c r="W32" s="360">
        <v>11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275" t="s">
        <v>87</v>
      </c>
      <c r="E34" s="276"/>
      <c r="F34" s="276"/>
      <c r="G34" s="276"/>
      <c r="H34" s="277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278" t="s">
        <v>88</v>
      </c>
      <c r="E35" s="279"/>
      <c r="F35" s="279"/>
      <c r="G35" s="279"/>
      <c r="H35" s="280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278" t="s">
        <v>67</v>
      </c>
      <c r="E37" s="279"/>
      <c r="F37" s="279"/>
      <c r="G37" s="279"/>
      <c r="H37" s="280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275" t="s">
        <v>69</v>
      </c>
      <c r="E38" s="276"/>
      <c r="F38" s="276"/>
      <c r="G38" s="276"/>
      <c r="H38" s="277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278" t="s">
        <v>70</v>
      </c>
      <c r="E39" s="279"/>
      <c r="F39" s="279"/>
      <c r="G39" s="279"/>
      <c r="H39" s="280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275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278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275" t="s">
        <v>73</v>
      </c>
      <c r="E42" s="282"/>
      <c r="F42" s="286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278" t="s">
        <v>74</v>
      </c>
      <c r="E43" s="287"/>
      <c r="F43" s="287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275" t="s">
        <v>75</v>
      </c>
      <c r="E44" s="282"/>
      <c r="F44" s="286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278" t="s">
        <v>76</v>
      </c>
      <c r="E45" s="287"/>
      <c r="F45" s="287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275" t="s">
        <v>77</v>
      </c>
      <c r="E46" s="276"/>
      <c r="F46" s="276"/>
      <c r="G46" s="276"/>
      <c r="H46" s="277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278" t="s">
        <v>78</v>
      </c>
      <c r="E47" s="279"/>
      <c r="F47" s="279"/>
      <c r="G47" s="279"/>
      <c r="H47" s="280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275" t="s">
        <v>79</v>
      </c>
      <c r="E48" s="276"/>
      <c r="F48" s="276"/>
      <c r="G48" s="276"/>
      <c r="H48" s="277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278" t="s">
        <v>80</v>
      </c>
      <c r="E49" s="279"/>
      <c r="F49" s="279"/>
      <c r="G49" s="279"/>
      <c r="H49" s="280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I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I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I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83" t="s">
        <v>2</v>
      </c>
      <c r="E2" s="42"/>
      <c r="F2" s="377" t="s">
        <v>91</v>
      </c>
      <c r="G2" s="377"/>
      <c r="H2" s="377"/>
      <c r="I2" s="377"/>
      <c r="J2" s="377"/>
      <c r="K2" s="435"/>
      <c r="L2" s="283" t="s">
        <v>4</v>
      </c>
      <c r="M2" s="377">
        <v>9</v>
      </c>
      <c r="N2" s="378"/>
      <c r="O2" s="283" t="s">
        <v>6</v>
      </c>
      <c r="P2" s="381" t="s">
        <v>81</v>
      </c>
      <c r="Q2" s="382"/>
      <c r="R2" s="382"/>
      <c r="S2" s="382"/>
      <c r="T2" s="382"/>
      <c r="U2" s="382"/>
      <c r="V2" s="383"/>
      <c r="W2" s="283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284" t="s">
        <v>3</v>
      </c>
      <c r="E3" s="43"/>
      <c r="F3" s="436"/>
      <c r="G3" s="436"/>
      <c r="H3" s="436"/>
      <c r="I3" s="436"/>
      <c r="J3" s="436"/>
      <c r="K3" s="437"/>
      <c r="L3" s="284" t="s">
        <v>5</v>
      </c>
      <c r="M3" s="379"/>
      <c r="N3" s="380"/>
      <c r="O3" s="284" t="s">
        <v>7</v>
      </c>
      <c r="P3" s="384"/>
      <c r="Q3" s="384"/>
      <c r="R3" s="384"/>
      <c r="S3" s="384"/>
      <c r="T3" s="384"/>
      <c r="U3" s="384"/>
      <c r="V3" s="385"/>
      <c r="W3" s="284" t="s">
        <v>8</v>
      </c>
      <c r="X3" s="28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83" t="s">
        <v>9</v>
      </c>
      <c r="P4" s="6"/>
      <c r="Q4" s="386" t="s">
        <v>124</v>
      </c>
      <c r="R4" s="387"/>
      <c r="S4" s="387"/>
      <c r="T4" s="388"/>
      <c r="U4" s="283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84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11</v>
      </c>
      <c r="J24" s="339"/>
      <c r="K24" s="339">
        <v>12</v>
      </c>
      <c r="L24" s="339"/>
      <c r="M24" s="339">
        <v>13</v>
      </c>
      <c r="N24" s="339"/>
      <c r="O24" s="339">
        <v>14</v>
      </c>
      <c r="P24" s="339"/>
      <c r="Q24" s="339">
        <v>15</v>
      </c>
      <c r="R24" s="339"/>
      <c r="S24" s="339">
        <v>16</v>
      </c>
      <c r="T24" s="339"/>
      <c r="U24" s="339"/>
      <c r="V24" s="339"/>
      <c r="W24" s="339"/>
      <c r="X24" s="339"/>
      <c r="Z24" s="50"/>
    </row>
    <row r="25" spans="1:28">
      <c r="A25" s="342" t="s">
        <v>15</v>
      </c>
      <c r="B25" s="343"/>
      <c r="C25" s="281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2.1059999999999999</v>
      </c>
      <c r="J26" s="320"/>
      <c r="K26" s="320">
        <v>2.109</v>
      </c>
      <c r="L26" s="320"/>
      <c r="M26" s="320">
        <v>2.1110000000000002</v>
      </c>
      <c r="N26" s="320"/>
      <c r="O26" s="320">
        <v>2.11</v>
      </c>
      <c r="P26" s="320"/>
      <c r="Q26" s="320">
        <v>2.1080000000000001</v>
      </c>
      <c r="R26" s="320"/>
      <c r="S26" s="320">
        <v>2.1080000000000001</v>
      </c>
      <c r="T26" s="320"/>
      <c r="U26" s="320"/>
      <c r="V26" s="320"/>
      <c r="W26" s="320"/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/>
      <c r="V28" s="320"/>
      <c r="W28" s="320"/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2.0960000000000001</v>
      </c>
      <c r="J30" s="320"/>
      <c r="K30" s="320">
        <v>2.105</v>
      </c>
      <c r="L30" s="320"/>
      <c r="M30" s="320">
        <v>2.11</v>
      </c>
      <c r="N30" s="320"/>
      <c r="O30" s="320">
        <v>2.1070000000000002</v>
      </c>
      <c r="P30" s="320"/>
      <c r="Q30" s="320">
        <v>2.0870000000000002</v>
      </c>
      <c r="R30" s="320"/>
      <c r="S30" s="320">
        <v>2.1030000000000002</v>
      </c>
      <c r="T30" s="320"/>
      <c r="U30" s="320"/>
      <c r="V30" s="320"/>
      <c r="W30" s="320"/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11.03</v>
      </c>
      <c r="J32" s="360"/>
      <c r="K32" s="360">
        <v>11.04</v>
      </c>
      <c r="L32" s="360"/>
      <c r="M32" s="360">
        <v>11.04</v>
      </c>
      <c r="N32" s="360"/>
      <c r="O32" s="360">
        <v>11.03</v>
      </c>
      <c r="P32" s="360"/>
      <c r="Q32" s="360">
        <v>11.02</v>
      </c>
      <c r="R32" s="360"/>
      <c r="S32" s="360">
        <v>11.01</v>
      </c>
      <c r="T32" s="360"/>
      <c r="U32" s="360"/>
      <c r="V32" s="360"/>
      <c r="W32" s="360"/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275" t="s">
        <v>87</v>
      </c>
      <c r="E34" s="276"/>
      <c r="F34" s="276"/>
      <c r="G34" s="276"/>
      <c r="H34" s="277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/>
      <c r="V34" s="315"/>
      <c r="W34" s="315"/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278" t="s">
        <v>88</v>
      </c>
      <c r="E35" s="279"/>
      <c r="F35" s="279"/>
      <c r="G35" s="279"/>
      <c r="H35" s="280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/>
      <c r="V36" s="315"/>
      <c r="W36" s="315"/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278" t="s">
        <v>67</v>
      </c>
      <c r="E37" s="279"/>
      <c r="F37" s="279"/>
      <c r="G37" s="279"/>
      <c r="H37" s="280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275" t="s">
        <v>69</v>
      </c>
      <c r="E38" s="276"/>
      <c r="F38" s="276"/>
      <c r="G38" s="276"/>
      <c r="H38" s="277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/>
      <c r="V38" s="315"/>
      <c r="W38" s="315"/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278" t="s">
        <v>70</v>
      </c>
      <c r="E39" s="279"/>
      <c r="F39" s="279"/>
      <c r="G39" s="279"/>
      <c r="H39" s="280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275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278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275" t="s">
        <v>73</v>
      </c>
      <c r="E42" s="282"/>
      <c r="F42" s="286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278" t="s">
        <v>74</v>
      </c>
      <c r="E43" s="287"/>
      <c r="F43" s="287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275" t="s">
        <v>75</v>
      </c>
      <c r="E44" s="282"/>
      <c r="F44" s="286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278" t="s">
        <v>76</v>
      </c>
      <c r="E45" s="287"/>
      <c r="F45" s="287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275" t="s">
        <v>77</v>
      </c>
      <c r="E46" s="276"/>
      <c r="F46" s="276"/>
      <c r="G46" s="276"/>
      <c r="H46" s="277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278" t="s">
        <v>78</v>
      </c>
      <c r="E47" s="279"/>
      <c r="F47" s="279"/>
      <c r="G47" s="279"/>
      <c r="H47" s="280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275" t="s">
        <v>79</v>
      </c>
      <c r="E48" s="276"/>
      <c r="F48" s="276"/>
      <c r="G48" s="276"/>
      <c r="H48" s="277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/>
      <c r="V48" s="315"/>
      <c r="W48" s="315"/>
      <c r="X48" s="315"/>
      <c r="AA48" s="45"/>
      <c r="AB48" s="56"/>
    </row>
    <row r="49" spans="1:28" s="20" customFormat="1" ht="10" customHeight="1">
      <c r="A49" s="353"/>
      <c r="B49" s="353"/>
      <c r="C49" s="431"/>
      <c r="D49" s="278" t="s">
        <v>80</v>
      </c>
      <c r="E49" s="279"/>
      <c r="F49" s="279"/>
      <c r="G49" s="279"/>
      <c r="H49" s="280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98" t="s">
        <v>2</v>
      </c>
      <c r="E2" s="42"/>
      <c r="F2" s="377" t="s">
        <v>91</v>
      </c>
      <c r="G2" s="377"/>
      <c r="H2" s="377"/>
      <c r="I2" s="377"/>
      <c r="J2" s="377"/>
      <c r="K2" s="435"/>
      <c r="L2" s="298" t="s">
        <v>4</v>
      </c>
      <c r="M2" s="377">
        <v>9</v>
      </c>
      <c r="N2" s="378"/>
      <c r="O2" s="298" t="s">
        <v>6</v>
      </c>
      <c r="P2" s="381" t="s">
        <v>81</v>
      </c>
      <c r="Q2" s="382"/>
      <c r="R2" s="382"/>
      <c r="S2" s="382"/>
      <c r="T2" s="382"/>
      <c r="U2" s="382"/>
      <c r="V2" s="383"/>
      <c r="W2" s="298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299" t="s">
        <v>3</v>
      </c>
      <c r="E3" s="43"/>
      <c r="F3" s="436"/>
      <c r="G3" s="436"/>
      <c r="H3" s="436"/>
      <c r="I3" s="436"/>
      <c r="J3" s="436"/>
      <c r="K3" s="437"/>
      <c r="L3" s="299" t="s">
        <v>5</v>
      </c>
      <c r="M3" s="379"/>
      <c r="N3" s="380"/>
      <c r="O3" s="299" t="s">
        <v>7</v>
      </c>
      <c r="P3" s="384"/>
      <c r="Q3" s="384"/>
      <c r="R3" s="384"/>
      <c r="S3" s="384"/>
      <c r="T3" s="384"/>
      <c r="U3" s="384"/>
      <c r="V3" s="385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386" t="s">
        <v>125</v>
      </c>
      <c r="R4" s="387"/>
      <c r="S4" s="387"/>
      <c r="T4" s="388"/>
      <c r="U4" s="298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99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2</v>
      </c>
      <c r="J24" s="339"/>
      <c r="K24" s="339">
        <v>3</v>
      </c>
      <c r="L24" s="339"/>
      <c r="M24" s="339">
        <v>4</v>
      </c>
      <c r="N24" s="339"/>
      <c r="O24" s="339">
        <v>5</v>
      </c>
      <c r="P24" s="339"/>
      <c r="Q24" s="339">
        <v>6</v>
      </c>
      <c r="R24" s="339"/>
      <c r="S24" s="339">
        <v>7</v>
      </c>
      <c r="T24" s="339"/>
      <c r="U24" s="339">
        <v>9</v>
      </c>
      <c r="V24" s="339"/>
      <c r="W24" s="339">
        <v>10</v>
      </c>
      <c r="X24" s="339"/>
      <c r="Z24" s="50"/>
    </row>
    <row r="25" spans="1:28">
      <c r="A25" s="342" t="s">
        <v>15</v>
      </c>
      <c r="B25" s="343"/>
      <c r="C25" s="300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2.0960000000000001</v>
      </c>
      <c r="J26" s="320"/>
      <c r="K26" s="320">
        <v>2.101</v>
      </c>
      <c r="L26" s="320"/>
      <c r="M26" s="320">
        <v>2.0979999999999999</v>
      </c>
      <c r="N26" s="320"/>
      <c r="O26" s="320">
        <v>2.1030000000000002</v>
      </c>
      <c r="P26" s="320"/>
      <c r="Q26" s="320">
        <v>2.0979999999999999</v>
      </c>
      <c r="R26" s="320"/>
      <c r="S26" s="320">
        <v>2.0960000000000001</v>
      </c>
      <c r="T26" s="320"/>
      <c r="U26" s="320">
        <v>2.0950000000000002</v>
      </c>
      <c r="V26" s="320"/>
      <c r="W26" s="320">
        <v>2.1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2.093</v>
      </c>
      <c r="J30" s="320"/>
      <c r="K30" s="320">
        <v>2.0779999999999998</v>
      </c>
      <c r="L30" s="320"/>
      <c r="M30" s="320">
        <v>2.0960000000000001</v>
      </c>
      <c r="N30" s="320"/>
      <c r="O30" s="320">
        <v>2.085</v>
      </c>
      <c r="P30" s="320"/>
      <c r="Q30" s="320">
        <v>2.0920000000000001</v>
      </c>
      <c r="R30" s="320"/>
      <c r="S30" s="320">
        <v>2.0960000000000001</v>
      </c>
      <c r="T30" s="320"/>
      <c r="U30" s="320">
        <v>2.0859999999999999</v>
      </c>
      <c r="V30" s="320"/>
      <c r="W30" s="320">
        <v>2.0990000000000002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</v>
      </c>
      <c r="J32" s="360"/>
      <c r="K32" s="360">
        <v>11.02</v>
      </c>
      <c r="L32" s="360"/>
      <c r="M32" s="360">
        <v>11.02</v>
      </c>
      <c r="N32" s="360"/>
      <c r="O32" s="360">
        <v>11.03</v>
      </c>
      <c r="P32" s="360"/>
      <c r="Q32" s="360">
        <v>11.02</v>
      </c>
      <c r="R32" s="360"/>
      <c r="S32" s="360">
        <v>11</v>
      </c>
      <c r="T32" s="360"/>
      <c r="U32" s="360">
        <v>11.02</v>
      </c>
      <c r="V32" s="360"/>
      <c r="W32" s="360">
        <v>11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292" t="s">
        <v>87</v>
      </c>
      <c r="E34" s="293"/>
      <c r="F34" s="293"/>
      <c r="G34" s="293"/>
      <c r="H34" s="294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295" t="s">
        <v>88</v>
      </c>
      <c r="E35" s="296"/>
      <c r="F35" s="296"/>
      <c r="G35" s="296"/>
      <c r="H35" s="297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295" t="s">
        <v>67</v>
      </c>
      <c r="E37" s="296"/>
      <c r="F37" s="296"/>
      <c r="G37" s="296"/>
      <c r="H37" s="297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292" t="s">
        <v>69</v>
      </c>
      <c r="E38" s="293"/>
      <c r="F38" s="293"/>
      <c r="G38" s="293"/>
      <c r="H38" s="294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295" t="s">
        <v>70</v>
      </c>
      <c r="E39" s="296"/>
      <c r="F39" s="296"/>
      <c r="G39" s="296"/>
      <c r="H39" s="297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292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295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292" t="s">
        <v>73</v>
      </c>
      <c r="E42" s="289"/>
      <c r="F42" s="290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295" t="s">
        <v>74</v>
      </c>
      <c r="E43" s="291"/>
      <c r="F43" s="291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292" t="s">
        <v>75</v>
      </c>
      <c r="E44" s="289"/>
      <c r="F44" s="290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295" t="s">
        <v>76</v>
      </c>
      <c r="E45" s="291"/>
      <c r="F45" s="291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292" t="s">
        <v>77</v>
      </c>
      <c r="E46" s="293"/>
      <c r="F46" s="293"/>
      <c r="G46" s="293"/>
      <c r="H46" s="294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295" t="s">
        <v>78</v>
      </c>
      <c r="E47" s="296"/>
      <c r="F47" s="296"/>
      <c r="G47" s="296"/>
      <c r="H47" s="297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292" t="s">
        <v>79</v>
      </c>
      <c r="E48" s="293"/>
      <c r="F48" s="293"/>
      <c r="G48" s="293"/>
      <c r="H48" s="294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295" t="s">
        <v>80</v>
      </c>
      <c r="E49" s="296"/>
      <c r="F49" s="296"/>
      <c r="G49" s="296"/>
      <c r="H49" s="297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31" priority="7" operator="greaterThan">
      <formula>$AA$28</formula>
    </cfRule>
    <cfRule type="cellIs" dxfId="30" priority="8" operator="lessThan">
      <formula>$AA$29</formula>
    </cfRule>
  </conditionalFormatting>
  <conditionalFormatting sqref="I32:X33">
    <cfRule type="cellIs" dxfId="29" priority="5" operator="greaterThan">
      <formula>$AA$32</formula>
    </cfRule>
    <cfRule type="cellIs" dxfId="28" priority="6" operator="lessThan">
      <formula>$AA$33</formula>
    </cfRule>
  </conditionalFormatting>
  <conditionalFormatting sqref="I30:X31">
    <cfRule type="cellIs" dxfId="27" priority="3" operator="greaterThan">
      <formula>$AA$30</formula>
    </cfRule>
    <cfRule type="cellIs" dxfId="26" priority="4" operator="lessThan">
      <formula>$AA$31</formula>
    </cfRule>
  </conditionalFormatting>
  <conditionalFormatting sqref="I26:X27">
    <cfRule type="cellIs" dxfId="25" priority="1" operator="greaterThan">
      <formula>$AA$26</formula>
    </cfRule>
    <cfRule type="cellIs" dxfId="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98" t="s">
        <v>2</v>
      </c>
      <c r="E2" s="42"/>
      <c r="F2" s="377" t="s">
        <v>91</v>
      </c>
      <c r="G2" s="377"/>
      <c r="H2" s="377"/>
      <c r="I2" s="377"/>
      <c r="J2" s="377"/>
      <c r="K2" s="435"/>
      <c r="L2" s="298" t="s">
        <v>4</v>
      </c>
      <c r="M2" s="377">
        <v>9</v>
      </c>
      <c r="N2" s="378"/>
      <c r="O2" s="298" t="s">
        <v>6</v>
      </c>
      <c r="P2" s="381" t="s">
        <v>81</v>
      </c>
      <c r="Q2" s="382"/>
      <c r="R2" s="382"/>
      <c r="S2" s="382"/>
      <c r="T2" s="382"/>
      <c r="U2" s="382"/>
      <c r="V2" s="383"/>
      <c r="W2" s="298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299" t="s">
        <v>3</v>
      </c>
      <c r="E3" s="43"/>
      <c r="F3" s="436"/>
      <c r="G3" s="436"/>
      <c r="H3" s="436"/>
      <c r="I3" s="436"/>
      <c r="J3" s="436"/>
      <c r="K3" s="437"/>
      <c r="L3" s="299" t="s">
        <v>5</v>
      </c>
      <c r="M3" s="379"/>
      <c r="N3" s="380"/>
      <c r="O3" s="299" t="s">
        <v>7</v>
      </c>
      <c r="P3" s="384"/>
      <c r="Q3" s="384"/>
      <c r="R3" s="384"/>
      <c r="S3" s="384"/>
      <c r="T3" s="384"/>
      <c r="U3" s="384"/>
      <c r="V3" s="385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386" t="s">
        <v>126</v>
      </c>
      <c r="R4" s="387"/>
      <c r="S4" s="387"/>
      <c r="T4" s="388"/>
      <c r="U4" s="298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99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11</v>
      </c>
      <c r="J24" s="339"/>
      <c r="K24" s="339">
        <v>12</v>
      </c>
      <c r="L24" s="339"/>
      <c r="M24" s="339">
        <v>13</v>
      </c>
      <c r="N24" s="339"/>
      <c r="O24" s="339">
        <v>14</v>
      </c>
      <c r="P24" s="339"/>
      <c r="Q24" s="339">
        <v>15</v>
      </c>
      <c r="R24" s="339"/>
      <c r="S24" s="339">
        <v>16</v>
      </c>
      <c r="T24" s="339"/>
      <c r="U24" s="339"/>
      <c r="V24" s="339"/>
      <c r="W24" s="339"/>
      <c r="X24" s="339"/>
      <c r="Z24" s="50"/>
    </row>
    <row r="25" spans="1:28">
      <c r="A25" s="342" t="s">
        <v>15</v>
      </c>
      <c r="B25" s="343"/>
      <c r="C25" s="300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2.097</v>
      </c>
      <c r="J26" s="320"/>
      <c r="K26" s="320">
        <v>2.101</v>
      </c>
      <c r="L26" s="320"/>
      <c r="M26" s="320">
        <v>2.1040000000000001</v>
      </c>
      <c r="N26" s="320"/>
      <c r="O26" s="320">
        <v>2.0990000000000002</v>
      </c>
      <c r="P26" s="320"/>
      <c r="Q26" s="320">
        <v>2.097</v>
      </c>
      <c r="R26" s="320"/>
      <c r="S26" s="320">
        <v>2.0960000000000001</v>
      </c>
      <c r="T26" s="320"/>
      <c r="U26" s="320"/>
      <c r="V26" s="320"/>
      <c r="W26" s="320"/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/>
      <c r="V28" s="320"/>
      <c r="W28" s="320"/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2.0720000000000001</v>
      </c>
      <c r="J30" s="320"/>
      <c r="K30" s="320">
        <v>2.0960000000000001</v>
      </c>
      <c r="L30" s="320"/>
      <c r="M30" s="320">
        <v>2.1040000000000001</v>
      </c>
      <c r="N30" s="320"/>
      <c r="O30" s="320">
        <v>2.1040000000000001</v>
      </c>
      <c r="P30" s="320"/>
      <c r="Q30" s="320">
        <v>2.0859999999999999</v>
      </c>
      <c r="R30" s="320"/>
      <c r="S30" s="320">
        <v>2.1019999999999999</v>
      </c>
      <c r="T30" s="320"/>
      <c r="U30" s="320"/>
      <c r="V30" s="320"/>
      <c r="W30" s="320"/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11.03</v>
      </c>
      <c r="J32" s="360"/>
      <c r="K32" s="360">
        <v>11.03</v>
      </c>
      <c r="L32" s="360"/>
      <c r="M32" s="360">
        <v>11.03</v>
      </c>
      <c r="N32" s="360"/>
      <c r="O32" s="360">
        <v>11.02</v>
      </c>
      <c r="P32" s="360"/>
      <c r="Q32" s="360">
        <v>11</v>
      </c>
      <c r="R32" s="360"/>
      <c r="S32" s="360">
        <v>11.02</v>
      </c>
      <c r="T32" s="360"/>
      <c r="U32" s="360"/>
      <c r="V32" s="360"/>
      <c r="W32" s="360"/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292" t="s">
        <v>87</v>
      </c>
      <c r="E34" s="293"/>
      <c r="F34" s="293"/>
      <c r="G34" s="293"/>
      <c r="H34" s="294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/>
      <c r="V34" s="315"/>
      <c r="W34" s="315"/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295" t="s">
        <v>88</v>
      </c>
      <c r="E35" s="296"/>
      <c r="F35" s="296"/>
      <c r="G35" s="296"/>
      <c r="H35" s="297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/>
      <c r="V36" s="315"/>
      <c r="W36" s="315"/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295" t="s">
        <v>67</v>
      </c>
      <c r="E37" s="296"/>
      <c r="F37" s="296"/>
      <c r="G37" s="296"/>
      <c r="H37" s="297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292" t="s">
        <v>69</v>
      </c>
      <c r="E38" s="293"/>
      <c r="F38" s="293"/>
      <c r="G38" s="293"/>
      <c r="H38" s="294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/>
      <c r="V38" s="315"/>
      <c r="W38" s="315"/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295" t="s">
        <v>70</v>
      </c>
      <c r="E39" s="296"/>
      <c r="F39" s="296"/>
      <c r="G39" s="296"/>
      <c r="H39" s="297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292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295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292" t="s">
        <v>73</v>
      </c>
      <c r="E42" s="289"/>
      <c r="F42" s="290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295" t="s">
        <v>74</v>
      </c>
      <c r="E43" s="291"/>
      <c r="F43" s="291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292" t="s">
        <v>75</v>
      </c>
      <c r="E44" s="289"/>
      <c r="F44" s="290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295" t="s">
        <v>76</v>
      </c>
      <c r="E45" s="291"/>
      <c r="F45" s="291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292" t="s">
        <v>77</v>
      </c>
      <c r="E46" s="293"/>
      <c r="F46" s="293"/>
      <c r="G46" s="293"/>
      <c r="H46" s="294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295" t="s">
        <v>78</v>
      </c>
      <c r="E47" s="296"/>
      <c r="F47" s="296"/>
      <c r="G47" s="296"/>
      <c r="H47" s="297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292" t="s">
        <v>79</v>
      </c>
      <c r="E48" s="293"/>
      <c r="F48" s="293"/>
      <c r="G48" s="293"/>
      <c r="H48" s="294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/>
      <c r="V48" s="315"/>
      <c r="W48" s="315"/>
      <c r="X48" s="315"/>
      <c r="AA48" s="45"/>
      <c r="AB48" s="56"/>
    </row>
    <row r="49" spans="1:28" s="20" customFormat="1" ht="10" customHeight="1">
      <c r="A49" s="353"/>
      <c r="B49" s="353"/>
      <c r="C49" s="431"/>
      <c r="D49" s="295" t="s">
        <v>80</v>
      </c>
      <c r="E49" s="296"/>
      <c r="F49" s="296"/>
      <c r="G49" s="296"/>
      <c r="H49" s="297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" priority="7" operator="greaterThan">
      <formula>$AA$28</formula>
    </cfRule>
    <cfRule type="cellIs" dxfId="22" priority="8" operator="lessThan">
      <formula>$AA$29</formula>
    </cfRule>
  </conditionalFormatting>
  <conditionalFormatting sqref="I32:X33">
    <cfRule type="cellIs" dxfId="21" priority="5" operator="greaterThan">
      <formula>$AA$32</formula>
    </cfRule>
    <cfRule type="cellIs" dxfId="20" priority="6" operator="lessThan">
      <formula>$AA$33</formula>
    </cfRule>
  </conditionalFormatting>
  <conditionalFormatting sqref="I30:X31">
    <cfRule type="cellIs" dxfId="19" priority="3" operator="greaterThan">
      <formula>$AA$30</formula>
    </cfRule>
    <cfRule type="cellIs" dxfId="18" priority="4" operator="lessThan">
      <formula>$AA$31</formula>
    </cfRule>
  </conditionalFormatting>
  <conditionalFormatting sqref="I26:X27">
    <cfRule type="cellIs" dxfId="17" priority="1" operator="greaterThan">
      <formula>$AA$26</formula>
    </cfRule>
    <cfRule type="cellIs" dxfId="1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98" t="s">
        <v>2</v>
      </c>
      <c r="E2" s="42"/>
      <c r="F2" s="377" t="s">
        <v>91</v>
      </c>
      <c r="G2" s="377"/>
      <c r="H2" s="377"/>
      <c r="I2" s="377"/>
      <c r="J2" s="377"/>
      <c r="K2" s="435"/>
      <c r="L2" s="298" t="s">
        <v>4</v>
      </c>
      <c r="M2" s="377">
        <v>9</v>
      </c>
      <c r="N2" s="378"/>
      <c r="O2" s="298" t="s">
        <v>6</v>
      </c>
      <c r="P2" s="381" t="s">
        <v>81</v>
      </c>
      <c r="Q2" s="382"/>
      <c r="R2" s="382"/>
      <c r="S2" s="382"/>
      <c r="T2" s="382"/>
      <c r="U2" s="382"/>
      <c r="V2" s="383"/>
      <c r="W2" s="298" t="s">
        <v>34</v>
      </c>
      <c r="X2" s="32">
        <v>1</v>
      </c>
      <c r="Z2" s="34" t="s">
        <v>93</v>
      </c>
    </row>
    <row r="3" spans="1:26" ht="10" customHeight="1">
      <c r="A3" s="375" t="s">
        <v>1</v>
      </c>
      <c r="B3" s="376"/>
      <c r="C3" s="310"/>
      <c r="D3" s="299" t="s">
        <v>3</v>
      </c>
      <c r="E3" s="43"/>
      <c r="F3" s="436"/>
      <c r="G3" s="436"/>
      <c r="H3" s="436"/>
      <c r="I3" s="436"/>
      <c r="J3" s="436"/>
      <c r="K3" s="437"/>
      <c r="L3" s="299" t="s">
        <v>5</v>
      </c>
      <c r="M3" s="379"/>
      <c r="N3" s="380"/>
      <c r="O3" s="299" t="s">
        <v>7</v>
      </c>
      <c r="P3" s="384"/>
      <c r="Q3" s="384"/>
      <c r="R3" s="384"/>
      <c r="S3" s="384"/>
      <c r="T3" s="384"/>
      <c r="U3" s="384"/>
      <c r="V3" s="385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386" t="s">
        <v>127</v>
      </c>
      <c r="R4" s="387"/>
      <c r="S4" s="387"/>
      <c r="T4" s="388"/>
      <c r="U4" s="298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99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2</v>
      </c>
      <c r="J24" s="339"/>
      <c r="K24" s="339">
        <v>3</v>
      </c>
      <c r="L24" s="339"/>
      <c r="M24" s="339">
        <v>4</v>
      </c>
      <c r="N24" s="339"/>
      <c r="O24" s="339">
        <v>5</v>
      </c>
      <c r="P24" s="339"/>
      <c r="Q24" s="339">
        <v>6</v>
      </c>
      <c r="R24" s="339"/>
      <c r="S24" s="339">
        <v>7</v>
      </c>
      <c r="T24" s="339"/>
      <c r="U24" s="339">
        <v>9</v>
      </c>
      <c r="V24" s="339"/>
      <c r="W24" s="339">
        <v>10</v>
      </c>
      <c r="X24" s="339"/>
      <c r="Z24" s="50"/>
    </row>
    <row r="25" spans="1:28">
      <c r="A25" s="342" t="s">
        <v>15</v>
      </c>
      <c r="B25" s="343"/>
      <c r="C25" s="300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2.0990000000000002</v>
      </c>
      <c r="J26" s="320"/>
      <c r="K26" s="320">
        <v>2.1030000000000002</v>
      </c>
      <c r="L26" s="320"/>
      <c r="M26" s="320">
        <v>2.101</v>
      </c>
      <c r="N26" s="320"/>
      <c r="O26" s="320">
        <v>2.105</v>
      </c>
      <c r="P26" s="320"/>
      <c r="Q26" s="320">
        <v>2.1</v>
      </c>
      <c r="R26" s="320"/>
      <c r="S26" s="320">
        <v>2.0979999999999999</v>
      </c>
      <c r="T26" s="320"/>
      <c r="U26" s="320">
        <v>2.1</v>
      </c>
      <c r="V26" s="320"/>
      <c r="W26" s="320">
        <v>2.1030000000000002</v>
      </c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>
        <v>1.99</v>
      </c>
      <c r="V28" s="320"/>
      <c r="W28" s="320">
        <v>1.99</v>
      </c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2.1030000000000002</v>
      </c>
      <c r="J30" s="320"/>
      <c r="K30" s="320">
        <v>2.085</v>
      </c>
      <c r="L30" s="320"/>
      <c r="M30" s="320">
        <v>2.1030000000000002</v>
      </c>
      <c r="N30" s="320"/>
      <c r="O30" s="320">
        <v>2.0990000000000002</v>
      </c>
      <c r="P30" s="320"/>
      <c r="Q30" s="320">
        <v>2.0950000000000002</v>
      </c>
      <c r="R30" s="320"/>
      <c r="S30" s="320">
        <v>2.0880000000000001</v>
      </c>
      <c r="T30" s="320"/>
      <c r="U30" s="320">
        <v>2.0920000000000001</v>
      </c>
      <c r="V30" s="320"/>
      <c r="W30" s="320">
        <v>2.1070000000000002</v>
      </c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</v>
      </c>
      <c r="J32" s="360"/>
      <c r="K32" s="360">
        <v>11</v>
      </c>
      <c r="L32" s="360"/>
      <c r="M32" s="360">
        <v>11.04</v>
      </c>
      <c r="N32" s="360"/>
      <c r="O32" s="360">
        <v>11.03</v>
      </c>
      <c r="P32" s="360"/>
      <c r="Q32" s="360">
        <v>11.02</v>
      </c>
      <c r="R32" s="360"/>
      <c r="S32" s="360">
        <v>11</v>
      </c>
      <c r="T32" s="360"/>
      <c r="U32" s="360">
        <v>11.01</v>
      </c>
      <c r="V32" s="360"/>
      <c r="W32" s="360">
        <v>11.02</v>
      </c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292" t="s">
        <v>87</v>
      </c>
      <c r="E34" s="293"/>
      <c r="F34" s="293"/>
      <c r="G34" s="293"/>
      <c r="H34" s="294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 t="s">
        <v>98</v>
      </c>
      <c r="V34" s="315"/>
      <c r="W34" s="315" t="s">
        <v>98</v>
      </c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295" t="s">
        <v>88</v>
      </c>
      <c r="E35" s="296"/>
      <c r="F35" s="296"/>
      <c r="G35" s="296"/>
      <c r="H35" s="297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 t="s">
        <v>98</v>
      </c>
      <c r="V36" s="315"/>
      <c r="W36" s="315" t="s">
        <v>98</v>
      </c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295" t="s">
        <v>67</v>
      </c>
      <c r="E37" s="296"/>
      <c r="F37" s="296"/>
      <c r="G37" s="296"/>
      <c r="H37" s="297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292" t="s">
        <v>69</v>
      </c>
      <c r="E38" s="293"/>
      <c r="F38" s="293"/>
      <c r="G38" s="293"/>
      <c r="H38" s="294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 t="s">
        <v>101</v>
      </c>
      <c r="V38" s="315"/>
      <c r="W38" s="315" t="s">
        <v>101</v>
      </c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295" t="s">
        <v>70</v>
      </c>
      <c r="E39" s="296"/>
      <c r="F39" s="296"/>
      <c r="G39" s="296"/>
      <c r="H39" s="297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292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295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292" t="s">
        <v>73</v>
      </c>
      <c r="E42" s="289"/>
      <c r="F42" s="290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295" t="s">
        <v>74</v>
      </c>
      <c r="E43" s="291"/>
      <c r="F43" s="291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292" t="s">
        <v>75</v>
      </c>
      <c r="E44" s="289"/>
      <c r="F44" s="290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295" t="s">
        <v>76</v>
      </c>
      <c r="E45" s="291"/>
      <c r="F45" s="291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292" t="s">
        <v>77</v>
      </c>
      <c r="E46" s="293"/>
      <c r="F46" s="293"/>
      <c r="G46" s="293"/>
      <c r="H46" s="294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295" t="s">
        <v>78</v>
      </c>
      <c r="E47" s="296"/>
      <c r="F47" s="296"/>
      <c r="G47" s="296"/>
      <c r="H47" s="297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292" t="s">
        <v>79</v>
      </c>
      <c r="E48" s="293"/>
      <c r="F48" s="293"/>
      <c r="G48" s="293"/>
      <c r="H48" s="294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 t="s">
        <v>101</v>
      </c>
      <c r="V48" s="315"/>
      <c r="W48" s="315" t="s">
        <v>101</v>
      </c>
      <c r="X48" s="315"/>
      <c r="AA48" s="45"/>
      <c r="AB48" s="56"/>
    </row>
    <row r="49" spans="1:28" s="20" customFormat="1" ht="10" customHeight="1">
      <c r="A49" s="353"/>
      <c r="B49" s="353"/>
      <c r="C49" s="431"/>
      <c r="D49" s="295" t="s">
        <v>80</v>
      </c>
      <c r="E49" s="296"/>
      <c r="F49" s="296"/>
      <c r="G49" s="296"/>
      <c r="H49" s="297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I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I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I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4" zoomScale="145" zoomScaleNormal="145" workbookViewId="0">
      <selection activeCell="I24" sqref="I24:J25"/>
    </sheetView>
  </sheetViews>
  <sheetFormatPr defaultColWidth="9" defaultRowHeight="17"/>
  <cols>
    <col min="1" max="1" width="4.08984375" style="1" customWidth="1"/>
    <col min="2" max="2" width="3.6328125" style="1" customWidth="1"/>
    <col min="3" max="3" width="7.08984375" style="1" customWidth="1"/>
    <col min="4" max="4" width="1.90625" style="1" customWidth="1"/>
    <col min="5" max="5" width="2.90625" style="1" customWidth="1"/>
    <col min="6" max="6" width="2.6328125" style="1" customWidth="1"/>
    <col min="7" max="7" width="1.90625" style="1" customWidth="1"/>
    <col min="8" max="8" width="5.36328125" style="1" customWidth="1"/>
    <col min="9" max="9" width="4.08984375" style="1" customWidth="1"/>
    <col min="10" max="10" width="4.6328125" style="1" customWidth="1"/>
    <col min="11" max="11" width="4.08984375" style="1" customWidth="1"/>
    <col min="12" max="12" width="5.08984375" style="1" customWidth="1"/>
    <col min="13" max="13" width="4.08984375" style="1" customWidth="1"/>
    <col min="14" max="14" width="4.6328125" style="1" customWidth="1"/>
    <col min="15" max="15" width="5.08984375" style="1" customWidth="1"/>
    <col min="16" max="16" width="4.08984375" style="1" customWidth="1"/>
    <col min="17" max="24" width="4.6328125" style="1" customWidth="1"/>
    <col min="25" max="25" width="2" style="1" customWidth="1"/>
    <col min="26" max="26" width="4.08984375" style="1" customWidth="1"/>
    <col min="27" max="27" width="6" style="45" customWidth="1"/>
    <col min="28" max="28" width="3.90625" style="56" customWidth="1"/>
    <col min="29" max="16384" width="9" style="1"/>
  </cols>
  <sheetData>
    <row r="1" spans="1:26" ht="25.5" customHeight="1">
      <c r="A1" s="321" t="s">
        <v>0</v>
      </c>
      <c r="B1" s="322"/>
      <c r="C1" s="322"/>
      <c r="D1" s="322"/>
      <c r="E1" s="322"/>
      <c r="F1" s="322"/>
      <c r="G1" s="322"/>
      <c r="H1" s="322"/>
      <c r="I1" s="322"/>
      <c r="J1" s="322"/>
      <c r="K1" s="322"/>
      <c r="L1" s="322"/>
      <c r="M1" s="322"/>
      <c r="N1" s="322"/>
      <c r="O1" s="322"/>
      <c r="P1" s="322"/>
      <c r="Q1" s="322"/>
      <c r="R1" s="322"/>
      <c r="S1" s="322"/>
      <c r="T1" s="322"/>
      <c r="U1" s="322"/>
      <c r="V1" s="322"/>
      <c r="W1" s="322"/>
      <c r="X1" s="322"/>
    </row>
    <row r="2" spans="1:26" ht="13.5" customHeight="1">
      <c r="A2" s="373" t="s">
        <v>30</v>
      </c>
      <c r="B2" s="374"/>
      <c r="C2" s="323" t="s">
        <v>92</v>
      </c>
      <c r="D2" s="298" t="s">
        <v>2</v>
      </c>
      <c r="E2" s="42"/>
      <c r="F2" s="377" t="s">
        <v>91</v>
      </c>
      <c r="G2" s="377"/>
      <c r="H2" s="377"/>
      <c r="I2" s="377"/>
      <c r="J2" s="377"/>
      <c r="K2" s="435"/>
      <c r="L2" s="298" t="s">
        <v>4</v>
      </c>
      <c r="M2" s="377">
        <v>9</v>
      </c>
      <c r="N2" s="378"/>
      <c r="O2" s="298" t="s">
        <v>6</v>
      </c>
      <c r="P2" s="381" t="s">
        <v>81</v>
      </c>
      <c r="Q2" s="382"/>
      <c r="R2" s="382"/>
      <c r="S2" s="382"/>
      <c r="T2" s="382"/>
      <c r="U2" s="382"/>
      <c r="V2" s="383"/>
      <c r="W2" s="298" t="s">
        <v>34</v>
      </c>
      <c r="X2" s="32">
        <v>2</v>
      </c>
      <c r="Z2" s="34" t="s">
        <v>93</v>
      </c>
    </row>
    <row r="3" spans="1:26" ht="10" customHeight="1">
      <c r="A3" s="375" t="s">
        <v>1</v>
      </c>
      <c r="B3" s="376"/>
      <c r="C3" s="310"/>
      <c r="D3" s="299" t="s">
        <v>3</v>
      </c>
      <c r="E3" s="43"/>
      <c r="F3" s="436"/>
      <c r="G3" s="436"/>
      <c r="H3" s="436"/>
      <c r="I3" s="436"/>
      <c r="J3" s="436"/>
      <c r="K3" s="437"/>
      <c r="L3" s="299" t="s">
        <v>5</v>
      </c>
      <c r="M3" s="379"/>
      <c r="N3" s="380"/>
      <c r="O3" s="299" t="s">
        <v>7</v>
      </c>
      <c r="P3" s="384"/>
      <c r="Q3" s="384"/>
      <c r="R3" s="384"/>
      <c r="S3" s="384"/>
      <c r="T3" s="384"/>
      <c r="U3" s="384"/>
      <c r="V3" s="385"/>
      <c r="W3" s="299" t="s">
        <v>8</v>
      </c>
      <c r="X3" s="288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298" t="s">
        <v>9</v>
      </c>
      <c r="P4" s="6"/>
      <c r="Q4" s="386" t="s">
        <v>128</v>
      </c>
      <c r="R4" s="387"/>
      <c r="S4" s="387"/>
      <c r="T4" s="388"/>
      <c r="U4" s="298" t="s">
        <v>11</v>
      </c>
      <c r="V4" s="7"/>
      <c r="W4" s="377">
        <v>7</v>
      </c>
      <c r="X4" s="378"/>
      <c r="Z4" s="34" t="s">
        <v>48</v>
      </c>
    </row>
    <row r="5" spans="1:26" ht="10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389"/>
      <c r="R5" s="389"/>
      <c r="S5" s="389"/>
      <c r="T5" s="390"/>
      <c r="U5" s="299" t="s">
        <v>12</v>
      </c>
      <c r="V5" s="11"/>
      <c r="W5" s="379"/>
      <c r="X5" s="380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405"/>
      <c r="U6" s="405"/>
      <c r="V6" s="405"/>
      <c r="W6" s="405"/>
      <c r="X6" s="406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407"/>
      <c r="U7" s="407"/>
      <c r="V7" s="407"/>
      <c r="W7" s="407"/>
      <c r="X7" s="408"/>
    </row>
    <row r="8" spans="1:26" ht="10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409" t="s">
        <v>91</v>
      </c>
      <c r="T8" s="410"/>
      <c r="U8" s="410"/>
      <c r="V8" s="334"/>
      <c r="W8" s="334"/>
      <c r="X8" s="335"/>
    </row>
    <row r="9" spans="1:26" ht="10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303"/>
      <c r="T9" s="411"/>
      <c r="U9" s="411"/>
      <c r="V9" s="412"/>
      <c r="W9" s="412"/>
      <c r="X9" s="413"/>
    </row>
    <row r="10" spans="1:26" ht="10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303"/>
      <c r="T10" s="411"/>
      <c r="U10" s="411"/>
      <c r="V10" s="412"/>
      <c r="W10" s="412"/>
      <c r="X10" s="413"/>
    </row>
    <row r="11" spans="1:26" ht="10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303"/>
      <c r="T11" s="411"/>
      <c r="U11" s="411"/>
      <c r="V11" s="412"/>
      <c r="W11" s="412"/>
      <c r="X11" s="413"/>
    </row>
    <row r="12" spans="1:26" ht="10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303"/>
      <c r="T12" s="411"/>
      <c r="U12" s="411"/>
      <c r="V12" s="412"/>
      <c r="W12" s="412"/>
      <c r="X12" s="413"/>
    </row>
    <row r="13" spans="1:26" ht="10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303"/>
      <c r="T13" s="411"/>
      <c r="U13" s="411"/>
      <c r="V13" s="412"/>
      <c r="W13" s="412"/>
      <c r="X13" s="413"/>
    </row>
    <row r="14" spans="1:26" ht="10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303"/>
      <c r="T14" s="304"/>
      <c r="U14" s="304"/>
      <c r="V14" s="305"/>
      <c r="W14" s="306"/>
      <c r="X14" s="307"/>
    </row>
    <row r="15" spans="1:26" ht="10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303"/>
      <c r="T15" s="304"/>
      <c r="U15" s="304"/>
      <c r="V15" s="305"/>
      <c r="W15" s="306"/>
      <c r="X15" s="307"/>
    </row>
    <row r="16" spans="1:26" ht="10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303"/>
      <c r="T16" s="304"/>
      <c r="U16" s="304"/>
      <c r="V16" s="305"/>
      <c r="W16" s="306"/>
      <c r="X16" s="307"/>
    </row>
    <row r="17" spans="1:28" ht="10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303"/>
      <c r="T17" s="304"/>
      <c r="U17" s="304"/>
      <c r="V17" s="305"/>
      <c r="W17" s="306"/>
      <c r="X17" s="307"/>
    </row>
    <row r="18" spans="1:28" ht="10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303"/>
      <c r="T18" s="304"/>
      <c r="U18" s="304"/>
      <c r="V18" s="305"/>
      <c r="W18" s="306"/>
      <c r="X18" s="307"/>
    </row>
    <row r="19" spans="1:28" ht="10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303"/>
      <c r="T19" s="304"/>
      <c r="U19" s="304"/>
      <c r="V19" s="305"/>
      <c r="W19" s="306"/>
      <c r="X19" s="307"/>
    </row>
    <row r="20" spans="1:28" ht="10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303"/>
      <c r="T20" s="304"/>
      <c r="U20" s="304"/>
      <c r="V20" s="305"/>
      <c r="W20" s="306"/>
      <c r="X20" s="307"/>
    </row>
    <row r="21" spans="1:28" ht="10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303"/>
      <c r="T21" s="304"/>
      <c r="U21" s="304"/>
      <c r="V21" s="308"/>
      <c r="W21" s="309"/>
      <c r="X21" s="310"/>
    </row>
    <row r="22" spans="1:28" ht="12.75" customHeight="1">
      <c r="A22" s="324" t="s">
        <v>35</v>
      </c>
      <c r="B22" s="325"/>
      <c r="C22" s="326"/>
      <c r="D22" s="332" t="s">
        <v>40</v>
      </c>
      <c r="E22" s="333"/>
      <c r="F22" s="333"/>
      <c r="G22" s="333"/>
      <c r="H22" s="334"/>
      <c r="I22" s="334"/>
      <c r="J22" s="334"/>
      <c r="K22" s="334"/>
      <c r="L22" s="334"/>
      <c r="M22" s="334"/>
      <c r="N22" s="334"/>
      <c r="O22" s="334"/>
      <c r="P22" s="334"/>
      <c r="Q22" s="334"/>
      <c r="R22" s="334"/>
      <c r="S22" s="334"/>
      <c r="T22" s="334"/>
      <c r="U22" s="334"/>
      <c r="V22" s="335"/>
      <c r="W22" s="330" t="s">
        <v>37</v>
      </c>
      <c r="X22" s="331"/>
      <c r="Z22" s="52" t="s">
        <v>52</v>
      </c>
    </row>
    <row r="23" spans="1:28" ht="11.25" customHeight="1">
      <c r="A23" s="327" t="s">
        <v>14</v>
      </c>
      <c r="B23" s="328"/>
      <c r="C23" s="329"/>
      <c r="D23" s="336"/>
      <c r="E23" s="337"/>
      <c r="F23" s="337"/>
      <c r="G23" s="337"/>
      <c r="H23" s="337"/>
      <c r="I23" s="337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8"/>
      <c r="W23" s="327" t="s">
        <v>49</v>
      </c>
      <c r="X23" s="329"/>
      <c r="Z23" s="51" t="s">
        <v>53</v>
      </c>
    </row>
    <row r="24" spans="1:28" ht="14.25" customHeight="1">
      <c r="A24" s="324" t="s">
        <v>29</v>
      </c>
      <c r="B24" s="341"/>
      <c r="C24" s="33" t="s">
        <v>16</v>
      </c>
      <c r="D24" s="344" t="s">
        <v>38</v>
      </c>
      <c r="E24" s="345"/>
      <c r="F24" s="345"/>
      <c r="G24" s="345"/>
      <c r="H24" s="346"/>
      <c r="I24" s="339">
        <v>11</v>
      </c>
      <c r="J24" s="339"/>
      <c r="K24" s="339">
        <v>12</v>
      </c>
      <c r="L24" s="339"/>
      <c r="M24" s="339">
        <v>13</v>
      </c>
      <c r="N24" s="339"/>
      <c r="O24" s="339">
        <v>14</v>
      </c>
      <c r="P24" s="339"/>
      <c r="Q24" s="339">
        <v>15</v>
      </c>
      <c r="R24" s="339"/>
      <c r="S24" s="339">
        <v>16</v>
      </c>
      <c r="T24" s="339"/>
      <c r="U24" s="339"/>
      <c r="V24" s="339"/>
      <c r="W24" s="339"/>
      <c r="X24" s="339"/>
      <c r="Z24" s="50"/>
    </row>
    <row r="25" spans="1:28">
      <c r="A25" s="342" t="s">
        <v>15</v>
      </c>
      <c r="B25" s="343"/>
      <c r="C25" s="300" t="s">
        <v>46</v>
      </c>
      <c r="D25" s="347" t="s">
        <v>41</v>
      </c>
      <c r="E25" s="348"/>
      <c r="F25" s="348"/>
      <c r="G25" s="348"/>
      <c r="H25" s="349"/>
      <c r="I25" s="340"/>
      <c r="J25" s="340"/>
      <c r="K25" s="340"/>
      <c r="L25" s="340"/>
      <c r="M25" s="340"/>
      <c r="N25" s="340"/>
      <c r="O25" s="340"/>
      <c r="P25" s="340"/>
      <c r="Q25" s="340"/>
      <c r="R25" s="340"/>
      <c r="S25" s="340"/>
      <c r="T25" s="340"/>
      <c r="U25" s="340"/>
      <c r="V25" s="340"/>
      <c r="W25" s="340"/>
      <c r="X25" s="340"/>
      <c r="Z25" s="429" t="s">
        <v>50</v>
      </c>
    </row>
    <row r="26" spans="1:28" s="19" customFormat="1" ht="10" customHeight="1">
      <c r="A26" s="352" t="s">
        <v>54</v>
      </c>
      <c r="B26" s="352"/>
      <c r="C26" s="350" t="s">
        <v>82</v>
      </c>
      <c r="D26" s="429" t="s">
        <v>50</v>
      </c>
      <c r="E26" s="432">
        <v>2.08</v>
      </c>
      <c r="F26" s="433"/>
      <c r="G26" s="52" t="s">
        <v>52</v>
      </c>
      <c r="H26" s="44">
        <v>0.05</v>
      </c>
      <c r="I26" s="320">
        <v>2.0990000000000002</v>
      </c>
      <c r="J26" s="320"/>
      <c r="K26" s="320">
        <v>2.1040000000000001</v>
      </c>
      <c r="L26" s="320"/>
      <c r="M26" s="320">
        <v>2.1059999999999999</v>
      </c>
      <c r="N26" s="320"/>
      <c r="O26" s="320">
        <v>2.1030000000000002</v>
      </c>
      <c r="P26" s="320"/>
      <c r="Q26" s="320">
        <v>2.1</v>
      </c>
      <c r="R26" s="320"/>
      <c r="S26" s="320">
        <v>2.0979999999999999</v>
      </c>
      <c r="T26" s="320"/>
      <c r="U26" s="320"/>
      <c r="V26" s="320"/>
      <c r="W26" s="320"/>
      <c r="X26" s="320"/>
      <c r="Z26" s="430"/>
      <c r="AA26" s="46">
        <f>E26+H26</f>
        <v>2.13</v>
      </c>
      <c r="AB26" s="56">
        <v>26</v>
      </c>
    </row>
    <row r="27" spans="1:28" s="19" customFormat="1" ht="10" customHeight="1">
      <c r="A27" s="353"/>
      <c r="B27" s="353"/>
      <c r="C27" s="351"/>
      <c r="D27" s="430"/>
      <c r="E27" s="434"/>
      <c r="F27" s="434"/>
      <c r="G27" s="51" t="s">
        <v>53</v>
      </c>
      <c r="H27" s="48">
        <v>0.05</v>
      </c>
      <c r="I27" s="320"/>
      <c r="J27" s="320"/>
      <c r="K27" s="320"/>
      <c r="L27" s="320"/>
      <c r="M27" s="320"/>
      <c r="N27" s="320"/>
      <c r="O27" s="320"/>
      <c r="P27" s="320"/>
      <c r="Q27" s="320"/>
      <c r="R27" s="320"/>
      <c r="S27" s="320"/>
      <c r="T27" s="320"/>
      <c r="U27" s="320"/>
      <c r="V27" s="320"/>
      <c r="W27" s="320"/>
      <c r="X27" s="320"/>
      <c r="AA27" s="46">
        <f>E26-H27</f>
        <v>2.0300000000000002</v>
      </c>
      <c r="AB27" s="56">
        <v>27</v>
      </c>
    </row>
    <row r="28" spans="1:28" s="19" customFormat="1" ht="10" customHeight="1">
      <c r="A28" s="352" t="s">
        <v>55</v>
      </c>
      <c r="B28" s="352"/>
      <c r="C28" s="350" t="s">
        <v>83</v>
      </c>
      <c r="D28" s="429" t="s">
        <v>50</v>
      </c>
      <c r="E28" s="432">
        <v>1.97</v>
      </c>
      <c r="F28" s="433"/>
      <c r="G28" s="52" t="s">
        <v>52</v>
      </c>
      <c r="H28" s="44">
        <v>0.05</v>
      </c>
      <c r="I28" s="320">
        <v>1.99</v>
      </c>
      <c r="J28" s="320"/>
      <c r="K28" s="320">
        <v>1.99</v>
      </c>
      <c r="L28" s="320"/>
      <c r="M28" s="320">
        <v>1.99</v>
      </c>
      <c r="N28" s="320"/>
      <c r="O28" s="320">
        <v>1.99</v>
      </c>
      <c r="P28" s="320"/>
      <c r="Q28" s="320">
        <v>1.99</v>
      </c>
      <c r="R28" s="320"/>
      <c r="S28" s="320">
        <v>1.99</v>
      </c>
      <c r="T28" s="320"/>
      <c r="U28" s="320"/>
      <c r="V28" s="320"/>
      <c r="W28" s="320"/>
      <c r="X28" s="320"/>
      <c r="AA28" s="46">
        <f>E28+H28</f>
        <v>2.02</v>
      </c>
      <c r="AB28" s="56">
        <v>28</v>
      </c>
    </row>
    <row r="29" spans="1:28" s="19" customFormat="1" ht="10" customHeight="1">
      <c r="A29" s="353"/>
      <c r="B29" s="353"/>
      <c r="C29" s="351"/>
      <c r="D29" s="430"/>
      <c r="E29" s="434"/>
      <c r="F29" s="434"/>
      <c r="G29" s="51" t="s">
        <v>53</v>
      </c>
      <c r="H29" s="48">
        <v>0.05</v>
      </c>
      <c r="I29" s="320"/>
      <c r="J29" s="320"/>
      <c r="K29" s="320"/>
      <c r="L29" s="320"/>
      <c r="M29" s="320"/>
      <c r="N29" s="320"/>
      <c r="O29" s="320"/>
      <c r="P29" s="320"/>
      <c r="Q29" s="320"/>
      <c r="R29" s="320"/>
      <c r="S29" s="320"/>
      <c r="T29" s="320"/>
      <c r="U29" s="320"/>
      <c r="V29" s="320"/>
      <c r="W29" s="320"/>
      <c r="X29" s="320"/>
      <c r="AA29" s="46">
        <f>E28-H29</f>
        <v>1.92</v>
      </c>
      <c r="AB29" s="56">
        <v>29</v>
      </c>
    </row>
    <row r="30" spans="1:28" s="19" customFormat="1" ht="10" customHeight="1">
      <c r="A30" s="352" t="s">
        <v>56</v>
      </c>
      <c r="B30" s="352"/>
      <c r="C30" s="350" t="s">
        <v>82</v>
      </c>
      <c r="D30" s="429" t="s">
        <v>50</v>
      </c>
      <c r="E30" s="432">
        <v>2.08</v>
      </c>
      <c r="F30" s="433"/>
      <c r="G30" s="52" t="s">
        <v>52</v>
      </c>
      <c r="H30" s="44">
        <v>0.05</v>
      </c>
      <c r="I30" s="320">
        <v>2.0830000000000002</v>
      </c>
      <c r="J30" s="320"/>
      <c r="K30" s="320">
        <v>2.097</v>
      </c>
      <c r="L30" s="320"/>
      <c r="M30" s="320">
        <v>2.1080000000000001</v>
      </c>
      <c r="N30" s="320"/>
      <c r="O30" s="320">
        <v>2.1070000000000002</v>
      </c>
      <c r="P30" s="320"/>
      <c r="Q30" s="320">
        <v>2.0859999999999999</v>
      </c>
      <c r="R30" s="320"/>
      <c r="S30" s="320">
        <v>2.1040000000000001</v>
      </c>
      <c r="T30" s="320"/>
      <c r="U30" s="320"/>
      <c r="V30" s="320"/>
      <c r="W30" s="320"/>
      <c r="X30" s="320"/>
      <c r="AA30" s="46">
        <f>E30+H30</f>
        <v>2.13</v>
      </c>
      <c r="AB30" s="56">
        <v>30</v>
      </c>
    </row>
    <row r="31" spans="1:28" s="19" customFormat="1" ht="10" customHeight="1">
      <c r="A31" s="353"/>
      <c r="B31" s="353"/>
      <c r="C31" s="351"/>
      <c r="D31" s="430"/>
      <c r="E31" s="434"/>
      <c r="F31" s="434"/>
      <c r="G31" s="51" t="s">
        <v>53</v>
      </c>
      <c r="H31" s="48">
        <v>0.05</v>
      </c>
      <c r="I31" s="320"/>
      <c r="J31" s="320"/>
      <c r="K31" s="320"/>
      <c r="L31" s="320"/>
      <c r="M31" s="320"/>
      <c r="N31" s="320"/>
      <c r="O31" s="320"/>
      <c r="P31" s="320"/>
      <c r="Q31" s="320"/>
      <c r="R31" s="320"/>
      <c r="S31" s="320"/>
      <c r="T31" s="320"/>
      <c r="U31" s="320"/>
      <c r="V31" s="320"/>
      <c r="W31" s="320"/>
      <c r="X31" s="320"/>
      <c r="AA31" s="46">
        <f>E30-H31</f>
        <v>2.0300000000000002</v>
      </c>
      <c r="AB31" s="56">
        <v>31</v>
      </c>
    </row>
    <row r="32" spans="1:28" s="19" customFormat="1" ht="10" customHeight="1">
      <c r="A32" s="352" t="s">
        <v>57</v>
      </c>
      <c r="B32" s="352"/>
      <c r="C32" s="350" t="s">
        <v>84</v>
      </c>
      <c r="D32" s="429" t="s">
        <v>50</v>
      </c>
      <c r="E32" s="432">
        <v>10.92</v>
      </c>
      <c r="F32" s="433"/>
      <c r="G32" s="52" t="s">
        <v>52</v>
      </c>
      <c r="H32" s="44">
        <v>0.13</v>
      </c>
      <c r="I32" s="360">
        <v>11.03</v>
      </c>
      <c r="J32" s="360"/>
      <c r="K32" s="360">
        <v>11.04</v>
      </c>
      <c r="L32" s="360"/>
      <c r="M32" s="360">
        <v>11.03</v>
      </c>
      <c r="N32" s="360"/>
      <c r="O32" s="360">
        <v>11.02</v>
      </c>
      <c r="P32" s="360"/>
      <c r="Q32" s="360">
        <v>11.01</v>
      </c>
      <c r="R32" s="360"/>
      <c r="S32" s="360">
        <v>11.01</v>
      </c>
      <c r="T32" s="360"/>
      <c r="U32" s="360"/>
      <c r="V32" s="360"/>
      <c r="W32" s="360"/>
      <c r="X32" s="360"/>
      <c r="AA32" s="46">
        <f>E32+H32</f>
        <v>11.05</v>
      </c>
      <c r="AB32" s="56">
        <v>32</v>
      </c>
    </row>
    <row r="33" spans="1:28" s="19" customFormat="1" ht="10" customHeight="1">
      <c r="A33" s="353"/>
      <c r="B33" s="353"/>
      <c r="C33" s="351"/>
      <c r="D33" s="430"/>
      <c r="E33" s="434"/>
      <c r="F33" s="434"/>
      <c r="G33" s="51" t="s">
        <v>53</v>
      </c>
      <c r="H33" s="48">
        <v>0.13</v>
      </c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AA33" s="46">
        <f>E32-H33</f>
        <v>10.79</v>
      </c>
      <c r="AB33" s="56">
        <v>33</v>
      </c>
    </row>
    <row r="34" spans="1:28" s="19" customFormat="1" ht="10" customHeight="1">
      <c r="A34" s="352" t="s">
        <v>58</v>
      </c>
      <c r="B34" s="352"/>
      <c r="C34" s="317" t="s">
        <v>86</v>
      </c>
      <c r="D34" s="292" t="s">
        <v>87</v>
      </c>
      <c r="E34" s="293"/>
      <c r="F34" s="293"/>
      <c r="G34" s="293"/>
      <c r="H34" s="294"/>
      <c r="I34" s="315" t="s">
        <v>98</v>
      </c>
      <c r="J34" s="315"/>
      <c r="K34" s="315" t="s">
        <v>98</v>
      </c>
      <c r="L34" s="315"/>
      <c r="M34" s="315" t="s">
        <v>98</v>
      </c>
      <c r="N34" s="315"/>
      <c r="O34" s="315" t="s">
        <v>98</v>
      </c>
      <c r="P34" s="315"/>
      <c r="Q34" s="315" t="s">
        <v>98</v>
      </c>
      <c r="R34" s="315"/>
      <c r="S34" s="315" t="s">
        <v>98</v>
      </c>
      <c r="T34" s="315"/>
      <c r="U34" s="315"/>
      <c r="V34" s="315"/>
      <c r="W34" s="315"/>
      <c r="X34" s="315"/>
      <c r="AA34" s="47"/>
      <c r="AB34" s="56">
        <v>34</v>
      </c>
    </row>
    <row r="35" spans="1:28" s="19" customFormat="1" ht="10" customHeight="1">
      <c r="A35" s="353"/>
      <c r="B35" s="353"/>
      <c r="C35" s="319"/>
      <c r="D35" s="295" t="s">
        <v>88</v>
      </c>
      <c r="E35" s="296"/>
      <c r="F35" s="296"/>
      <c r="G35" s="296"/>
      <c r="H35" s="297"/>
      <c r="I35" s="315"/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AA35" s="47"/>
      <c r="AB35" s="56">
        <v>35</v>
      </c>
    </row>
    <row r="36" spans="1:28" s="20" customFormat="1" ht="10" customHeight="1">
      <c r="A36" s="352" t="s">
        <v>59</v>
      </c>
      <c r="B36" s="352"/>
      <c r="C36" s="31" t="s">
        <v>94</v>
      </c>
      <c r="D36" s="57" t="s">
        <v>68</v>
      </c>
      <c r="E36" s="53"/>
      <c r="F36" s="53"/>
      <c r="G36" s="53"/>
      <c r="H36" s="37"/>
      <c r="I36" s="315" t="s">
        <v>98</v>
      </c>
      <c r="J36" s="315"/>
      <c r="K36" s="315" t="s">
        <v>98</v>
      </c>
      <c r="L36" s="315"/>
      <c r="M36" s="315" t="s">
        <v>98</v>
      </c>
      <c r="N36" s="315"/>
      <c r="O36" s="315" t="s">
        <v>98</v>
      </c>
      <c r="P36" s="315"/>
      <c r="Q36" s="315" t="s">
        <v>98</v>
      </c>
      <c r="R36" s="315"/>
      <c r="S36" s="315" t="s">
        <v>98</v>
      </c>
      <c r="T36" s="315"/>
      <c r="U36" s="315"/>
      <c r="V36" s="315"/>
      <c r="W36" s="315"/>
      <c r="X36" s="315"/>
      <c r="AA36" s="45"/>
      <c r="AB36" s="56">
        <v>36</v>
      </c>
    </row>
    <row r="37" spans="1:28" s="20" customFormat="1" ht="10" customHeight="1">
      <c r="A37" s="353"/>
      <c r="B37" s="353"/>
      <c r="C37" s="30" t="s">
        <v>63</v>
      </c>
      <c r="D37" s="295" t="s">
        <v>67</v>
      </c>
      <c r="E37" s="296"/>
      <c r="F37" s="296"/>
      <c r="G37" s="296"/>
      <c r="H37" s="297"/>
      <c r="I37" s="315"/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AA37" s="45"/>
      <c r="AB37" s="56">
        <v>37</v>
      </c>
    </row>
    <row r="38" spans="1:28" s="20" customFormat="1" ht="10" customHeight="1">
      <c r="A38" s="352" t="s">
        <v>85</v>
      </c>
      <c r="B38" s="352"/>
      <c r="C38" s="31" t="s">
        <v>64</v>
      </c>
      <c r="D38" s="292" t="s">
        <v>69</v>
      </c>
      <c r="E38" s="293"/>
      <c r="F38" s="293"/>
      <c r="G38" s="293"/>
      <c r="H38" s="294"/>
      <c r="I38" s="315" t="s">
        <v>101</v>
      </c>
      <c r="J38" s="315"/>
      <c r="K38" s="315" t="s">
        <v>101</v>
      </c>
      <c r="L38" s="315"/>
      <c r="M38" s="315" t="s">
        <v>101</v>
      </c>
      <c r="N38" s="315"/>
      <c r="O38" s="315" t="s">
        <v>101</v>
      </c>
      <c r="P38" s="315"/>
      <c r="Q38" s="315" t="s">
        <v>101</v>
      </c>
      <c r="R38" s="315"/>
      <c r="S38" s="315" t="s">
        <v>101</v>
      </c>
      <c r="T38" s="315"/>
      <c r="U38" s="315"/>
      <c r="V38" s="315"/>
      <c r="W38" s="315"/>
      <c r="X38" s="315"/>
      <c r="AA38" s="45"/>
      <c r="AB38" s="56">
        <v>38</v>
      </c>
    </row>
    <row r="39" spans="1:28" s="20" customFormat="1" ht="10" customHeight="1">
      <c r="A39" s="353"/>
      <c r="B39" s="353"/>
      <c r="C39" s="30" t="s">
        <v>63</v>
      </c>
      <c r="D39" s="295" t="s">
        <v>70</v>
      </c>
      <c r="E39" s="296"/>
      <c r="F39" s="296"/>
      <c r="G39" s="296"/>
      <c r="H39" s="297"/>
      <c r="I39" s="31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AA39" s="45"/>
      <c r="AB39" s="56">
        <v>39</v>
      </c>
    </row>
    <row r="40" spans="1:28" s="20" customFormat="1" ht="10" customHeight="1">
      <c r="A40" s="352" t="s">
        <v>60</v>
      </c>
      <c r="B40" s="352"/>
      <c r="C40" s="31" t="s">
        <v>64</v>
      </c>
      <c r="D40" s="292" t="s">
        <v>71</v>
      </c>
      <c r="E40" s="54"/>
      <c r="F40" s="54"/>
      <c r="G40" s="54"/>
      <c r="H40" s="38"/>
      <c r="I40" s="31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AA40" s="45"/>
      <c r="AB40" s="56">
        <v>40</v>
      </c>
    </row>
    <row r="41" spans="1:28" s="20" customFormat="1" ht="10" customHeight="1">
      <c r="A41" s="353"/>
      <c r="B41" s="353"/>
      <c r="C41" s="30" t="s">
        <v>63</v>
      </c>
      <c r="D41" s="295" t="s">
        <v>72</v>
      </c>
      <c r="E41" s="55"/>
      <c r="F41" s="55"/>
      <c r="G41" s="55"/>
      <c r="H41" s="39"/>
      <c r="I41" s="31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AA41" s="45"/>
      <c r="AB41" s="56"/>
    </row>
    <row r="42" spans="1:28" s="20" customFormat="1" ht="10" customHeight="1">
      <c r="A42" s="352" t="s">
        <v>61</v>
      </c>
      <c r="B42" s="352"/>
      <c r="C42" s="317" t="s">
        <v>65</v>
      </c>
      <c r="D42" s="292" t="s">
        <v>73</v>
      </c>
      <c r="E42" s="289"/>
      <c r="F42" s="290"/>
      <c r="G42" s="52"/>
      <c r="H42" s="44"/>
      <c r="I42" s="31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AA42" s="45"/>
      <c r="AB42" s="56"/>
    </row>
    <row r="43" spans="1:28" s="20" customFormat="1" ht="10" customHeight="1">
      <c r="A43" s="353"/>
      <c r="B43" s="353"/>
      <c r="C43" s="318"/>
      <c r="D43" s="295" t="s">
        <v>74</v>
      </c>
      <c r="E43" s="291"/>
      <c r="F43" s="291"/>
      <c r="G43" s="51"/>
      <c r="H43" s="48"/>
      <c r="I43" s="31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AA43" s="45"/>
      <c r="AB43" s="56"/>
    </row>
    <row r="44" spans="1:28" s="20" customFormat="1" ht="10" customHeight="1">
      <c r="A44" s="352" t="s">
        <v>62</v>
      </c>
      <c r="B44" s="352"/>
      <c r="C44" s="317" t="s">
        <v>65</v>
      </c>
      <c r="D44" s="292" t="s">
        <v>75</v>
      </c>
      <c r="E44" s="289"/>
      <c r="F44" s="290"/>
      <c r="G44" s="52"/>
      <c r="H44" s="44"/>
      <c r="I44" s="31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AA44" s="45"/>
      <c r="AB44" s="56"/>
    </row>
    <row r="45" spans="1:28" s="20" customFormat="1" ht="10" customHeight="1">
      <c r="A45" s="353"/>
      <c r="B45" s="353"/>
      <c r="C45" s="319"/>
      <c r="D45" s="295" t="s">
        <v>76</v>
      </c>
      <c r="E45" s="291"/>
      <c r="F45" s="291"/>
      <c r="G45" s="51"/>
      <c r="H45" s="48"/>
      <c r="I45" s="315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AA45" s="45"/>
      <c r="AB45" s="56"/>
    </row>
    <row r="46" spans="1:28" s="20" customFormat="1" ht="10" customHeight="1">
      <c r="A46" s="352" t="s">
        <v>90</v>
      </c>
      <c r="B46" s="352"/>
      <c r="C46" s="317" t="s">
        <v>65</v>
      </c>
      <c r="D46" s="292" t="s">
        <v>77</v>
      </c>
      <c r="E46" s="293"/>
      <c r="F46" s="293"/>
      <c r="G46" s="293"/>
      <c r="H46" s="294"/>
      <c r="I46" s="315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AA46" s="45"/>
      <c r="AB46" s="56"/>
    </row>
    <row r="47" spans="1:28" s="20" customFormat="1" ht="10" customHeight="1">
      <c r="A47" s="353"/>
      <c r="B47" s="353"/>
      <c r="C47" s="319"/>
      <c r="D47" s="295" t="s">
        <v>78</v>
      </c>
      <c r="E47" s="296"/>
      <c r="F47" s="296"/>
      <c r="G47" s="296"/>
      <c r="H47" s="297"/>
      <c r="I47" s="315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AA47" s="45"/>
      <c r="AB47" s="56"/>
    </row>
    <row r="48" spans="1:28" s="20" customFormat="1" ht="10" customHeight="1">
      <c r="A48" s="352" t="s">
        <v>89</v>
      </c>
      <c r="B48" s="352"/>
      <c r="C48" s="350" t="s">
        <v>66</v>
      </c>
      <c r="D48" s="292" t="s">
        <v>79</v>
      </c>
      <c r="E48" s="293"/>
      <c r="F48" s="293"/>
      <c r="G48" s="293"/>
      <c r="H48" s="294"/>
      <c r="I48" s="315" t="s">
        <v>101</v>
      </c>
      <c r="J48" s="315"/>
      <c r="K48" s="315" t="s">
        <v>101</v>
      </c>
      <c r="L48" s="315"/>
      <c r="M48" s="315" t="s">
        <v>101</v>
      </c>
      <c r="N48" s="315"/>
      <c r="O48" s="315" t="s">
        <v>101</v>
      </c>
      <c r="P48" s="315"/>
      <c r="Q48" s="315" t="s">
        <v>101</v>
      </c>
      <c r="R48" s="315"/>
      <c r="S48" s="315" t="s">
        <v>101</v>
      </c>
      <c r="T48" s="315"/>
      <c r="U48" s="315"/>
      <c r="V48" s="315"/>
      <c r="W48" s="315"/>
      <c r="X48" s="315"/>
      <c r="AA48" s="45"/>
      <c r="AB48" s="56"/>
    </row>
    <row r="49" spans="1:28" s="20" customFormat="1" ht="10" customHeight="1">
      <c r="A49" s="353"/>
      <c r="B49" s="353"/>
      <c r="C49" s="431"/>
      <c r="D49" s="295" t="s">
        <v>80</v>
      </c>
      <c r="E49" s="296"/>
      <c r="F49" s="296"/>
      <c r="G49" s="296"/>
      <c r="H49" s="297"/>
      <c r="I49" s="315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AA49" s="45"/>
      <c r="AB49" s="56"/>
    </row>
    <row r="50" spans="1:28" s="20" customFormat="1" ht="10" customHeight="1">
      <c r="A50" s="352"/>
      <c r="B50" s="352"/>
      <c r="C50" s="40"/>
      <c r="D50" s="354"/>
      <c r="E50" s="355"/>
      <c r="F50" s="355"/>
      <c r="G50" s="355"/>
      <c r="H50" s="356"/>
      <c r="I50" s="315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AA50" s="45"/>
      <c r="AB50" s="56"/>
    </row>
    <row r="51" spans="1:28" s="20" customFormat="1" ht="10" customHeight="1">
      <c r="A51" s="353"/>
      <c r="B51" s="353"/>
      <c r="C51" s="41"/>
      <c r="D51" s="357"/>
      <c r="E51" s="358"/>
      <c r="F51" s="358"/>
      <c r="G51" s="358"/>
      <c r="H51" s="359"/>
      <c r="I51" s="315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AA51" s="45"/>
      <c r="AB51" s="56"/>
    </row>
    <row r="52" spans="1:28" s="20" customFormat="1" ht="10" customHeight="1">
      <c r="A52" s="352"/>
      <c r="B52" s="352"/>
      <c r="C52" s="350"/>
      <c r="D52" s="354"/>
      <c r="E52" s="355"/>
      <c r="F52" s="355"/>
      <c r="G52" s="355"/>
      <c r="H52" s="356"/>
      <c r="I52" s="315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AA52" s="45"/>
      <c r="AB52" s="56"/>
    </row>
    <row r="53" spans="1:28" s="20" customFormat="1" ht="10" customHeight="1">
      <c r="A53" s="353"/>
      <c r="B53" s="353"/>
      <c r="C53" s="351"/>
      <c r="D53" s="357"/>
      <c r="E53" s="358"/>
      <c r="F53" s="358"/>
      <c r="G53" s="358"/>
      <c r="H53" s="359"/>
      <c r="I53" s="315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AA53" s="45"/>
      <c r="AB53" s="56"/>
    </row>
    <row r="54" spans="1:28" s="20" customFormat="1" ht="10" customHeight="1">
      <c r="A54" s="352"/>
      <c r="B54" s="352"/>
      <c r="C54" s="350"/>
      <c r="D54" s="429"/>
      <c r="E54" s="372"/>
      <c r="F54" s="438"/>
      <c r="G54" s="52"/>
      <c r="H54" s="44"/>
      <c r="I54" s="315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AA54" s="45"/>
      <c r="AB54" s="56"/>
    </row>
    <row r="55" spans="1:28" s="20" customFormat="1" ht="10" customHeight="1">
      <c r="A55" s="353"/>
      <c r="B55" s="353"/>
      <c r="C55" s="351"/>
      <c r="D55" s="430"/>
      <c r="E55" s="439"/>
      <c r="F55" s="439"/>
      <c r="G55" s="51"/>
      <c r="H55" s="48"/>
      <c r="I55" s="315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AA55" s="45"/>
      <c r="AB55" s="56"/>
    </row>
    <row r="56" spans="1:28" s="20" customFormat="1" ht="10" customHeight="1">
      <c r="A56" s="352"/>
      <c r="B56" s="352"/>
      <c r="C56" s="350"/>
      <c r="D56" s="429"/>
      <c r="E56" s="372"/>
      <c r="F56" s="438"/>
      <c r="G56" s="52"/>
      <c r="H56" s="44"/>
      <c r="I56" s="315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AA56" s="45"/>
      <c r="AB56" s="56"/>
    </row>
    <row r="57" spans="1:28" s="20" customFormat="1" ht="10" customHeight="1">
      <c r="A57" s="353"/>
      <c r="B57" s="353"/>
      <c r="C57" s="351"/>
      <c r="D57" s="430"/>
      <c r="E57" s="439"/>
      <c r="F57" s="439"/>
      <c r="G57" s="51"/>
      <c r="H57" s="48"/>
      <c r="I57" s="315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AA57" s="45"/>
      <c r="AB57" s="56"/>
    </row>
    <row r="58" spans="1:28" s="20" customFormat="1" ht="10" customHeight="1">
      <c r="A58" s="352"/>
      <c r="B58" s="352"/>
      <c r="C58" s="40"/>
      <c r="D58" s="354"/>
      <c r="E58" s="355"/>
      <c r="F58" s="355"/>
      <c r="G58" s="355"/>
      <c r="H58" s="356"/>
      <c r="I58" s="315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AA58" s="45"/>
      <c r="AB58" s="56"/>
    </row>
    <row r="59" spans="1:28" s="20" customFormat="1" ht="10" customHeight="1">
      <c r="A59" s="353"/>
      <c r="B59" s="353"/>
      <c r="C59" s="41"/>
      <c r="D59" s="357"/>
      <c r="E59" s="358"/>
      <c r="F59" s="358"/>
      <c r="G59" s="358"/>
      <c r="H59" s="359"/>
      <c r="I59" s="315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AA59" s="45"/>
      <c r="AB59" s="56"/>
    </row>
    <row r="60" spans="1:28" s="20" customFormat="1" ht="10" customHeight="1">
      <c r="A60" s="352"/>
      <c r="B60" s="352"/>
      <c r="C60" s="350"/>
      <c r="D60" s="354"/>
      <c r="E60" s="355"/>
      <c r="F60" s="355"/>
      <c r="G60" s="355"/>
      <c r="H60" s="356"/>
      <c r="I60" s="315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AA60" s="45"/>
      <c r="AB60" s="56"/>
    </row>
    <row r="61" spans="1:28" s="20" customFormat="1" ht="10" customHeight="1">
      <c r="A61" s="353"/>
      <c r="B61" s="353"/>
      <c r="C61" s="351"/>
      <c r="D61" s="357"/>
      <c r="E61" s="358"/>
      <c r="F61" s="358"/>
      <c r="G61" s="358"/>
      <c r="H61" s="359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AA61" s="45"/>
      <c r="AB61" s="56"/>
    </row>
    <row r="62" spans="1:28" s="20" customFormat="1" ht="10" customHeight="1">
      <c r="A62" s="352"/>
      <c r="B62" s="352"/>
      <c r="C62" s="350"/>
      <c r="D62" s="354"/>
      <c r="E62" s="355"/>
      <c r="F62" s="355"/>
      <c r="G62" s="355"/>
      <c r="H62" s="356"/>
      <c r="I62" s="315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AA62" s="45"/>
      <c r="AB62" s="56"/>
    </row>
    <row r="63" spans="1:28" s="20" customFormat="1" ht="10" customHeight="1">
      <c r="A63" s="353"/>
      <c r="B63" s="353"/>
      <c r="C63" s="351"/>
      <c r="D63" s="357"/>
      <c r="E63" s="358"/>
      <c r="F63" s="358"/>
      <c r="G63" s="358"/>
      <c r="H63" s="359"/>
      <c r="I63" s="315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AA63" s="45"/>
      <c r="AB63" s="56"/>
    </row>
    <row r="64" spans="1:28" s="20" customFormat="1" ht="10" customHeight="1">
      <c r="A64" s="365"/>
      <c r="B64" s="366"/>
      <c r="C64" s="369"/>
      <c r="D64" s="371"/>
      <c r="E64" s="372"/>
      <c r="F64" s="372"/>
      <c r="G64" s="372"/>
      <c r="H64" s="323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AA64" s="45"/>
      <c r="AB64" s="56"/>
    </row>
    <row r="65" spans="1:28" s="20" customFormat="1" ht="10" customHeight="1" thickBot="1">
      <c r="A65" s="367"/>
      <c r="B65" s="368"/>
      <c r="C65" s="370"/>
      <c r="D65" s="362"/>
      <c r="E65" s="363"/>
      <c r="F65" s="363"/>
      <c r="G65" s="363"/>
      <c r="H65" s="364"/>
      <c r="I65" s="316"/>
      <c r="J65" s="316"/>
      <c r="K65" s="316"/>
      <c r="L65" s="316"/>
      <c r="M65" s="316"/>
      <c r="N65" s="316"/>
      <c r="O65" s="316"/>
      <c r="P65" s="316"/>
      <c r="Q65" s="316"/>
      <c r="R65" s="316"/>
      <c r="S65" s="316"/>
      <c r="T65" s="316"/>
      <c r="U65" s="316"/>
      <c r="V65" s="316"/>
      <c r="W65" s="316"/>
      <c r="X65" s="316"/>
      <c r="AA65" s="45"/>
      <c r="AB65" s="56"/>
    </row>
    <row r="66" spans="1:28" ht="12.75" customHeight="1" thickTop="1">
      <c r="A66" s="392" t="s">
        <v>42</v>
      </c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4"/>
      <c r="Q66" s="418"/>
      <c r="R66" s="419"/>
      <c r="S66" s="418"/>
      <c r="T66" s="419"/>
      <c r="U66" s="418"/>
      <c r="V66" s="419"/>
      <c r="W66" s="418"/>
      <c r="X66" s="419"/>
    </row>
    <row r="67" spans="1:28" ht="9.75" customHeight="1">
      <c r="A67" s="395" t="s">
        <v>43</v>
      </c>
      <c r="B67" s="396"/>
      <c r="C67" s="396"/>
      <c r="D67" s="396"/>
      <c r="E67" s="396"/>
      <c r="F67" s="396"/>
      <c r="G67" s="396"/>
      <c r="H67" s="396"/>
      <c r="I67" s="396"/>
      <c r="J67" s="396"/>
      <c r="K67" s="396"/>
      <c r="L67" s="396"/>
      <c r="M67" s="396"/>
      <c r="N67" s="396"/>
      <c r="O67" s="396"/>
      <c r="P67" s="397"/>
      <c r="Q67" s="420"/>
      <c r="R67" s="421"/>
      <c r="S67" s="420"/>
      <c r="T67" s="421"/>
      <c r="U67" s="420"/>
      <c r="V67" s="421"/>
      <c r="W67" s="420"/>
      <c r="X67" s="421"/>
    </row>
    <row r="68" spans="1:28" ht="12.75" customHeight="1">
      <c r="A68" s="398" t="s">
        <v>39</v>
      </c>
      <c r="B68" s="399"/>
      <c r="C68" s="399"/>
      <c r="D68" s="399"/>
      <c r="E68" s="399"/>
      <c r="F68" s="399"/>
      <c r="G68" s="399"/>
      <c r="H68" s="399"/>
      <c r="I68" s="399"/>
      <c r="J68" s="399"/>
      <c r="K68" s="399"/>
      <c r="L68" s="399"/>
      <c r="M68" s="399"/>
      <c r="N68" s="399"/>
      <c r="O68" s="399"/>
      <c r="P68" s="400"/>
      <c r="Q68" s="417"/>
      <c r="R68" s="406"/>
      <c r="S68" s="417"/>
      <c r="T68" s="406"/>
      <c r="U68" s="417"/>
      <c r="V68" s="406"/>
      <c r="W68" s="417"/>
      <c r="X68" s="406"/>
    </row>
    <row r="69" spans="1:28" ht="9.75" customHeight="1">
      <c r="A69" s="426" t="s">
        <v>44</v>
      </c>
      <c r="B69" s="427"/>
      <c r="C69" s="427"/>
      <c r="D69" s="427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8"/>
      <c r="Q69" s="415"/>
      <c r="R69" s="416"/>
      <c r="S69" s="415"/>
      <c r="T69" s="416"/>
      <c r="U69" s="415"/>
      <c r="V69" s="416"/>
      <c r="W69" s="415"/>
      <c r="X69" s="416"/>
    </row>
    <row r="70" spans="1:28" ht="12.75" customHeight="1">
      <c r="A70" s="398"/>
      <c r="B70" s="399"/>
      <c r="C70" s="399"/>
      <c r="D70" s="399"/>
      <c r="E70" s="399"/>
      <c r="F70" s="399"/>
      <c r="G70" s="399"/>
      <c r="H70" s="399"/>
      <c r="I70" s="399"/>
      <c r="J70" s="399"/>
      <c r="K70" s="399"/>
      <c r="L70" s="399"/>
      <c r="M70" s="399"/>
      <c r="N70" s="399"/>
      <c r="O70" s="399"/>
      <c r="P70" s="400"/>
      <c r="Q70" s="417"/>
      <c r="R70" s="406"/>
      <c r="S70" s="417"/>
      <c r="T70" s="406"/>
      <c r="U70" s="417"/>
      <c r="V70" s="406"/>
      <c r="W70" s="417"/>
      <c r="X70" s="406"/>
    </row>
    <row r="71" spans="1:28" ht="9.75" customHeight="1">
      <c r="A71" s="426"/>
      <c r="B71" s="427"/>
      <c r="C71" s="427"/>
      <c r="D71" s="427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8"/>
      <c r="Q71" s="415"/>
      <c r="R71" s="416"/>
      <c r="S71" s="415"/>
      <c r="T71" s="416"/>
      <c r="U71" s="415"/>
      <c r="V71" s="416"/>
      <c r="W71" s="415"/>
      <c r="X71" s="416"/>
    </row>
    <row r="72" spans="1:28" ht="12.75" customHeight="1">
      <c r="A72" s="398"/>
      <c r="B72" s="399"/>
      <c r="C72" s="399"/>
      <c r="D72" s="399"/>
      <c r="E72" s="399"/>
      <c r="F72" s="399"/>
      <c r="G72" s="399"/>
      <c r="H72" s="399"/>
      <c r="I72" s="399"/>
      <c r="J72" s="399"/>
      <c r="K72" s="399"/>
      <c r="L72" s="399"/>
      <c r="M72" s="399"/>
      <c r="N72" s="399"/>
      <c r="O72" s="399"/>
      <c r="P72" s="400"/>
      <c r="Q72" s="417"/>
      <c r="R72" s="406"/>
      <c r="S72" s="417"/>
      <c r="T72" s="406"/>
      <c r="U72" s="417"/>
      <c r="V72" s="406"/>
      <c r="W72" s="417"/>
      <c r="X72" s="406"/>
    </row>
    <row r="73" spans="1:28" ht="9.75" customHeight="1">
      <c r="A73" s="426"/>
      <c r="B73" s="427"/>
      <c r="C73" s="427"/>
      <c r="D73" s="427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8"/>
      <c r="Q73" s="415"/>
      <c r="R73" s="416"/>
      <c r="S73" s="415"/>
      <c r="T73" s="416"/>
      <c r="U73" s="415"/>
      <c r="V73" s="416"/>
      <c r="W73" s="415"/>
      <c r="X73" s="416"/>
    </row>
    <row r="74" spans="1:28" ht="12.75" customHeight="1">
      <c r="A74" s="398" t="s">
        <v>107</v>
      </c>
      <c r="B74" s="399"/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400"/>
      <c r="Q74" s="417" t="s">
        <v>96</v>
      </c>
      <c r="R74" s="406"/>
      <c r="S74" s="422">
        <v>42983</v>
      </c>
      <c r="T74" s="423"/>
      <c r="U74" s="417"/>
      <c r="V74" s="406"/>
      <c r="W74" s="417"/>
      <c r="X74" s="406"/>
    </row>
    <row r="75" spans="1:28" ht="9.75" customHeight="1">
      <c r="A75" s="426"/>
      <c r="B75" s="427"/>
      <c r="C75" s="427"/>
      <c r="D75" s="427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8"/>
      <c r="Q75" s="415"/>
      <c r="R75" s="416"/>
      <c r="S75" s="424"/>
      <c r="T75" s="425"/>
      <c r="U75" s="415"/>
      <c r="V75" s="416"/>
      <c r="W75" s="415"/>
      <c r="X75" s="416"/>
    </row>
    <row r="76" spans="1:28" ht="12.75" customHeight="1">
      <c r="A76" s="398"/>
      <c r="B76" s="399"/>
      <c r="C76" s="399"/>
      <c r="D76" s="399"/>
      <c r="E76" s="399"/>
      <c r="F76" s="399"/>
      <c r="G76" s="399"/>
      <c r="H76" s="399"/>
      <c r="I76" s="399"/>
      <c r="J76" s="399"/>
      <c r="K76" s="399"/>
      <c r="L76" s="399"/>
      <c r="M76" s="399"/>
      <c r="N76" s="399"/>
      <c r="O76" s="399"/>
      <c r="P76" s="400"/>
      <c r="Q76" s="417" t="s">
        <v>17</v>
      </c>
      <c r="R76" s="406"/>
      <c r="S76" s="414">
        <v>42285</v>
      </c>
      <c r="T76" s="406"/>
      <c r="U76" s="417"/>
      <c r="V76" s="406"/>
      <c r="W76" s="417"/>
      <c r="X76" s="406"/>
    </row>
    <row r="77" spans="1:28" ht="9.75" customHeight="1">
      <c r="A77" s="426"/>
      <c r="B77" s="427"/>
      <c r="C77" s="427"/>
      <c r="D77" s="427"/>
      <c r="E77" s="427"/>
      <c r="F77" s="427"/>
      <c r="G77" s="427"/>
      <c r="H77" s="427"/>
      <c r="I77" s="427"/>
      <c r="J77" s="427"/>
      <c r="K77" s="427"/>
      <c r="L77" s="427"/>
      <c r="M77" s="427"/>
      <c r="N77" s="427"/>
      <c r="O77" s="427"/>
      <c r="P77" s="428"/>
      <c r="Q77" s="415"/>
      <c r="R77" s="416"/>
      <c r="S77" s="415"/>
      <c r="T77" s="416"/>
      <c r="U77" s="415"/>
      <c r="V77" s="416"/>
      <c r="W77" s="415"/>
      <c r="X77" s="416"/>
    </row>
    <row r="78" spans="1:28" ht="13.4" customHeight="1">
      <c r="A78" s="21"/>
      <c r="B78" s="22"/>
      <c r="C78" s="22"/>
      <c r="D78" s="22"/>
      <c r="E78" s="22"/>
      <c r="F78" s="22"/>
      <c r="G78" s="22"/>
      <c r="H78" s="22"/>
      <c r="I78" s="22"/>
      <c r="J78" s="311" t="s">
        <v>47</v>
      </c>
      <c r="K78" s="312"/>
      <c r="L78" s="401"/>
      <c r="M78" s="401"/>
      <c r="N78" s="401"/>
      <c r="O78" s="401"/>
      <c r="P78" s="402"/>
      <c r="Q78" s="391" t="s">
        <v>18</v>
      </c>
      <c r="R78" s="391"/>
      <c r="S78" s="391" t="s">
        <v>19</v>
      </c>
      <c r="T78" s="391"/>
      <c r="U78" s="391" t="s">
        <v>20</v>
      </c>
      <c r="V78" s="391"/>
      <c r="W78" s="391" t="s">
        <v>22</v>
      </c>
      <c r="X78" s="391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313" t="s">
        <v>45</v>
      </c>
      <c r="K79" s="314"/>
      <c r="L79" s="403"/>
      <c r="M79" s="403"/>
      <c r="N79" s="403"/>
      <c r="O79" s="403"/>
      <c r="P79" s="404"/>
      <c r="Q79" s="361" t="s">
        <v>5</v>
      </c>
      <c r="R79" s="361"/>
      <c r="S79" s="361" t="s">
        <v>10</v>
      </c>
      <c r="T79" s="361"/>
      <c r="U79" s="361" t="s">
        <v>21</v>
      </c>
      <c r="V79" s="361"/>
      <c r="W79" s="361" t="s">
        <v>23</v>
      </c>
      <c r="X79" s="361"/>
    </row>
    <row r="80" spans="1:28" ht="13.5" customHeight="1">
      <c r="A80" s="301" t="s">
        <v>24</v>
      </c>
      <c r="B80" s="302"/>
      <c r="C80" s="302"/>
      <c r="D80" s="302"/>
      <c r="E80" s="302"/>
      <c r="F80" s="302"/>
      <c r="G80" s="302"/>
      <c r="H80" s="302"/>
      <c r="I80" s="302"/>
      <c r="J80" s="302"/>
      <c r="K80" s="302"/>
      <c r="L80" s="302"/>
      <c r="M80" s="302"/>
      <c r="N80" s="302"/>
      <c r="O80" s="302"/>
      <c r="P80" s="302"/>
      <c r="Q80" s="302"/>
      <c r="R80" s="302"/>
      <c r="S80" s="302"/>
      <c r="T80" s="302"/>
      <c r="U80" s="302"/>
      <c r="V80" s="302"/>
      <c r="W80" s="302"/>
      <c r="X80" s="302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42</vt:i4>
      </vt:variant>
      <vt:variant>
        <vt:lpstr>已命名的範圍</vt:lpstr>
      </vt:variant>
      <vt:variant>
        <vt:i4>42</vt:i4>
      </vt:variant>
    </vt:vector>
  </HeadingPairs>
  <TitlesOfParts>
    <vt:vector size="84" baseType="lpstr">
      <vt:lpstr>SETUP</vt:lpstr>
      <vt:lpstr>SETUP (2)</vt:lpstr>
      <vt:lpstr>180425D-1</vt:lpstr>
      <vt:lpstr>180425D-2</vt:lpstr>
      <vt:lpstr>180425E-1</vt:lpstr>
      <vt:lpstr>180425E-2</vt:lpstr>
      <vt:lpstr>180426D-1</vt:lpstr>
      <vt:lpstr>180426D-2</vt:lpstr>
      <vt:lpstr>180426E-1</vt:lpstr>
      <vt:lpstr>180426E-2</vt:lpstr>
      <vt:lpstr>180427D-1</vt:lpstr>
      <vt:lpstr>180427D-2</vt:lpstr>
      <vt:lpstr>180429E-1</vt:lpstr>
      <vt:lpstr>180429E-2</vt:lpstr>
      <vt:lpstr>180430D-1</vt:lpstr>
      <vt:lpstr>180430D-2</vt:lpstr>
      <vt:lpstr>180501E-1</vt:lpstr>
      <vt:lpstr>180501E-2</vt:lpstr>
      <vt:lpstr>180502D-1</vt:lpstr>
      <vt:lpstr>180502D-2</vt:lpstr>
      <vt:lpstr>180502E-1</vt:lpstr>
      <vt:lpstr>180502E-2</vt:lpstr>
      <vt:lpstr>180503D-1</vt:lpstr>
      <vt:lpstr>180503D-2</vt:lpstr>
      <vt:lpstr>180503E-1</vt:lpstr>
      <vt:lpstr>180503E-2</vt:lpstr>
      <vt:lpstr>180504D-1</vt:lpstr>
      <vt:lpstr>180504D-2</vt:lpstr>
      <vt:lpstr>180506E-1</vt:lpstr>
      <vt:lpstr>180506E-2</vt:lpstr>
      <vt:lpstr>180507D-1</vt:lpstr>
      <vt:lpstr>180507D-2</vt:lpstr>
      <vt:lpstr>180507E-1</vt:lpstr>
      <vt:lpstr>180507E-2</vt:lpstr>
      <vt:lpstr>180508D-1</vt:lpstr>
      <vt:lpstr>180508D-2</vt:lpstr>
      <vt:lpstr>180508E-1</vt:lpstr>
      <vt:lpstr>180508E-2</vt:lpstr>
      <vt:lpstr>180509D-1</vt:lpstr>
      <vt:lpstr>180509D-2</vt:lpstr>
      <vt:lpstr>180509E-1</vt:lpstr>
      <vt:lpstr>180509E-2</vt:lpstr>
      <vt:lpstr>'180425D-1'!Print_Area</vt:lpstr>
      <vt:lpstr>'180425D-2'!Print_Area</vt:lpstr>
      <vt:lpstr>'180425E-1'!Print_Area</vt:lpstr>
      <vt:lpstr>'180425E-2'!Print_Area</vt:lpstr>
      <vt:lpstr>'180426D-1'!Print_Area</vt:lpstr>
      <vt:lpstr>'180426D-2'!Print_Area</vt:lpstr>
      <vt:lpstr>'180426E-1'!Print_Area</vt:lpstr>
      <vt:lpstr>'180426E-2'!Print_Area</vt:lpstr>
      <vt:lpstr>'180427D-1'!Print_Area</vt:lpstr>
      <vt:lpstr>'180427D-2'!Print_Area</vt:lpstr>
      <vt:lpstr>'180429E-1'!Print_Area</vt:lpstr>
      <vt:lpstr>'180429E-2'!Print_Area</vt:lpstr>
      <vt:lpstr>'180430D-1'!Print_Area</vt:lpstr>
      <vt:lpstr>'180430D-2'!Print_Area</vt:lpstr>
      <vt:lpstr>'180501E-1'!Print_Area</vt:lpstr>
      <vt:lpstr>'180501E-2'!Print_Area</vt:lpstr>
      <vt:lpstr>'180502D-1'!Print_Area</vt:lpstr>
      <vt:lpstr>'180502D-2'!Print_Area</vt:lpstr>
      <vt:lpstr>'180502E-1'!Print_Area</vt:lpstr>
      <vt:lpstr>'180502E-2'!Print_Area</vt:lpstr>
      <vt:lpstr>'180503D-1'!Print_Area</vt:lpstr>
      <vt:lpstr>'180503D-2'!Print_Area</vt:lpstr>
      <vt:lpstr>'180503E-1'!Print_Area</vt:lpstr>
      <vt:lpstr>'180503E-2'!Print_Area</vt:lpstr>
      <vt:lpstr>'180504D-1'!Print_Area</vt:lpstr>
      <vt:lpstr>'180504D-2'!Print_Area</vt:lpstr>
      <vt:lpstr>'180506E-1'!Print_Area</vt:lpstr>
      <vt:lpstr>'180506E-2'!Print_Area</vt:lpstr>
      <vt:lpstr>'180507D-1'!Print_Area</vt:lpstr>
      <vt:lpstr>'180507D-2'!Print_Area</vt:lpstr>
      <vt:lpstr>'180507E-1'!Print_Area</vt:lpstr>
      <vt:lpstr>'180507E-2'!Print_Area</vt:lpstr>
      <vt:lpstr>'180508D-1'!Print_Area</vt:lpstr>
      <vt:lpstr>'180508D-2'!Print_Area</vt:lpstr>
      <vt:lpstr>'180508E-1'!Print_Area</vt:lpstr>
      <vt:lpstr>'180508E-2'!Print_Area</vt:lpstr>
      <vt:lpstr>'180509D-1'!Print_Area</vt:lpstr>
      <vt:lpstr>'180509D-2'!Print_Area</vt:lpstr>
      <vt:lpstr>'180509E-1'!Print_Area</vt:lpstr>
      <vt:lpstr>'180509E-2'!Print_Area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user</cp:lastModifiedBy>
  <cp:lastPrinted>2017-09-06T03:50:10Z</cp:lastPrinted>
  <dcterms:created xsi:type="dcterms:W3CDTF">2014-12-29T06:32:15Z</dcterms:created>
  <dcterms:modified xsi:type="dcterms:W3CDTF">2018-05-10T03:38:48Z</dcterms:modified>
</cp:coreProperties>
</file>